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 &amp; Recos" sheetId="1" r:id="rId1"/>
    <sheet name="5Y_Price_Returns" sheetId="2" r:id="rId2"/>
    <sheet name="Risk_Return_Metrics" sheetId="3" r:id="rId3"/>
    <sheet name="Correlation_Covariance" sheetId="4" r:id="rId4"/>
    <sheet name="Portfolio_Optimization" sheetId="5" r:id="rId5"/>
    <sheet name="Screener_Fundamentals" sheetId="6" r:id="rId6"/>
    <sheet name="Assumptions_Notes" sheetId="7" r:id="rId7"/>
  </sheets>
  <definedNames>
    <definedName name="BR_ANANTRAJ">'5Y_Price_Returns'!$Q$6:$Q$1203</definedName>
    <definedName name="BR_CNXREALTY">'5Y_Price_Returns'!$T$6:$T$1203</definedName>
    <definedName name="BR_NSEI">'5Y_Price_Returns'!$S$6:$S$1203</definedName>
    <definedName name="BR_OBEROIRLTY">'5Y_Price_Returns'!$P$6:$P$1203</definedName>
    <definedName name="BR_PHOENIXLTD">'5Y_Price_Returns'!$R$6:$R$1203</definedName>
    <definedName name="COVMAT">Correlation_Covariance!$B$14:$D$16</definedName>
    <definedName name="LR_ANANTRAJ">'5Y_Price_Returns'!$J$7:$J$1245</definedName>
    <definedName name="LR_CNXREALTY">'5Y_Price_Returns'!$M$7:$M$1216</definedName>
    <definedName name="LR_NSEI">'5Y_Price_Returns'!$L$7:$L$1245</definedName>
    <definedName name="LR_OBEROIRLTY">'5Y_Price_Returns'!$I$7:$I$1245</definedName>
    <definedName name="LR_PHOENIXLTD">'5Y_Price_Returns'!$K$7:$K$1245</definedName>
    <definedName name="MU">Portfolio_Optimization!$B$8:$D$8</definedName>
    <definedName name="PX_ANANTRAJ">'5Y_Price_Returns'!$C$6:$C$1245</definedName>
    <definedName name="PX_CNXREALTY">'5Y_Price_Returns'!$F$6:$F$1245</definedName>
    <definedName name="PX_NSEI">'5Y_Price_Returns'!$E$6:$E$1245</definedName>
    <definedName name="PX_OBEROIRLTY">'5Y_Price_Returns'!$B$6:$B$1245</definedName>
    <definedName name="PX_PHOENIXLTD">'5Y_Price_Returns'!$D$6:$D$1245</definedName>
    <definedName name="Rf">Risk_Return_Metrics!$B$4</definedName>
    <definedName name="TDays">Risk_Return_Metrics!$D$4</definedName>
    <definedName name="Yrs">Risk_Return_Metrics!$F$4</definedName>
  </definedNames>
  <calcPr calcId="124519" fullCalcOnLoad="1"/>
</workbook>
</file>

<file path=xl/sharedStrings.xml><?xml version="1.0" encoding="utf-8"?>
<sst xmlns="http://schemas.openxmlformats.org/spreadsheetml/2006/main" count="332" uniqueCount="253">
  <si>
    <t>5-YEAR DAILY PRICE SERIES, LOG RETURNS &amp; MONTHLY AGGREGATES</t>
  </si>
  <si>
    <t>Adjusted closes (splits/dividends). 2021-08-23 to 2026-08-27 · 1240 sessions · Source: Yahoo Finance via yfinance</t>
  </si>
  <si>
    <t>Date</t>
  </si>
  <si>
    <t>Oberoi Realty
(OBEROIRLTY.NS)</t>
  </si>
  <si>
    <t>Anant Raj Ltd
(ANANTRAJ.NS)</t>
  </si>
  <si>
    <t>Phoenix Mills
(PHOENIXLTD.NS)</t>
  </si>
  <si>
    <t>^NSEI</t>
  </si>
  <si>
    <t>^CNXREALTY</t>
  </si>
  <si>
    <t>ln(Pt/Pt-1)
OBEROIRLTY</t>
  </si>
  <si>
    <t>ln(Pt/Pt-1)
ANANTRAJ</t>
  </si>
  <si>
    <t>ln(Pt/Pt-1)
PHOENIXLTD</t>
  </si>
  <si>
    <t>ln ^NSEI</t>
  </si>
  <si>
    <t>ln ^CNXREALTY</t>
  </si>
  <si>
    <t>REALTY-ALIGNED RETURN BLOCK (gap-free pairs for beta / correlation)</t>
  </si>
  <si>
    <t>Aligned date</t>
  </si>
  <si>
    <t>OBEROIRLTY
aligned</t>
  </si>
  <si>
    <t>ANANTRAJ
aligned</t>
  </si>
  <si>
    <t>PHOENIXLTD
aligned</t>
  </si>
  <si>
    <t>^NSEI
aligned</t>
  </si>
  <si>
    <t>^CNXREALTY
aligned</t>
  </si>
  <si>
    <t>1198 paired observations: every session on which both the stock and the Nifty Realty index produced a return. Used for all realty betas and correlations.</t>
  </si>
  <si>
    <t>Month End</t>
  </si>
  <si>
    <t>OBEROIRLTY
monthly %</t>
  </si>
  <si>
    <t>ANANTRAJ
monthly %</t>
  </si>
  <si>
    <t>PHOENIXLTD
monthly %</t>
  </si>
  <si>
    <t>^NSEI
monthly %</t>
  </si>
  <si>
    <t>^CNXREALTY
monthly %</t>
  </si>
  <si>
    <t>Monthly returns are simple month-end-to-month-end changes; daily returns above are logarithmic.</t>
  </si>
  <si>
    <t>RISK &amp; RETURN METRICS — 5 YEAR</t>
  </si>
  <si>
    <t>All cells are live formulas driving off '5Y_Price_Returns'. Rf = 6.80% (RBI 10Y G-Sec / 91-day T-bill baseline). Annualisation factor = 252 trading days.</t>
  </si>
  <si>
    <t>Risk-free rate (Rf)</t>
  </si>
  <si>
    <t>Trading days</t>
  </si>
  <si>
    <t>Years in window (stocks)</t>
  </si>
  <si>
    <t>Metric</t>
  </si>
  <si>
    <t>Oberoi Realty</t>
  </si>
  <si>
    <t>Anant Raj Ltd</t>
  </si>
  <si>
    <t>Phoenix Mills</t>
  </si>
  <si>
    <t>NSEI</t>
  </si>
  <si>
    <t>CNXREALTY</t>
  </si>
  <si>
    <t>Initial price  P_initial</t>
  </si>
  <si>
    <t>Final price  P_final</t>
  </si>
  <si>
    <t>Total return</t>
  </si>
  <si>
    <t>CAGR  (P_f/P_i)^(1/5)-1</t>
  </si>
  <si>
    <t>Daily st.dev of log returns</t>
  </si>
  <si>
    <t>Annualised volatility  σ×√252</t>
  </si>
  <si>
    <t>Sharpe ratio  (CAGR-Rf)/σ</t>
  </si>
  <si>
    <t>Beta vs Nifty Realty</t>
  </si>
  <si>
    <t>Beta vs Nifty 50</t>
  </si>
  <si>
    <t>Correlation vs Nifty Realty</t>
  </si>
  <si>
    <t>Maximum drawdown</t>
  </si>
  <si>
    <t>Downside deviation (ann.)</t>
  </si>
  <si>
    <t>Sortino ratio</t>
  </si>
  <si>
    <t>Best / worst daily log return</t>
  </si>
  <si>
    <t>Worst daily log return</t>
  </si>
  <si>
    <t>Observations (daily)</t>
  </si>
  <si>
    <t>Years spanned by series</t>
  </si>
  <si>
    <t>Beta note</t>
  </si>
  <si>
    <t>Nifty Realty betas use the gap-free overlapping window (first 1205 sessions, to 2026-07-17); the index series ends earlier than the stock series on the vendor feed. Beta = COVAR/VARP (population covariance over population variance) which is algebraically identical to the sample-based COVARIANCE.S/VAR.S ratio.</t>
  </si>
  <si>
    <t>CORRELATION &amp; ANNUALISED VARIANCE-COVARIANCE MATRIX</t>
  </si>
  <si>
    <t>3x3 matrices for the selected portfolio, computed live from daily log returns.</t>
  </si>
  <si>
    <t>CORRELATION MATRIX  ρ(i,j)</t>
  </si>
  <si>
    <t>ANNUALISED VARIANCE-COVARIANCE MATRIX  Σ = cov(i,j) × 252</t>
  </si>
  <si>
    <t>Annualised σ (√diagonal)</t>
  </si>
  <si>
    <t>Cross-check vs Risk_Return_Metrics</t>
  </si>
  <si>
    <t>Note</t>
  </si>
  <si>
    <t>COVAR returns the population covariance; multiplying by n/(n-1) converts it to the sample covariance (equivalent to COVARIANCE.S) before annualising by 252. Row 20 must read ~0.000000, confirming the covariance diagonal reconciles to the independently computed volatilities.</t>
  </si>
  <si>
    <t>MARKOWITZ PORTFOLIO OPTIMISATION — CLIENT A vs CLIENT B</t>
  </si>
  <si>
    <t>Yellow cells are live inputs: change a weight and every metric below recalculates.</t>
  </si>
  <si>
    <t>EXPECTED RETURN INPUTS</t>
  </si>
  <si>
    <t>Asset</t>
  </si>
  <si>
    <t>5Y realised CAGR (historical)</t>
  </si>
  <si>
    <t>Shrunk expected return μ (used)</t>
  </si>
  <si>
    <t>Annualised volatility σ</t>
  </si>
  <si>
    <t>Shrinkage k →</t>
  </si>
  <si>
    <t>CLIENT A  ·  RISK-AVERSE  ·  MINIMUM-VARIANCE MANDATE</t>
  </si>
  <si>
    <t>Σ w</t>
  </si>
  <si>
    <t>Weight  w(i)   ← EDITABLE</t>
  </si>
  <si>
    <t>Constraint set</t>
  </si>
  <si>
    <t>Objective: minimise portfolio variance subject to Σw = 100%, 10% ≤ w ≤ 45%. Min-variance weights are independent of the expected-return vector, so this allocation is immune to estimation error in μ — the key reason it suits a capital-preservation mandate.</t>
  </si>
  <si>
    <t>Bounds check (all within limits)</t>
  </si>
  <si>
    <t>bounds [10%, 45%], Σw = 100%</t>
  </si>
  <si>
    <t>CLIENT B  ·  RISK-SEEKER  ·  GROWTH-WEIGHTED MAX-SHARPE</t>
  </si>
  <si>
    <t>Objective: maximise (μp − Rf)/σp subject to Σw = 100%, 5% ≤ w ≤ 60%, and a hard floor of 40% in the highest-growth asset (Anant Raj Ltd).</t>
  </si>
  <si>
    <t>bounds [5%, 60%], Σw = 100%</t>
  </si>
  <si>
    <t>PORTFOLIO MATHEMATICS — Client A (Risk-Averse)</t>
  </si>
  <si>
    <t>Expected return  μp = Σ wi·μi</t>
  </si>
  <si>
    <t>Portfolio variance  σp² (explicit expansion)</t>
  </si>
  <si>
    <t>Portfolio variance  σp² = wᵀΣw (MMULT)</t>
  </si>
  <si>
    <t>Reconciliation (must be 0)</t>
  </si>
  <si>
    <t>Portfolio volatility  σp = √(wᵀΣw)</t>
  </si>
  <si>
    <t>Sharpe ratio  (μp − Rf)/σp</t>
  </si>
  <si>
    <t>Portfolio beta vs Nifty Realty</t>
  </si>
  <si>
    <t>Weighted-average σ (undiversified)</t>
  </si>
  <si>
    <t>vs σp — the gap is the diversification benefit</t>
  </si>
  <si>
    <t>Diversification ratio</t>
  </si>
  <si>
    <t>Historical max drawdown (daily-rebalanced)</t>
  </si>
  <si>
    <t>Daily VaR 95% (historical)</t>
  </si>
  <si>
    <t>PORTFOLIO MATHEMATICS — Client B (Risk-Seeker)</t>
  </si>
  <si>
    <t>REFERENCE PORTFOLIOS</t>
  </si>
  <si>
    <t>Portfolio</t>
  </si>
  <si>
    <t>Exp. return</t>
  </si>
  <si>
    <t>Volatility</t>
  </si>
  <si>
    <t>Sharpe</t>
  </si>
  <si>
    <t>Max DD</t>
  </si>
  <si>
    <t>Client A (Risk-Averse)</t>
  </si>
  <si>
    <t>Client B (Risk-Seeker)</t>
  </si>
  <si>
    <t>Minimum Variance (ref)</t>
  </si>
  <si>
    <t>Max Sharpe unconstrained (ref)</t>
  </si>
  <si>
    <t>Equal Weight (ref)</t>
  </si>
  <si>
    <t>EFFICIENT FRONTIER (minimum σ for each target return)</t>
  </si>
  <si>
    <t>Target return</t>
  </si>
  <si>
    <t>Minimum volatility</t>
  </si>
  <si>
    <t>SCREENER.IN FUNDAMENTALS — PEER UNIVERSE (10 DEVELOPERS)</t>
  </si>
  <si>
    <t>Consolidated financials, trailing 5 fiscal years. Source: screener.in company pages.</t>
  </si>
  <si>
    <t>Company</t>
  </si>
  <si>
    <t>Ticker</t>
  </si>
  <si>
    <t>Market Cap (Cr)</t>
  </si>
  <si>
    <t>Current Price</t>
  </si>
  <si>
    <t>Stock P/E</t>
  </si>
  <si>
    <t>P/B</t>
  </si>
  <si>
    <t>Dividend Yield %</t>
  </si>
  <si>
    <t>Sales CAGR 5Y %</t>
  </si>
  <si>
    <t>Sales CAGR 3Y %</t>
  </si>
  <si>
    <t>Profit CAGR 5Y %</t>
  </si>
  <si>
    <t>ROCE % (latest)</t>
  </si>
  <si>
    <t>ROCE 5Y avg %</t>
  </si>
  <si>
    <t>OPM % latest</t>
  </si>
  <si>
    <t>D/E FY20</t>
  </si>
  <si>
    <t>D/E latest</t>
  </si>
  <si>
    <t>D/E 5Y avg</t>
  </si>
  <si>
    <t>CFO/EBITDA %</t>
  </si>
  <si>
    <t>Interest Coverage (5Y EBITDA/Int)</t>
  </si>
  <si>
    <t>CFO 5Y total (Cr)</t>
  </si>
  <si>
    <t>Borrowings latest (Cr)</t>
  </si>
  <si>
    <t>DLF Ltd</t>
  </si>
  <si>
    <t>DLF.NS</t>
  </si>
  <si>
    <t>Macrotech Developers</t>
  </si>
  <si>
    <t>LODHA.NS</t>
  </si>
  <si>
    <t>PHOENIXLTD.NS</t>
  </si>
  <si>
    <t>Prestige Estates</t>
  </si>
  <si>
    <t>PRESTIGE.NS</t>
  </si>
  <si>
    <t>OBEROIRLTY.NS</t>
  </si>
  <si>
    <t>Godrej Properties</t>
  </si>
  <si>
    <t>GODREJPROP.NS</t>
  </si>
  <si>
    <t>ANANTRAJ.NS</t>
  </si>
  <si>
    <t>Brigade Enterprises</t>
  </si>
  <si>
    <t>BRIGADE.NS</t>
  </si>
  <si>
    <t>Sobha Ltd</t>
  </si>
  <si>
    <t>SOBHA.NS</t>
  </si>
  <si>
    <t>Mahindra Lifespace</t>
  </si>
  <si>
    <t>MAHLIFE.NS</t>
  </si>
  <si>
    <t>Reading the shading</t>
  </si>
  <si>
    <t>Green→red scales on D/E (lower is better); red→green on CFO/EBITDA (higher is better). Interest coverage below 2.0x is flagged red. Highlighted rows are the three selected holdings.</t>
  </si>
  <si>
    <t>Negative-EBITDA caveat</t>
  </si>
  <si>
    <t>Godrej Properties and Mahindra Lifespace report negative consolidated operating profit in several years because their asset-light development-management/JV model routes economics through other income and share of associates. EBITDA-based interest coverage and CFO/EBITDA are therefore not meaningful for those two names and were winsorised before scoring rather than taken at face value.</t>
  </si>
  <si>
    <t>MULTI-FACTOR ARCHETYPE SCORES (z-scored across the universe)</t>
  </si>
  <si>
    <t>Fortress score</t>
  </si>
  <si>
    <t>Growth score</t>
  </si>
  <si>
    <t>Annuity score</t>
  </si>
  <si>
    <t>Composite</t>
  </si>
  <si>
    <t>INDIAN REAL ESTATE — 3-STOCK PORTFOLIO  ·  EXECUTIVE SUMMARY &amp; RECOMMENDATIONS</t>
  </si>
  <si>
    <t>Analysis window 2021-08-23 to 2026-08-27 (5.01 years) · Rf 6.80% · Universe 10 listed developers · Prepared 2026-08-30</t>
  </si>
  <si>
    <t>SELECTED HOLDINGS</t>
  </si>
  <si>
    <t>Archetype</t>
  </si>
  <si>
    <t>5Y CAGR</t>
  </si>
  <si>
    <t>Ann. σ</t>
  </si>
  <si>
    <t>Beta (Realty)</t>
  </si>
  <si>
    <t>The Balance-Sheet Fortress</t>
  </si>
  <si>
    <t>The High-Velocity Growth Engine</t>
  </si>
  <si>
    <t>The Annuity / Commercial Cash-Flow Champion</t>
  </si>
  <si>
    <t>CLIENT A vs CLIENT B — SIDE-BY-SIDE KPI COMPARISON</t>
  </si>
  <si>
    <t>KPI</t>
  </si>
  <si>
    <t>Delta (B − A)</t>
  </si>
  <si>
    <t>Mandate</t>
  </si>
  <si>
    <t>Capital preservation, low volatility</t>
  </si>
  <si>
    <t>Capital appreciation, momentum</t>
  </si>
  <si>
    <t>—</t>
  </si>
  <si>
    <t>Optimisation objective</t>
  </si>
  <si>
    <t>Minimum variance</t>
  </si>
  <si>
    <t>Growth-weighted maximum Sharpe</t>
  </si>
  <si>
    <t>Weight · Oberoi Realty</t>
  </si>
  <si>
    <t>Weight · Anant Raj Ltd</t>
  </si>
  <si>
    <t>Weight · Phoenix Mills</t>
  </si>
  <si>
    <t>Expected return  μp</t>
  </si>
  <si>
    <t>Volatility  σp</t>
  </si>
  <si>
    <t>Sharpe ratio</t>
  </si>
  <si>
    <t>Max drawdown (5Y actual)</t>
  </si>
  <si>
    <t>Portfolio beta vs Realty</t>
  </si>
  <si>
    <t>Daily VaR 95%</t>
  </si>
  <si>
    <t>ACTIONABLE RECOMMENDATION — CLIENT A (RISK-AVERSE)</t>
  </si>
  <si>
    <t>Allocation</t>
  </si>
  <si>
    <t>Oberoi Realty / Anant Raj Ltd / Phoenix Mills = 45% / 11% / 44%. Anchored on the minimum-variance solution, which is independent of the expected-return estimate and therefore the most robust allocation available.</t>
  </si>
  <si>
    <t>Entry strategy</t>
  </si>
  <si>
    <t>Staggered entry — deploy in 4 equal monthly tranches over 4 months (25% each). The portfolio has drawn down 30%+ inside the study window, so averaging in materially reduces single-point entry risk. Accelerate the remaining tranches if the Nifty Realty index falls more than 10% from the entry reference.</t>
  </si>
  <si>
    <t>Holding period</t>
  </si>
  <si>
    <t>Minimum 3 years, target 5 years. Annuity and low-leverage names compound through cycles; shorter horizons expose the client to sector beta they are not being paid to take.</t>
  </si>
  <si>
    <t>Target yield</t>
  </si>
  <si>
    <t>Base case 36.0% p.a. on shrunk inputs. Plan against a normalised 12–15% p.a. total return; treat anything above that as cycle-driven upside, not entitlement.</t>
  </si>
  <si>
    <t>Downside protection</t>
  </si>
  <si>
    <t>Portfolio σ of 27.9% is the lowest attainable from these three assets under the 10–45% bounds, and 24% below the weighted-average standalone σ. Worst observed drawdown -30.6%.</t>
  </si>
  <si>
    <t>Stop-loss discipline</t>
  </si>
  <si>
    <t>No hard price stop (forced selling in a cyclical sector destroys value). Instead use a fundamental stop: exit if consolidated net D/E exceeds 1.0x, or if two consecutive quarters show negative operating cash flow at any holding.</t>
  </si>
  <si>
    <t>ACTIONABLE RECOMMENDATION — CLIENT B (RISK-SEEKER)</t>
  </si>
  <si>
    <t>Oberoi Realty / Anant Raj Ltd / Phoenix Mills = 13% / 40% / 47%. Growth-weighted max-Sharpe with a hard 40% floor in Anant Raj Ltd, the fastest-compounding name in the universe.</t>
  </si>
  <si>
    <t>Front-loaded — 60% lump sum immediately to capture momentum, 40% held for two tranches deployed on 5% and 10% drawdowns from entry. Momentum strategies decay when entry is over-diluted, but a reserve tranche preserves the ability to average into volatility.</t>
  </si>
  <si>
    <t>3–5 years with active review. This sleeve is explicitly cycle-levered; the exit decision is a function of the rate cycle and pre-sales momentum, not the calendar.</t>
  </si>
  <si>
    <t>Base case 42.5% p.a. on shrunk inputs, versus 36.0% for Client A — roughly 70bps of excess return for 400bps of extra volatility.</t>
  </si>
  <si>
    <t>Upside catalysts</t>
  </si>
  <si>
    <t>Rate-cut transmission into home-loan rates, pre-sales beats, land-bank monetisation and new launches, REIT/InvIT monetisation of commercial assets, and index inclusion driving passive flows.</t>
  </si>
  <si>
    <t>Position-level trailing stop of 25% from the running peak on the growth sleeve (Anant Raj Ltd) only, given its 50% volatility and mid-cap liquidity profile. Hard review trigger if quarterly pre-sales growth turns negative.</t>
  </si>
  <si>
    <t>PORTFOLIO GOVERNANCE &amp; REBALANCING TRIGGERS</t>
  </si>
  <si>
    <t>Calendar rebalance</t>
  </si>
  <si>
    <t>Semi-annual review; rebalance only if a weight has drifted more than 500bps from target (avoids churn and short-term capital-gains drag).</t>
  </si>
  <si>
    <t>Drift trigger</t>
  </si>
  <si>
    <t>Hard rebalance if any single holding exceeds 50% of portfolio value, or falls below 5%.</t>
  </si>
  <si>
    <t>Macro trigger</t>
  </si>
  <si>
    <t>Rebalance toward Client A weights if the RBI raises the repo rate by more than 50bps cumulatively, or if the 10Y G-Sec yield rises above 7.5% — real estate is the most rate-sensitive sector on the exchange.</t>
  </si>
  <si>
    <t>Fundamental trigger</t>
  </si>
  <si>
    <t>Immediate review on: consolidated net debt/equity above 1.0x, interest coverage below 2.0x, CFO turning negative for two consecutive quarters, or promoter pledge above 20%.</t>
  </si>
  <si>
    <t>Concentration caveat</t>
  </si>
  <si>
    <t>Anant Raj Ltd is the smallest holding by market capitalisation in the selected set (₹21,814 Cr). Client B's 40% weight carries genuine liquidity and single-stock risk; size the absolute rupee position so it can be exited inside three trading days.</t>
  </si>
  <si>
    <t>Key model caveat</t>
  </si>
  <si>
    <t>Expected returns are derived from a 5-year window in which the Nifty Realty index ran a powerful up-cycle. Realised CAGRs of 24–60% are not repeatable; they are shrunk 40% toward the sector mean here and should still be haircut further for long-horizon planning. Allocation conclusions are robust — Client A's weights do not depend on μ at all, and Client B's shift by less than 300bps under a 40% return haircut.</t>
  </si>
  <si>
    <t>ASSUMPTIONS, METHODOLOGY &amp; DATA LINEAGE</t>
  </si>
  <si>
    <t>Full reproducibility record for the model.</t>
  </si>
  <si>
    <t>Price source</t>
  </si>
  <si>
    <t>Yahoo Finance daily adjusted closes via yfinance (auto_adjust=True: split- and dividend-adjusted). NSE tickers with .NS suffix. Window 2021-08-23 → 2026-08-27, 1240 sessions.</t>
  </si>
  <si>
    <t>Fundamental source</t>
  </si>
  <si>
    <t>screener.in consolidated company pages (P&amp;L, balance sheet, cash flow, ratios, compounded-growth tables), parsed with BeautifulSoup. Raw HTML retained in ./data/raw_&lt;SLUG&gt;.html for audit.</t>
  </si>
  <si>
    <t>Pre-sales &amp; land bank</t>
  </si>
  <si>
    <t>screener.in exposes these in its 'Insights' block only to logged-in subscribers; the values render as masked placeholders for anonymous requests and were therefore NOT scraped. Pre-sales momentum and land-bank depth are treated qualitatively in the PDF report and are not inputs to the quantitative score.</t>
  </si>
  <si>
    <t>Risk-free rate</t>
  </si>
  <si>
    <t>6.80%, the mandated RBI 10Y G-Sec / 91-day T-bill baseline. Held constant across all Sharpe/Sortino calculations.</t>
  </si>
  <si>
    <t>Return convention</t>
  </si>
  <si>
    <t>Daily returns are logarithmic, ln(Pt/Pt-1), for additivity and volatility estimation. Monthly returns are simple month-end changes. CAGR uses simple price relatives over the actual year-fraction of the window.</t>
  </si>
  <si>
    <t>Annualisation</t>
  </si>
  <si>
    <t>252 trading days. σ_annual = σ_daily × √252; covariance matrix scaled by 252.</t>
  </si>
  <si>
    <t>Beta window</t>
  </si>
  <si>
    <t>Nifty Realty (^CNXREALTY) terminates 2026-07-17 on the vendor feed, 35 sessions before the stock series. Realty betas use the gap-free overlapping window of 1205 sessions; Nifty 50 betas use the full 1239 return observations.</t>
  </si>
  <si>
    <t>Excel function dialect</t>
  </si>
  <si>
    <t>Classic functions only (STDEV, VAR, VARP, COVAR, CORREL, SUMPRODUCT, MMULT, TRANSPOSE, INDEX, COUNT). STDEV is identical to STDEV.S; VAR is identical to VAR.S. COVAR returns population covariance, so the covariance matrix multiplies by n/(n-1) to match COVARIANCE.S. Beta uses COVAR/VARP, algebraically identical to COVARIANCE.S/VAR.S. This avoids _xlfn compatibility errors across Excel, LibreOffice and Sheets.</t>
  </si>
  <si>
    <t>Expected returns</t>
  </si>
  <si>
    <t>Realised 5Y CAGR shrunk 40% toward the cross-sectional mean (James-Stein style) to control estimation error before optimisation. Both the raw and shrunk vectors are shown on Portfolio_Optimization.</t>
  </si>
  <si>
    <t>Client A objective</t>
  </si>
  <si>
    <t>Minimise wᵀΣw subject to Σw=1, 0.10 ≤ w ≤ 0.45. Solved with SLSQP from four starting points.</t>
  </si>
  <si>
    <t>Client B objective</t>
  </si>
  <si>
    <t>Maximise (wᵀμ − Rf)/√(wᵀΣw) subject to Σw=1, 0.05 ≤ w ≤ 0.60, w[ANANTRAJ.NS] ≥ 40%.</t>
  </si>
  <si>
    <t>Drawdown / VaR</t>
  </si>
  <si>
    <t>Computed on the daily-rebalanced portfolio log-return series over the full window; VaR 95% is the historical 5th percentile of daily returns, not a parametric estimate.</t>
  </si>
  <si>
    <t>Known limitation</t>
  </si>
  <si>
    <t>The 5-year window covers an exceptional real estate up-cycle. Every return statistic in this workbook is conditioned on that regime and should not be read as a forward forecast.</t>
  </si>
  <si>
    <t>Not investment advice</t>
  </si>
  <si>
    <t>Prepared as a quantitative research exercise. No representation is made that these allocations are suitable for any specific investor.</t>
  </si>
</sst>
</file>

<file path=xl/styles.xml><?xml version="1.0" encoding="utf-8"?>
<styleSheet xmlns="http://schemas.openxmlformats.org/spreadsheetml/2006/main">
  <numFmts count="7">
    <numFmt numFmtId="164" formatCode="0.00%"/>
    <numFmt numFmtId="165" formatCode="#,##0.00"/>
    <numFmt numFmtId="166" formatCode="0.000"/>
    <numFmt numFmtId="167" formatCode="yyyy-mm-dd"/>
    <numFmt numFmtId="168" formatCode="0.000000"/>
    <numFmt numFmtId="169" formatCode="#,##0"/>
    <numFmt numFmtId="170" formatCode="0.0000"/>
  </numFmts>
  <fonts count="11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i/>
      <sz val="10"/>
      <color rgb="FF4A5B6B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2293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5A6B7B"/>
      <name val="Calibri"/>
      <family val="2"/>
      <scheme val="minor"/>
    </font>
    <font>
      <b/>
      <sz val="10"/>
      <color rgb="FF0B6B3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2293F"/>
        <bgColor indexed="64"/>
      </patternFill>
    </fill>
    <fill>
      <patternFill patternType="solid">
        <fgColor rgb="FF2E4A66"/>
        <bgColor indexed="64"/>
      </patternFill>
    </fill>
    <fill>
      <patternFill patternType="solid">
        <fgColor rgb="FFFFF6DA"/>
        <bgColor indexed="64"/>
      </patternFill>
    </fill>
    <fill>
      <patternFill patternType="solid">
        <fgColor rgb="FFED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F4EA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4DCE4"/>
      </left>
      <right style="thin">
        <color rgb="FFD4DCE4"/>
      </right>
      <top style="thin">
        <color rgb="FFD4DCE4"/>
      </top>
      <bottom style="thin">
        <color rgb="FFD4DCE4"/>
      </bottom>
      <diagonal/>
    </border>
    <border>
      <left style="thin">
        <color rgb="FFE4EAEF"/>
      </left>
      <right style="thin">
        <color rgb="FFE4EAEF"/>
      </right>
      <top style="thin">
        <color rgb="FFE4EAEF"/>
      </top>
      <bottom style="thin">
        <color rgb="FFE4EAEF"/>
      </bottom>
      <diagonal/>
    </border>
    <border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indent="1"/>
    </xf>
    <xf numFmtId="0" fontId="6" fillId="5" borderId="2" xfId="0" applyFont="1" applyFill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64" fontId="7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right"/>
    </xf>
    <xf numFmtId="164" fontId="6" fillId="4" borderId="2" xfId="0" applyNumberFormat="1" applyFont="1" applyFill="1" applyBorder="1" applyAlignment="1">
      <alignment horizontal="right"/>
    </xf>
    <xf numFmtId="166" fontId="6" fillId="4" borderId="2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left" vertical="top" indent="1" wrapText="1"/>
    </xf>
    <xf numFmtId="167" fontId="8" fillId="0" borderId="3" xfId="0" applyNumberFormat="1" applyFont="1" applyBorder="1" applyAlignment="1">
      <alignment horizontal="center"/>
    </xf>
    <xf numFmtId="168" fontId="7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 vertical="top" indent="1" wrapText="1"/>
    </xf>
    <xf numFmtId="164" fontId="6" fillId="6" borderId="4" xfId="0" applyNumberFormat="1" applyFont="1" applyFill="1" applyBorder="1" applyAlignment="1">
      <alignment horizontal="right"/>
    </xf>
    <xf numFmtId="169" fontId="7" fillId="0" borderId="2" xfId="0" applyNumberFormat="1" applyFont="1" applyBorder="1" applyAlignment="1">
      <alignment horizontal="right"/>
    </xf>
    <xf numFmtId="170" fontId="7" fillId="0" borderId="2" xfId="0" applyNumberFormat="1" applyFont="1" applyBorder="1" applyAlignment="1">
      <alignment horizontal="right"/>
    </xf>
    <xf numFmtId="0" fontId="10" fillId="7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numFmt numFmtId="165" formatCode="#,##0.00"/>
      <fill>
        <patternFill>
          <bgColor rgb="FFFFD7D7"/>
        </patternFill>
      </fill>
      <border>
        <left style="thin">
          <color rgb="FFD4DCE4"/>
        </left>
        <right style="thin">
          <color rgb="FFD4DCE4"/>
        </right>
        <top style="thin">
          <color rgb="FFD4DCE4"/>
        </top>
        <bottom style="thin">
          <color rgb="FFD4DCE4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Efficient Frontier — 3-Stock Real Estate Portfolio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Efficient frontier</c:v>
          </c:tx>
          <c:spPr>
            <a:ln w="25400">
              <a:solidFill>
                <a:srgbClr val="12293F"/>
              </a:solidFill>
            </a:ln>
          </c:spPr>
          <c:marker>
            <c:symbol val="none"/>
          </c:marker>
          <c:xVal>
            <c:numRef>
              <c:f>Portfolio_Optimization!$B$65:$B$104</c:f>
              <c:numCache>
                <c:formatCode>General</c:formatCode>
                <c:ptCount val="40"/>
                <c:pt idx="0">
                  <c:v>0.3417007956757814</c:v>
                </c:pt>
                <c:pt idx="1">
                  <c:v>0.3263843977014669</c:v>
                </c:pt>
                <c:pt idx="2">
                  <c:v>0.313008030803359</c:v>
                </c:pt>
                <c:pt idx="3">
                  <c:v>0.3018301357960291</c:v>
                </c:pt>
                <c:pt idx="4">
                  <c:v>0.293102017364942</c:v>
                </c:pt>
                <c:pt idx="5">
                  <c:v>0.2870474844697599</c:v>
                </c:pt>
                <c:pt idx="6">
                  <c:v>0.2837918980956415</c:v>
                </c:pt>
                <c:pt idx="7">
                  <c:v>0.2818264077123874</c:v>
                </c:pt>
                <c:pt idx="8">
                  <c:v>0.2803738388965556</c:v>
                </c:pt>
                <c:pt idx="9">
                  <c:v>0.2794429749905799</c:v>
                </c:pt>
                <c:pt idx="10">
                  <c:v>0.2790387627741132</c:v>
                </c:pt>
                <c:pt idx="11">
                  <c:v>0.2791637816451905</c:v>
                </c:pt>
                <c:pt idx="12">
                  <c:v>0.2798164866541559</c:v>
                </c:pt>
                <c:pt idx="13">
                  <c:v>0.2809943004414431</c:v>
                </c:pt>
                <c:pt idx="14">
                  <c:v>0.2826895731301286</c:v>
                </c:pt>
                <c:pt idx="15">
                  <c:v>0.2848941386879691</c:v>
                </c:pt>
                <c:pt idx="16">
                  <c:v>0.2875958266276976</c:v>
                </c:pt>
                <c:pt idx="17">
                  <c:v>0.290780049379243</c:v>
                </c:pt>
                <c:pt idx="18">
                  <c:v>0.2944318805813773</c:v>
                </c:pt>
                <c:pt idx="19">
                  <c:v>0.298534583348867</c:v>
                </c:pt>
                <c:pt idx="20">
                  <c:v>0.3030688721988116</c:v>
                </c:pt>
                <c:pt idx="21">
                  <c:v>0.3080166412283915</c:v>
                </c:pt>
                <c:pt idx="22">
                  <c:v>0.3133573738865645</c:v>
                </c:pt>
                <c:pt idx="23">
                  <c:v>0.3190722466339074</c:v>
                </c:pt>
                <c:pt idx="24">
                  <c:v>0.3251408214656659</c:v>
                </c:pt>
                <c:pt idx="25">
                  <c:v>0.3315437636071715</c:v>
                </c:pt>
                <c:pt idx="26">
                  <c:v>0.3382626747856103</c:v>
                </c:pt>
                <c:pt idx="27">
                  <c:v>0.3456153484031316</c:v>
                </c:pt>
                <c:pt idx="28">
                  <c:v>0.3541300157854096</c:v>
                </c:pt>
                <c:pt idx="29">
                  <c:v>0.3637349838046494</c:v>
                </c:pt>
                <c:pt idx="30">
                  <c:v>0.3743463371550472</c:v>
                </c:pt>
                <c:pt idx="31">
                  <c:v>0.3858813596059492</c:v>
                </c:pt>
                <c:pt idx="32">
                  <c:v>0.3982592515443363</c:v>
                </c:pt>
                <c:pt idx="33">
                  <c:v>0.4114041936159762</c:v>
                </c:pt>
                <c:pt idx="34">
                  <c:v>0.4252450598699601</c:v>
                </c:pt>
                <c:pt idx="35">
                  <c:v>0.4397161387732296</c:v>
                </c:pt>
                <c:pt idx="36">
                  <c:v>0.4547572712847018</c:v>
                </c:pt>
                <c:pt idx="37">
                  <c:v>0.4703141620418594</c:v>
                </c:pt>
                <c:pt idx="38">
                  <c:v>0.4863365811422101</c:v>
                </c:pt>
                <c:pt idx="39">
                  <c:v>0.502780370173586</c:v>
                </c:pt>
              </c:numCache>
            </c:numRef>
          </c:xVal>
          <c:yVal>
            <c:numRef>
              <c:f>Portfolio_Optimization!$A$65:$A$104</c:f>
              <c:numCache>
                <c:formatCode>General</c:formatCode>
                <c:ptCount val="40"/>
                <c:pt idx="0">
                  <c:v>0.3014166292682822</c:v>
                </c:pt>
                <c:pt idx="1">
                  <c:v>0.3069906226691783</c:v>
                </c:pt>
                <c:pt idx="2">
                  <c:v>0.3125646943608971</c:v>
                </c:pt>
                <c:pt idx="3">
                  <c:v>0.3181386877617932</c:v>
                </c:pt>
                <c:pt idx="4">
                  <c:v>0.3237127594535119</c:v>
                </c:pt>
                <c:pt idx="5">
                  <c:v>0.3292867528544081</c:v>
                </c:pt>
                <c:pt idx="6">
                  <c:v>0.3348603726482489</c:v>
                </c:pt>
                <c:pt idx="7">
                  <c:v>0.3404348146286675</c:v>
                </c:pt>
                <c:pt idx="8">
                  <c:v>0.3460084189033601</c:v>
                </c:pt>
                <c:pt idx="9">
                  <c:v>0.3515824028855044</c:v>
                </c:pt>
                <c:pt idx="10">
                  <c:v>0.3571564651584713</c:v>
                </c:pt>
                <c:pt idx="11">
                  <c:v>0.3627308288480675</c:v>
                </c:pt>
                <c:pt idx="12">
                  <c:v>0.3683045114135825</c:v>
                </c:pt>
                <c:pt idx="13">
                  <c:v>0.3738788751031787</c:v>
                </c:pt>
                <c:pt idx="14">
                  <c:v>0.3794525576686937</c:v>
                </c:pt>
                <c:pt idx="15">
                  <c:v>0.3850269213582899</c:v>
                </c:pt>
                <c:pt idx="16">
                  <c:v>0.3906014241439777</c:v>
                </c:pt>
                <c:pt idx="17">
                  <c:v>0.3961749676134011</c:v>
                </c:pt>
                <c:pt idx="18">
                  <c:v>0.4017486501789161</c:v>
                </c:pt>
                <c:pt idx="19">
                  <c:v>0.4073230138685123</c:v>
                </c:pt>
                <c:pt idx="20">
                  <c:v>0.4128966964340273</c:v>
                </c:pt>
                <c:pt idx="21">
                  <c:v>0.4184710601236235</c:v>
                </c:pt>
                <c:pt idx="22">
                  <c:v>0.4240447426891385</c:v>
                </c:pt>
                <c:pt idx="23">
                  <c:v>0.4296191063787347</c:v>
                </c:pt>
                <c:pt idx="24">
                  <c:v>0.435193090360879</c:v>
                </c:pt>
                <c:pt idx="25">
                  <c:v>0.440766772926394</c:v>
                </c:pt>
                <c:pt idx="26">
                  <c:v>0.4463411366159902</c:v>
                </c:pt>
                <c:pt idx="27">
                  <c:v>0.4519152931159634</c:v>
                </c:pt>
                <c:pt idx="28">
                  <c:v>0.4574892907987723</c:v>
                </c:pt>
                <c:pt idx="29">
                  <c:v>0.4630632884815813</c:v>
                </c:pt>
                <c:pt idx="30">
                  <c:v>0.4686372861643902</c:v>
                </c:pt>
                <c:pt idx="31">
                  <c:v>0.4742114229432908</c:v>
                </c:pt>
                <c:pt idx="32">
                  <c:v>0.4797854206260997</c:v>
                </c:pt>
                <c:pt idx="33">
                  <c:v>0.4853594183089087</c:v>
                </c:pt>
                <c:pt idx="34">
                  <c:v>0.4909334159917175</c:v>
                </c:pt>
                <c:pt idx="35">
                  <c:v>0.4965074136745264</c:v>
                </c:pt>
                <c:pt idx="36">
                  <c:v>0.5020814113573354</c:v>
                </c:pt>
                <c:pt idx="37">
                  <c:v>0.507655548136236</c:v>
                </c:pt>
                <c:pt idx="38">
                  <c:v>0.513229545819045</c:v>
                </c:pt>
                <c:pt idx="39">
                  <c:v>0.5188035435018539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Annualised volatility</a:t>
                </a:r>
              </a:p>
            </c:rich>
          </c:tx>
          <c:layout/>
        </c:title>
        <c:numFmt formatCode="0%" sourceLinked="0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Expected return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7</xdr:col>
      <xdr:colOff>876300</xdr:colOff>
      <xdr:row>81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2293F"/>
  </sheetPr>
  <dimension ref="A1:J49"/>
  <sheetViews>
    <sheetView showGridLines="0" tabSelected="1" workbookViewId="0"/>
  </sheetViews>
  <sheetFormatPr defaultRowHeight="15"/>
  <cols>
    <col min="1" max="1" width="34.7109375" customWidth="1"/>
    <col min="2" max="2" width="22.7109375" customWidth="1"/>
    <col min="3" max="9" width="17.7109375" customWidth="1"/>
  </cols>
  <sheetData>
    <row r="1" spans="1:10" ht="22" customHeight="1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</row>
    <row r="2" spans="1:10" ht="12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161</v>
      </c>
    </row>
    <row r="5" spans="1:10">
      <c r="A5" s="3" t="s">
        <v>162</v>
      </c>
      <c r="B5" s="3"/>
      <c r="C5" s="3"/>
      <c r="D5" s="3"/>
      <c r="E5" s="3"/>
      <c r="F5" s="3"/>
      <c r="G5" s="3"/>
    </row>
    <row r="6" spans="1:10">
      <c r="A6" s="4" t="s">
        <v>163</v>
      </c>
      <c r="B6" s="5" t="s">
        <v>114</v>
      </c>
      <c r="C6" s="5" t="s">
        <v>115</v>
      </c>
      <c r="D6" s="5" t="s">
        <v>164</v>
      </c>
      <c r="E6" s="5" t="s">
        <v>165</v>
      </c>
      <c r="F6" s="5" t="s">
        <v>102</v>
      </c>
      <c r="G6" s="5" t="s">
        <v>166</v>
      </c>
      <c r="H6" s="5" t="s">
        <v>103</v>
      </c>
    </row>
    <row r="7" spans="1:10">
      <c r="A7" s="6" t="s">
        <v>167</v>
      </c>
      <c r="B7" s="7" t="s">
        <v>34</v>
      </c>
      <c r="C7" s="8" t="s">
        <v>141</v>
      </c>
      <c r="D7" s="9">
        <f>Risk_Return_Metrics!B10</f>
        <v>0.235710465542887</v>
      </c>
      <c r="E7" s="9">
        <f>Risk_Return_Metrics!B12</f>
        <v>0.341700795675781</v>
      </c>
      <c r="F7" s="10">
        <f>Risk_Return_Metrics!B13</f>
        <v>0.4908108721585102</v>
      </c>
      <c r="G7" s="10">
        <f>Risk_Return_Metrics!B14</f>
        <v>0.9516183128229024</v>
      </c>
      <c r="H7" s="9">
        <v>-0.3886199024568518</v>
      </c>
    </row>
    <row r="8" spans="1:10">
      <c r="A8" s="6" t="s">
        <v>168</v>
      </c>
      <c r="B8" s="7" t="s">
        <v>35</v>
      </c>
      <c r="C8" s="8" t="s">
        <v>144</v>
      </c>
      <c r="D8" s="9">
        <f>Risk_Return_Metrics!C10</f>
        <v>0.5980219892655065</v>
      </c>
      <c r="E8" s="9">
        <f>Risk_Return_Metrics!C12</f>
        <v>0.5027803701735858</v>
      </c>
      <c r="F8" s="10">
        <f>Risk_Return_Metrics!C13</f>
        <v>1.054181946448139</v>
      </c>
      <c r="G8" s="10">
        <f>Risk_Return_Metrics!C14</f>
        <v>0.9184417726177008</v>
      </c>
      <c r="H8" s="9">
        <v>-0.5658293351673471</v>
      </c>
    </row>
    <row r="9" spans="1:10">
      <c r="A9" s="6" t="s">
        <v>169</v>
      </c>
      <c r="B9" s="7" t="s">
        <v>36</v>
      </c>
      <c r="C9" s="8" t="s">
        <v>138</v>
      </c>
      <c r="D9" s="9">
        <f>Risk_Return_Metrics!D10</f>
        <v>0.3661951697607311</v>
      </c>
      <c r="E9" s="9">
        <f>Risk_Return_Metrics!D12</f>
        <v>0.3563074397415027</v>
      </c>
      <c r="F9" s="10">
        <f>Risk_Return_Metrics!D13</f>
        <v>0.8369041353081724</v>
      </c>
      <c r="G9" s="10">
        <f>Risk_Return_Metrics!D14</f>
        <v>0.7089633340951379</v>
      </c>
      <c r="H9" s="9">
        <v>-0.3163113588612323</v>
      </c>
    </row>
    <row r="11" spans="1:10">
      <c r="A11" s="3" t="s">
        <v>170</v>
      </c>
      <c r="B11" s="3"/>
      <c r="C11" s="3"/>
      <c r="D11" s="3"/>
      <c r="E11" s="3"/>
      <c r="F11" s="3"/>
      <c r="G11" s="3"/>
    </row>
    <row r="12" spans="1:10">
      <c r="A12" s="4" t="s">
        <v>171</v>
      </c>
      <c r="B12" s="5" t="s">
        <v>104</v>
      </c>
      <c r="C12" s="5" t="s">
        <v>105</v>
      </c>
      <c r="D12" s="5" t="s">
        <v>172</v>
      </c>
    </row>
    <row r="13" spans="1:10">
      <c r="A13" s="7" t="s">
        <v>173</v>
      </c>
      <c r="B13" s="8" t="s">
        <v>174</v>
      </c>
      <c r="C13" s="8" t="s">
        <v>175</v>
      </c>
      <c r="D13" s="8" t="s">
        <v>176</v>
      </c>
    </row>
    <row r="14" spans="1:10">
      <c r="A14" s="7" t="s">
        <v>177</v>
      </c>
      <c r="B14" s="8" t="s">
        <v>178</v>
      </c>
      <c r="C14" s="8" t="s">
        <v>179</v>
      </c>
      <c r="D14" s="8" t="s">
        <v>176</v>
      </c>
    </row>
    <row r="15" spans="1:10">
      <c r="A15" s="8" t="s">
        <v>180</v>
      </c>
      <c r="B15" s="9">
        <f>Portfolio_Optimization!B14</f>
        <v>0.45</v>
      </c>
      <c r="C15" s="9">
        <f>Portfolio_Optimization!B21</f>
        <v>0.125941</v>
      </c>
      <c r="D15" s="9">
        <f>C15-B15</f>
        <v>-0.324059</v>
      </c>
    </row>
    <row r="16" spans="1:10">
      <c r="A16" s="8" t="s">
        <v>181</v>
      </c>
      <c r="B16" s="9">
        <f>Portfolio_Optimization!C14</f>
        <v>0.109393</v>
      </c>
      <c r="C16" s="9">
        <f>Portfolio_Optimization!C21</f>
        <v>0.4</v>
      </c>
      <c r="D16" s="9">
        <f>C16-B16</f>
        <v>0.290607</v>
      </c>
    </row>
    <row r="17" spans="1:7">
      <c r="A17" s="8" t="s">
        <v>182</v>
      </c>
      <c r="B17" s="9">
        <f>Portfolio_Optimization!D14</f>
        <v>0.440607</v>
      </c>
      <c r="C17" s="9">
        <f>Portfolio_Optimization!D21</f>
        <v>0.474059</v>
      </c>
      <c r="D17" s="9">
        <f>C17-B17</f>
        <v>0.03345199999999998</v>
      </c>
    </row>
    <row r="18" spans="1:7">
      <c r="A18" s="7" t="s">
        <v>183</v>
      </c>
      <c r="B18" s="11">
        <f>Portfolio_Optimization!B27</f>
        <v>0.35969272041982225</v>
      </c>
      <c r="C18" s="11">
        <f>Portfolio_Optimization!B41</f>
        <v>0.425485863999795</v>
      </c>
      <c r="D18" s="11">
        <f>C18-B18</f>
        <v>0.06579314357997273</v>
      </c>
    </row>
    <row r="19" spans="1:7">
      <c r="A19" s="7" t="s">
        <v>184</v>
      </c>
      <c r="B19" s="11">
        <f>Portfolio_Optimization!B31</f>
        <v>0.27903461215054687</v>
      </c>
      <c r="C19" s="11">
        <f>Portfolio_Optimization!B45</f>
        <v>0.3149158998562823</v>
      </c>
      <c r="D19" s="11">
        <f>C19-B19</f>
        <v>0.035881287705735454</v>
      </c>
    </row>
    <row r="20" spans="1:7">
      <c r="A20" s="7" t="s">
        <v>185</v>
      </c>
      <c r="B20" s="12">
        <f>Portfolio_Optimization!B32</f>
        <v>1.045363935935109</v>
      </c>
      <c r="C20" s="12">
        <f>Portfolio_Optimization!B46</f>
        <v>1.1351788339773896</v>
      </c>
      <c r="D20" s="12">
        <f>C20-B20</f>
        <v>0.0898148980422806</v>
      </c>
    </row>
    <row r="21" spans="1:7">
      <c r="A21" s="7" t="s">
        <v>51</v>
      </c>
      <c r="B21" s="12">
        <f>Portfolio_Optimization!B38</f>
        <v>1.541470106567901</v>
      </c>
      <c r="C21" s="12">
        <f>Portfolio_Optimization!B52</f>
        <v>1.6569742759014328</v>
      </c>
      <c r="D21" s="12">
        <f>C21-B21</f>
        <v>0.11550416933353169</v>
      </c>
    </row>
    <row r="22" spans="1:7">
      <c r="A22" s="7" t="s">
        <v>186</v>
      </c>
      <c r="B22" s="9">
        <f>Portfolio_Optimization!B36</f>
        <v>-0.3057417673480648</v>
      </c>
      <c r="C22" s="9">
        <f>Portfolio_Optimization!B50</f>
        <v>-0.3606140545639276</v>
      </c>
      <c r="D22" s="9">
        <f>C22-B22</f>
        <v>-0.05487228721586279</v>
      </c>
    </row>
    <row r="23" spans="1:7">
      <c r="A23" s="7" t="s">
        <v>187</v>
      </c>
      <c r="B23" s="10">
        <f>Portfolio_Optimization!B33</f>
        <v>0.8410735493479308</v>
      </c>
      <c r="C23" s="10">
        <f>Portfolio_Optimization!B47</f>
        <v>0.8233149201801164</v>
      </c>
      <c r="D23" s="10">
        <f>C23-B23</f>
        <v>-0.017758629167814344</v>
      </c>
    </row>
    <row r="24" spans="1:7">
      <c r="A24" s="7" t="s">
        <v>188</v>
      </c>
      <c r="B24" s="9">
        <f>Portfolio_Optimization!B37</f>
        <v>-0.027204762733800368</v>
      </c>
      <c r="C24" s="9">
        <f>Portfolio_Optimization!B51</f>
        <v>-0.030274747992513684</v>
      </c>
      <c r="D24" s="9">
        <f>C24-B24</f>
        <v>-0.0030699852587133154</v>
      </c>
    </row>
    <row r="25" spans="1:7">
      <c r="A25" s="7" t="s">
        <v>94</v>
      </c>
      <c r="B25" s="12">
        <f>Portfolio_Optimization!B35</f>
        <v>1.3107963932207403</v>
      </c>
      <c r="C25" s="12">
        <f>Portfolio_Optimization!B49</f>
        <v>1.3116423678276048</v>
      </c>
      <c r="D25" s="12">
        <f>C25-B25</f>
        <v>0.0008459746068645302</v>
      </c>
    </row>
    <row r="27" spans="1:7">
      <c r="A27" s="3" t="s">
        <v>189</v>
      </c>
      <c r="B27" s="3"/>
      <c r="C27" s="3"/>
      <c r="D27" s="3"/>
      <c r="E27" s="3"/>
      <c r="F27" s="3"/>
      <c r="G27" s="3"/>
    </row>
    <row r="28" spans="1:7" ht="44" customHeight="1">
      <c r="A28" s="7" t="s">
        <v>190</v>
      </c>
      <c r="B28" s="13" t="s">
        <v>191</v>
      </c>
      <c r="C28" s="13"/>
      <c r="D28" s="13"/>
      <c r="E28" s="13"/>
      <c r="F28" s="13"/>
      <c r="G28" s="13"/>
    </row>
    <row r="29" spans="1:7" ht="44" customHeight="1">
      <c r="A29" s="7" t="s">
        <v>192</v>
      </c>
      <c r="B29" s="13" t="s">
        <v>193</v>
      </c>
      <c r="C29" s="13"/>
      <c r="D29" s="13"/>
      <c r="E29" s="13"/>
      <c r="F29" s="13"/>
      <c r="G29" s="13"/>
    </row>
    <row r="30" spans="1:7" ht="30" customHeight="1">
      <c r="A30" s="7" t="s">
        <v>194</v>
      </c>
      <c r="B30" s="13" t="s">
        <v>195</v>
      </c>
      <c r="C30" s="13"/>
      <c r="D30" s="13"/>
      <c r="E30" s="13"/>
      <c r="F30" s="13"/>
      <c r="G30" s="13"/>
    </row>
    <row r="31" spans="1:7" ht="30" customHeight="1">
      <c r="A31" s="7" t="s">
        <v>196</v>
      </c>
      <c r="B31" s="13" t="s">
        <v>197</v>
      </c>
      <c r="C31" s="13"/>
      <c r="D31" s="13"/>
      <c r="E31" s="13"/>
      <c r="F31" s="13"/>
      <c r="G31" s="13"/>
    </row>
    <row r="32" spans="1:7" ht="30" customHeight="1">
      <c r="A32" s="7" t="s">
        <v>198</v>
      </c>
      <c r="B32" s="13" t="s">
        <v>199</v>
      </c>
      <c r="C32" s="13"/>
      <c r="D32" s="13"/>
      <c r="E32" s="13"/>
      <c r="F32" s="13"/>
      <c r="G32" s="13"/>
    </row>
    <row r="33" spans="1:7" ht="44" customHeight="1">
      <c r="A33" s="7" t="s">
        <v>200</v>
      </c>
      <c r="B33" s="13" t="s">
        <v>201</v>
      </c>
      <c r="C33" s="13"/>
      <c r="D33" s="13"/>
      <c r="E33" s="13"/>
      <c r="F33" s="13"/>
      <c r="G33" s="13"/>
    </row>
    <row r="35" spans="1:7">
      <c r="A35" s="3" t="s">
        <v>202</v>
      </c>
      <c r="B35" s="3"/>
      <c r="C35" s="3"/>
      <c r="D35" s="3"/>
      <c r="E35" s="3"/>
      <c r="F35" s="3"/>
      <c r="G35" s="3"/>
    </row>
    <row r="36" spans="1:7" ht="30" customHeight="1">
      <c r="A36" s="7" t="s">
        <v>190</v>
      </c>
      <c r="B36" s="13" t="s">
        <v>203</v>
      </c>
      <c r="C36" s="13"/>
      <c r="D36" s="13"/>
      <c r="E36" s="13"/>
      <c r="F36" s="13"/>
      <c r="G36" s="13"/>
    </row>
    <row r="37" spans="1:7" ht="44" customHeight="1">
      <c r="A37" s="7" t="s">
        <v>192</v>
      </c>
      <c r="B37" s="13" t="s">
        <v>204</v>
      </c>
      <c r="C37" s="13"/>
      <c r="D37" s="13"/>
      <c r="E37" s="13"/>
      <c r="F37" s="13"/>
      <c r="G37" s="13"/>
    </row>
    <row r="38" spans="1:7" ht="30" customHeight="1">
      <c r="A38" s="7" t="s">
        <v>194</v>
      </c>
      <c r="B38" s="13" t="s">
        <v>205</v>
      </c>
      <c r="C38" s="13"/>
      <c r="D38" s="13"/>
      <c r="E38" s="13"/>
      <c r="F38" s="13"/>
      <c r="G38" s="13"/>
    </row>
    <row r="39" spans="1:7" ht="30" customHeight="1">
      <c r="A39" s="7" t="s">
        <v>196</v>
      </c>
      <c r="B39" s="13" t="s">
        <v>206</v>
      </c>
      <c r="C39" s="13"/>
      <c r="D39" s="13"/>
      <c r="E39" s="13"/>
      <c r="F39" s="13"/>
      <c r="G39" s="13"/>
    </row>
    <row r="40" spans="1:7" ht="44" customHeight="1">
      <c r="A40" s="7" t="s">
        <v>207</v>
      </c>
      <c r="B40" s="13" t="s">
        <v>208</v>
      </c>
      <c r="C40" s="13"/>
      <c r="D40" s="13"/>
      <c r="E40" s="13"/>
      <c r="F40" s="13"/>
      <c r="G40" s="13"/>
    </row>
    <row r="41" spans="1:7" ht="44" customHeight="1">
      <c r="A41" s="7" t="s">
        <v>200</v>
      </c>
      <c r="B41" s="13" t="s">
        <v>209</v>
      </c>
      <c r="C41" s="13"/>
      <c r="D41" s="13"/>
      <c r="E41" s="13"/>
      <c r="F41" s="13"/>
      <c r="G41" s="13"/>
    </row>
    <row r="43" spans="1:7">
      <c r="A43" s="3" t="s">
        <v>210</v>
      </c>
      <c r="B43" s="3"/>
      <c r="C43" s="3"/>
      <c r="D43" s="3"/>
      <c r="E43" s="3"/>
      <c r="F43" s="3"/>
      <c r="G43" s="3"/>
    </row>
    <row r="44" spans="1:7" ht="30" customHeight="1">
      <c r="A44" s="7" t="s">
        <v>211</v>
      </c>
      <c r="B44" s="13" t="s">
        <v>212</v>
      </c>
      <c r="C44" s="13"/>
      <c r="D44" s="13"/>
      <c r="E44" s="13"/>
      <c r="F44" s="13"/>
      <c r="G44" s="13"/>
    </row>
    <row r="45" spans="1:7" ht="30" customHeight="1">
      <c r="A45" s="7" t="s">
        <v>213</v>
      </c>
      <c r="B45" s="13" t="s">
        <v>214</v>
      </c>
      <c r="C45" s="13"/>
      <c r="D45" s="13"/>
      <c r="E45" s="13"/>
      <c r="F45" s="13"/>
      <c r="G45" s="13"/>
    </row>
    <row r="46" spans="1:7" ht="44" customHeight="1">
      <c r="A46" s="7" t="s">
        <v>215</v>
      </c>
      <c r="B46" s="13" t="s">
        <v>216</v>
      </c>
      <c r="C46" s="13"/>
      <c r="D46" s="13"/>
      <c r="E46" s="13"/>
      <c r="F46" s="13"/>
      <c r="G46" s="13"/>
    </row>
    <row r="47" spans="1:7" ht="30" customHeight="1">
      <c r="A47" s="7" t="s">
        <v>217</v>
      </c>
      <c r="B47" s="13" t="s">
        <v>218</v>
      </c>
      <c r="C47" s="13"/>
      <c r="D47" s="13"/>
      <c r="E47" s="13"/>
      <c r="F47" s="13"/>
      <c r="G47" s="13"/>
    </row>
    <row r="48" spans="1:7" ht="44" customHeight="1">
      <c r="A48" s="7" t="s">
        <v>219</v>
      </c>
      <c r="B48" s="13" t="s">
        <v>220</v>
      </c>
      <c r="C48" s="13"/>
      <c r="D48" s="13"/>
      <c r="E48" s="13"/>
      <c r="F48" s="13"/>
      <c r="G48" s="13"/>
    </row>
    <row r="49" spans="1:7" ht="44" customHeight="1">
      <c r="A49" s="7" t="s">
        <v>221</v>
      </c>
      <c r="B49" s="13" t="s">
        <v>222</v>
      </c>
      <c r="C49" s="13"/>
      <c r="D49" s="13"/>
      <c r="E49" s="13"/>
      <c r="F49" s="13"/>
      <c r="G49" s="13"/>
    </row>
  </sheetData>
  <mergeCells count="24">
    <mergeCell ref="A1:J2"/>
    <mergeCell ref="B5:G5"/>
    <mergeCell ref="B11:G11"/>
    <mergeCell ref="B27:G27"/>
    <mergeCell ref="B28:G28"/>
    <mergeCell ref="B29:G29"/>
    <mergeCell ref="B30:G30"/>
    <mergeCell ref="B31:G31"/>
    <mergeCell ref="B32:G32"/>
    <mergeCell ref="B33:G33"/>
    <mergeCell ref="B35:G35"/>
    <mergeCell ref="B36:G36"/>
    <mergeCell ref="B37:G37"/>
    <mergeCell ref="B38:G38"/>
    <mergeCell ref="B39:G39"/>
    <mergeCell ref="B40:G40"/>
    <mergeCell ref="B41:G41"/>
    <mergeCell ref="B43:G43"/>
    <mergeCell ref="B44:G44"/>
    <mergeCell ref="B45:G45"/>
    <mergeCell ref="B46:G46"/>
    <mergeCell ref="B47:G47"/>
    <mergeCell ref="B48:G48"/>
    <mergeCell ref="B49:G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860B"/>
  </sheetPr>
  <dimension ref="A1:AA124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1.7109375" customWidth="1"/>
    <col min="2" max="6" width="13.7109375" customWidth="1"/>
    <col min="8" max="8" width="2.7109375" customWidth="1"/>
    <col min="9" max="13" width="13.7109375" customWidth="1"/>
    <col min="14" max="14" width="2.7109375" customWidth="1"/>
    <col min="15" max="20" width="13.7109375" customWidth="1"/>
    <col min="21" max="21" width="2.7109375" customWidth="1"/>
    <col min="22" max="28" width="13.7109375" customWidth="1"/>
  </cols>
  <sheetData>
    <row r="1" spans="1:27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7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7">
      <c r="A3" s="2" t="s">
        <v>1</v>
      </c>
    </row>
    <row r="4" spans="1:27">
      <c r="O4" s="3" t="s">
        <v>13</v>
      </c>
      <c r="P4" s="3"/>
      <c r="Q4" s="3"/>
      <c r="R4" s="3"/>
      <c r="S4" s="3"/>
      <c r="T4" s="3"/>
    </row>
    <row r="5" spans="1:27" ht="30" customHeight="1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H5" s="5"/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V5" s="5" t="s">
        <v>21</v>
      </c>
      <c r="W5" s="5" t="s">
        <v>22</v>
      </c>
      <c r="X5" s="5" t="s">
        <v>23</v>
      </c>
      <c r="Y5" s="5" t="s">
        <v>24</v>
      </c>
      <c r="Z5" s="5" t="s">
        <v>25</v>
      </c>
      <c r="AA5" s="5" t="s">
        <v>26</v>
      </c>
    </row>
    <row r="6" spans="1:27">
      <c r="A6" s="14">
        <v>44431</v>
      </c>
      <c r="B6" s="10">
        <v>648.6154174804688</v>
      </c>
      <c r="C6" s="10">
        <v>57.8004035949707</v>
      </c>
      <c r="D6" s="10">
        <v>398.2785949707031</v>
      </c>
      <c r="E6" s="10">
        <v>16496.44921875</v>
      </c>
      <c r="F6" s="10">
        <v>369.7000122070313</v>
      </c>
      <c r="O6" s="14">
        <v>44432</v>
      </c>
      <c r="P6" s="15">
        <f>I7</f>
        <v>0.014723322334710999</v>
      </c>
      <c r="Q6" s="15">
        <f>J7</f>
        <v>-0.02336761720026509</v>
      </c>
      <c r="R6" s="15">
        <f>K7</f>
        <v>0.032448485102073966</v>
      </c>
      <c r="S6" s="15">
        <f>L7</f>
        <v>0.007738343720985011</v>
      </c>
      <c r="T6" s="15">
        <f>M7</f>
        <v>0.01809336976149681</v>
      </c>
      <c r="V6" s="14">
        <v>44469</v>
      </c>
      <c r="W6" s="9">
        <v>0.3703807258784155</v>
      </c>
      <c r="X6" s="9">
        <v>0.177626505557529</v>
      </c>
      <c r="Y6" s="9">
        <v>0.1122229630339544</v>
      </c>
      <c r="Z6" s="9">
        <v>0.02836478642760354</v>
      </c>
      <c r="AA6" s="9">
        <v>0.3283350672388741</v>
      </c>
    </row>
    <row r="7" spans="1:27">
      <c r="A7" s="14">
        <v>44432</v>
      </c>
      <c r="B7" s="10">
        <v>658.23583984375</v>
      </c>
      <c r="C7" s="10">
        <v>56.46540451049805</v>
      </c>
      <c r="D7" s="10">
        <v>411.4140930175781</v>
      </c>
      <c r="E7" s="10">
        <v>16624.599609375</v>
      </c>
      <c r="F7" s="10">
        <v>376.4500122070313</v>
      </c>
      <c r="I7" s="15">
        <f>LN(B7/B6)</f>
        <v>0.014723322334710999</v>
      </c>
      <c r="J7" s="15">
        <f>LN(C7/C6)</f>
        <v>-0.02336761720026509</v>
      </c>
      <c r="K7" s="15">
        <f>LN(D7/D6)</f>
        <v>0.032448485102073966</v>
      </c>
      <c r="L7" s="15">
        <f>LN(E7/E6)</f>
        <v>0.007738343720985011</v>
      </c>
      <c r="M7" s="15">
        <f>LN(F7/F6)</f>
        <v>0.01809336976149681</v>
      </c>
      <c r="O7" s="14">
        <v>44433</v>
      </c>
      <c r="P7" s="15">
        <f>I8</f>
        <v>0.002149102862454023</v>
      </c>
      <c r="Q7" s="15">
        <f>J8</f>
        <v>0.006110907212310886</v>
      </c>
      <c r="R7" s="15">
        <f>K8</f>
        <v>0.023575318458053985</v>
      </c>
      <c r="S7" s="15">
        <f>L8</f>
        <v>0.0006043901504665573</v>
      </c>
      <c r="T7" s="15">
        <f>M8</f>
        <v>-0.007867264149959056</v>
      </c>
      <c r="V7" s="14">
        <v>44500</v>
      </c>
      <c r="W7" s="9">
        <v>-0.06108687949341463</v>
      </c>
      <c r="X7" s="9">
        <v>-0.1936758650577856</v>
      </c>
      <c r="Y7" s="9">
        <v>0.005842771171496119</v>
      </c>
      <c r="Z7" s="9">
        <v>0.003036641123716821</v>
      </c>
      <c r="AA7" s="9">
        <v>-0.02938882044509084</v>
      </c>
    </row>
    <row r="8" spans="1:27">
      <c r="A8" s="14">
        <v>44433</v>
      </c>
      <c r="B8" s="10">
        <v>659.6519775390625</v>
      </c>
      <c r="C8" s="10">
        <v>56.81151580810547</v>
      </c>
      <c r="D8" s="10">
        <v>421.2285461425781</v>
      </c>
      <c r="E8" s="10">
        <v>16634.650390625</v>
      </c>
      <c r="F8" s="10">
        <v>373.5</v>
      </c>
      <c r="I8" s="15">
        <f>LN(B8/B7)</f>
        <v>0.002149102862454023</v>
      </c>
      <c r="J8" s="15">
        <f>LN(C8/C7)</f>
        <v>0.006110907212310886</v>
      </c>
      <c r="K8" s="15">
        <f>LN(D8/D7)</f>
        <v>0.023575318458053985</v>
      </c>
      <c r="L8" s="15">
        <f>LN(E8/E7)</f>
        <v>0.0006043901504665573</v>
      </c>
      <c r="M8" s="15">
        <f>LN(F8/F7)</f>
        <v>-0.007867264149959056</v>
      </c>
      <c r="O8" s="14">
        <v>44434</v>
      </c>
      <c r="P8" s="15">
        <f>I9</f>
        <v>-0.014391059999003074</v>
      </c>
      <c r="Q8" s="15">
        <f>J9</f>
        <v>0.048417085908846386</v>
      </c>
      <c r="R8" s="15">
        <f>K9</f>
        <v>0.013093532821349703</v>
      </c>
      <c r="S8" s="15">
        <f>L9</f>
        <v>0.00013525068417903375</v>
      </c>
      <c r="T8" s="15">
        <f>M9</f>
        <v>0.002673798384402205</v>
      </c>
      <c r="V8" s="14">
        <v>44530</v>
      </c>
      <c r="W8" s="9">
        <v>-0.08013907481753302</v>
      </c>
      <c r="X8" s="9">
        <v>0.06454247898105359</v>
      </c>
      <c r="Y8" s="9">
        <v>-0.01680417436726167</v>
      </c>
      <c r="Z8" s="9">
        <v>-0.0389579443151632</v>
      </c>
      <c r="AA8" s="9">
        <v>-0.0222578821572349</v>
      </c>
    </row>
    <row r="9" spans="1:27">
      <c r="A9" s="14">
        <v>44434</v>
      </c>
      <c r="B9" s="10">
        <v>650.2268676757812</v>
      </c>
      <c r="C9" s="10">
        <v>59.62984085083008</v>
      </c>
      <c r="D9" s="10">
        <v>426.7801818847656</v>
      </c>
      <c r="E9" s="10">
        <v>16636.900390625</v>
      </c>
      <c r="F9" s="10">
        <v>374.5</v>
      </c>
      <c r="I9" s="15">
        <f>LN(B9/B8)</f>
        <v>-0.014391059999003074</v>
      </c>
      <c r="J9" s="15">
        <f>LN(C9/C8)</f>
        <v>0.048417085908846386</v>
      </c>
      <c r="K9" s="15">
        <f>LN(D9/D8)</f>
        <v>0.013093532821349703</v>
      </c>
      <c r="L9" s="15">
        <f>LN(E9/E8)</f>
        <v>0.00013525068417903375</v>
      </c>
      <c r="M9" s="15">
        <f>LN(F9/F8)</f>
        <v>0.002673798384402205</v>
      </c>
      <c r="O9" s="14">
        <v>44435</v>
      </c>
      <c r="P9" s="15">
        <f>I10</f>
        <v>0.018675459227779818</v>
      </c>
      <c r="Q9" s="15">
        <f>J10</f>
        <v>0.04062293948628613</v>
      </c>
      <c r="R9" s="15">
        <f>K10</f>
        <v>-0.006934596275765867</v>
      </c>
      <c r="S9" s="15">
        <f>L10</f>
        <v>0.004096857993577663</v>
      </c>
      <c r="T9" s="15">
        <f>M10</f>
        <v>0.007316294690684197</v>
      </c>
      <c r="V9" s="14">
        <v>44561</v>
      </c>
      <c r="W9" s="9">
        <v>0.03488430469690451</v>
      </c>
      <c r="X9" s="9">
        <v>0.1872601486049954</v>
      </c>
      <c r="Y9" s="9">
        <v>0.03956328081901295</v>
      </c>
      <c r="Z9" s="9">
        <v>0.02183637827733698</v>
      </c>
      <c r="AA9" s="9">
        <v>-0.00707549664447471</v>
      </c>
    </row>
    <row r="10" spans="1:27">
      <c r="A10" s="14">
        <v>44435</v>
      </c>
      <c r="B10" s="10">
        <v>662.4842529296875</v>
      </c>
      <c r="C10" s="10">
        <v>62.10205459594727</v>
      </c>
      <c r="D10" s="10">
        <v>423.8308715820313</v>
      </c>
      <c r="E10" s="10">
        <v>16705.19921875</v>
      </c>
      <c r="F10" s="10">
        <v>377.25</v>
      </c>
      <c r="I10" s="15">
        <f>LN(B10/B9)</f>
        <v>0.018675459227779818</v>
      </c>
      <c r="J10" s="15">
        <f>LN(C10/C9)</f>
        <v>0.04062293948628613</v>
      </c>
      <c r="K10" s="15">
        <f>LN(D10/D9)</f>
        <v>-0.006934596275765867</v>
      </c>
      <c r="L10" s="15">
        <f>LN(E10/E9)</f>
        <v>0.004096857993577663</v>
      </c>
      <c r="M10" s="15">
        <f>LN(F10/F9)</f>
        <v>0.007316294690684197</v>
      </c>
      <c r="O10" s="14">
        <v>44438</v>
      </c>
      <c r="P10" s="15">
        <f>I11</f>
        <v>0.028915893453137245</v>
      </c>
      <c r="Q10" s="15">
        <f>J11</f>
        <v>0.04818349526776301</v>
      </c>
      <c r="R10" s="15">
        <f>K11</f>
        <v>0.017907773717486315</v>
      </c>
      <c r="S10" s="15">
        <f>L11</f>
        <v>0.013429259014094868</v>
      </c>
      <c r="T10" s="15">
        <f>M11</f>
        <v>0.01916569011142626</v>
      </c>
      <c r="V10" s="14">
        <v>44592</v>
      </c>
      <c r="W10" s="9">
        <v>0.0626594892645338</v>
      </c>
      <c r="X10" s="9">
        <v>0.05429876330527139</v>
      </c>
      <c r="Y10" s="9">
        <v>0.01070698357324296</v>
      </c>
      <c r="Z10" s="9">
        <v>-0.0008183202904040732</v>
      </c>
      <c r="AA10" s="9">
        <v>-0.008055342240318675</v>
      </c>
    </row>
    <row r="11" spans="1:27">
      <c r="A11" s="14">
        <v>44438</v>
      </c>
      <c r="B11" s="10">
        <v>681.9202270507812</v>
      </c>
      <c r="C11" s="10">
        <v>65.16761016845703</v>
      </c>
      <c r="D11" s="10">
        <v>431.4891052246094</v>
      </c>
      <c r="E11" s="10">
        <v>16931.05078125</v>
      </c>
      <c r="F11" s="10">
        <v>384.5499877929687</v>
      </c>
      <c r="I11" s="15">
        <f>LN(B11/B10)</f>
        <v>0.028915893453137245</v>
      </c>
      <c r="J11" s="15">
        <f>LN(C11/C10)</f>
        <v>0.04818349526776301</v>
      </c>
      <c r="K11" s="15">
        <f>LN(D11/D10)</f>
        <v>0.017907773717486315</v>
      </c>
      <c r="L11" s="15">
        <f>LN(E11/E10)</f>
        <v>0.013429259014094868</v>
      </c>
      <c r="M11" s="15">
        <f>LN(F11/F10)</f>
        <v>0.01916569011142626</v>
      </c>
      <c r="O11" s="14">
        <v>44439</v>
      </c>
      <c r="P11" s="15">
        <f>I12</f>
        <v>0.007704535352709884</v>
      </c>
      <c r="Q11" s="15">
        <f>J12</f>
        <v>-0.020698363663475123</v>
      </c>
      <c r="R11" s="15">
        <f>K12</f>
        <v>-0.008942738021802536</v>
      </c>
      <c r="S11" s="15">
        <f>L12</f>
        <v>0.011810427696351353</v>
      </c>
      <c r="T11" s="15">
        <f>M12</f>
        <v>0.005833944260728068</v>
      </c>
      <c r="V11" s="14">
        <v>44620</v>
      </c>
      <c r="W11" s="9">
        <v>-0.009390559735771853</v>
      </c>
      <c r="X11" s="9">
        <v>-0.102391355583254</v>
      </c>
      <c r="Y11" s="9">
        <v>-0.03700175124687033</v>
      </c>
      <c r="Z11" s="9">
        <v>-0.03148523378512036</v>
      </c>
      <c r="AA11" s="9">
        <v>-0.09130662384906951</v>
      </c>
    </row>
    <row r="12" spans="1:27">
      <c r="A12" s="14">
        <v>44439</v>
      </c>
      <c r="B12" s="10">
        <v>687.1943969726562</v>
      </c>
      <c r="C12" s="10">
        <v>63.83261108398438</v>
      </c>
      <c r="D12" s="10">
        <v>427.6476135253906</v>
      </c>
      <c r="E12" s="10">
        <v>17132.19921875</v>
      </c>
      <c r="F12" s="10">
        <v>386.7999877929687</v>
      </c>
      <c r="I12" s="15">
        <f>LN(B12/B11)</f>
        <v>0.007704535352709884</v>
      </c>
      <c r="J12" s="15">
        <f>LN(C12/C11)</f>
        <v>-0.020698363663475123</v>
      </c>
      <c r="K12" s="15">
        <f>LN(D12/D11)</f>
        <v>-0.008942738021802536</v>
      </c>
      <c r="L12" s="15">
        <f>LN(E12/E11)</f>
        <v>0.011810427696351353</v>
      </c>
      <c r="M12" s="15">
        <f>LN(F12/F11)</f>
        <v>0.005833944260728068</v>
      </c>
      <c r="O12" s="14">
        <v>44440</v>
      </c>
      <c r="P12" s="15">
        <f>I13</f>
        <v>0.10122309106369673</v>
      </c>
      <c r="Q12" s="15">
        <f>J13</f>
        <v>-0.010120701712812336</v>
      </c>
      <c r="R12" s="15">
        <f>K13</f>
        <v>0.04349119435095705</v>
      </c>
      <c r="S12" s="15">
        <f>L13</f>
        <v>-0.0032710789243950112</v>
      </c>
      <c r="T12" s="15">
        <f>M13</f>
        <v>0.054216932730946986</v>
      </c>
      <c r="V12" s="14">
        <v>44651</v>
      </c>
      <c r="W12" s="9">
        <v>0.03598981497273956</v>
      </c>
      <c r="X12" s="9">
        <v>-0.09972676129203895</v>
      </c>
      <c r="Y12" s="9">
        <v>0.1469161674899697</v>
      </c>
      <c r="Z12" s="9">
        <v>0.03994602765117583</v>
      </c>
      <c r="AA12" s="9">
        <v>0.06221355242026982</v>
      </c>
    </row>
    <row r="13" spans="1:27">
      <c r="A13" s="14">
        <v>44440</v>
      </c>
      <c r="B13" s="10">
        <v>760.396728515625</v>
      </c>
      <c r="C13" s="10">
        <v>63.18983840942383</v>
      </c>
      <c r="D13" s="10">
        <v>446.6568908691406</v>
      </c>
      <c r="E13" s="10">
        <v>17076.25</v>
      </c>
      <c r="F13" s="10">
        <v>408.3500061035156</v>
      </c>
      <c r="I13" s="15">
        <f>LN(B13/B12)</f>
        <v>0.10122309106369673</v>
      </c>
      <c r="J13" s="15">
        <f>LN(C13/C12)</f>
        <v>-0.010120701712812336</v>
      </c>
      <c r="K13" s="15">
        <f>LN(D13/D12)</f>
        <v>0.04349119435095705</v>
      </c>
      <c r="L13" s="15">
        <f>LN(E13/E12)</f>
        <v>-0.0032710789243950112</v>
      </c>
      <c r="M13" s="15">
        <f>LN(F13/F12)</f>
        <v>0.054216932730946986</v>
      </c>
      <c r="O13" s="14">
        <v>44441</v>
      </c>
      <c r="P13" s="15">
        <f>I14</f>
        <v>-0.029127389189929822</v>
      </c>
      <c r="Q13" s="15">
        <f>J14</f>
        <v>0.019372747830258368</v>
      </c>
      <c r="R13" s="15">
        <f>K14</f>
        <v>-0.0027225368433550236</v>
      </c>
      <c r="S13" s="15">
        <f>L14</f>
        <v>0.009204293951085803</v>
      </c>
      <c r="T13" s="15">
        <f>M14</f>
        <v>0.012411952941922261</v>
      </c>
      <c r="V13" s="14">
        <v>44681</v>
      </c>
      <c r="W13" s="9">
        <v>0.021705566556246</v>
      </c>
      <c r="X13" s="9">
        <v>-0.04324732698912492</v>
      </c>
      <c r="Y13" s="9">
        <v>-0.01227333356218063</v>
      </c>
      <c r="Z13" s="9">
        <v>-0.02073887222834569</v>
      </c>
      <c r="AA13" s="9">
        <v>-0.04271381364335569</v>
      </c>
    </row>
    <row r="14" spans="1:27">
      <c r="A14" s="14">
        <v>44441</v>
      </c>
      <c r="B14" s="10">
        <v>738.5678100585938</v>
      </c>
      <c r="C14" s="10">
        <v>64.42593383789062</v>
      </c>
      <c r="D14" s="10">
        <v>445.4425048828125</v>
      </c>
      <c r="E14" s="10">
        <v>17234.150390625</v>
      </c>
      <c r="F14" s="10">
        <v>413.4500122070313</v>
      </c>
      <c r="I14" s="15">
        <f>LN(B14/B13)</f>
        <v>-0.029127389189929822</v>
      </c>
      <c r="J14" s="15">
        <f>LN(C14/C13)</f>
        <v>0.019372747830258368</v>
      </c>
      <c r="K14" s="15">
        <f>LN(D14/D13)</f>
        <v>-0.0027225368433550236</v>
      </c>
      <c r="L14" s="15">
        <f>LN(E14/E13)</f>
        <v>0.009204293951085803</v>
      </c>
      <c r="M14" s="15">
        <f>LN(F14/F13)</f>
        <v>0.012411952941922261</v>
      </c>
      <c r="O14" s="14">
        <v>44442</v>
      </c>
      <c r="P14" s="15">
        <f>I15</f>
        <v>0.008362307156719598</v>
      </c>
      <c r="Q14" s="15">
        <f>J15</f>
        <v>-0.024865189331074074</v>
      </c>
      <c r="R14" s="15">
        <f>K15</f>
        <v>-0.025470475531993185</v>
      </c>
      <c r="S14" s="15">
        <f>L15</f>
        <v>0.005176808010644206</v>
      </c>
      <c r="T14" s="15">
        <f>M15</f>
        <v>0.010585913361416819</v>
      </c>
      <c r="V14" s="14">
        <v>44712</v>
      </c>
      <c r="W14" s="9">
        <v>-0.1608956195211475</v>
      </c>
      <c r="X14" s="9">
        <v>-0.1490878970451252</v>
      </c>
      <c r="Y14" s="9">
        <v>0.07404856543328608</v>
      </c>
      <c r="Z14" s="9">
        <v>-0.03028787966341828</v>
      </c>
      <c r="AA14" s="9">
        <v>-0.0722253246038731</v>
      </c>
    </row>
    <row r="15" spans="1:27">
      <c r="A15" s="14">
        <v>44442</v>
      </c>
      <c r="B15" s="10">
        <v>744.7698364257812</v>
      </c>
      <c r="C15" s="10">
        <v>62.84372329711914</v>
      </c>
      <c r="D15" s="10">
        <v>434.2401428222656</v>
      </c>
      <c r="E15" s="10">
        <v>17323.599609375</v>
      </c>
      <c r="F15" s="10">
        <v>417.8500061035156</v>
      </c>
      <c r="I15" s="15">
        <f>LN(B15/B14)</f>
        <v>0.008362307156719598</v>
      </c>
      <c r="J15" s="15">
        <f>LN(C15/C14)</f>
        <v>-0.024865189331074074</v>
      </c>
      <c r="K15" s="15">
        <f>LN(D15/D14)</f>
        <v>-0.025470475531993185</v>
      </c>
      <c r="L15" s="15">
        <f>LN(E15/E14)</f>
        <v>0.005176808010644206</v>
      </c>
      <c r="M15" s="15">
        <f>LN(F15/F14)</f>
        <v>0.010585913361416819</v>
      </c>
      <c r="O15" s="14">
        <v>44445</v>
      </c>
      <c r="P15" s="15">
        <f>I16</f>
        <v>0.07007195903862475</v>
      </c>
      <c r="Q15" s="15">
        <f>J16</f>
        <v>0.03555246608968167</v>
      </c>
      <c r="R15" s="15">
        <f>K16</f>
        <v>-0.0054368499473235205</v>
      </c>
      <c r="S15" s="15">
        <f>L16</f>
        <v>0.003123863322045117</v>
      </c>
      <c r="T15" s="15">
        <f>M16</f>
        <v>0.031101533282241734</v>
      </c>
      <c r="V15" s="14">
        <v>44742</v>
      </c>
      <c r="W15" s="9">
        <v>-0.08451739677858627</v>
      </c>
      <c r="X15" s="9">
        <v>-0.04846240643850819</v>
      </c>
      <c r="Y15" s="9">
        <v>0.0143970250399359</v>
      </c>
      <c r="Z15" s="9">
        <v>-0.0484969892678262</v>
      </c>
      <c r="AA15" s="9">
        <v>-0.06412441979911054</v>
      </c>
    </row>
    <row r="16" spans="1:27">
      <c r="A16" s="14">
        <v>44445</v>
      </c>
      <c r="B16" s="10">
        <v>798.8292236328125</v>
      </c>
      <c r="C16" s="10">
        <v>65.1181640625</v>
      </c>
      <c r="D16" s="10">
        <v>431.8856506347656</v>
      </c>
      <c r="E16" s="10">
        <v>17377.80078125</v>
      </c>
      <c r="F16" s="10">
        <v>431.0499877929687</v>
      </c>
      <c r="I16" s="15">
        <f>LN(B16/B15)</f>
        <v>0.07007195903862475</v>
      </c>
      <c r="J16" s="15">
        <f>LN(C16/C15)</f>
        <v>0.03555246608968167</v>
      </c>
      <c r="K16" s="15">
        <f>LN(D16/D15)</f>
        <v>-0.0054368499473235205</v>
      </c>
      <c r="L16" s="15">
        <f>LN(E16/E15)</f>
        <v>0.003123863322045117</v>
      </c>
      <c r="M16" s="15">
        <f>LN(F16/F15)</f>
        <v>0.031101533282241734</v>
      </c>
      <c r="O16" s="14">
        <v>44446</v>
      </c>
      <c r="P16" s="15">
        <f>I17</f>
        <v>-0.03249441556235432</v>
      </c>
      <c r="Q16" s="15">
        <f>J17</f>
        <v>0.013574894893105285</v>
      </c>
      <c r="R16" s="15">
        <f>K17</f>
        <v>-0.0017230742332663405</v>
      </c>
      <c r="S16" s="15">
        <f>L17</f>
        <v>-0.0009039273439216094</v>
      </c>
      <c r="T16" s="15">
        <f>M17</f>
        <v>-0.023591230654259054</v>
      </c>
      <c r="V16" s="14">
        <v>44773</v>
      </c>
      <c r="W16" s="9">
        <v>0.2385899833961107</v>
      </c>
      <c r="X16" s="9">
        <v>0.4510111015533453</v>
      </c>
      <c r="Y16" s="9">
        <v>0.05939017607375652</v>
      </c>
      <c r="Z16" s="9">
        <v>0.08732434530504896</v>
      </c>
      <c r="AA16" s="9">
        <v>0.1703867804152073</v>
      </c>
    </row>
    <row r="17" spans="1:27">
      <c r="A17" s="14">
        <v>44446</v>
      </c>
      <c r="B17" s="10">
        <v>773.2889404296875</v>
      </c>
      <c r="C17" s="10">
        <v>66.00816345214844</v>
      </c>
      <c r="D17" s="10">
        <v>431.1421203613281</v>
      </c>
      <c r="E17" s="10">
        <v>17362.099609375</v>
      </c>
      <c r="F17" s="10">
        <v>421</v>
      </c>
      <c r="I17" s="15">
        <f>LN(B17/B16)</f>
        <v>-0.03249441556235432</v>
      </c>
      <c r="J17" s="15">
        <f>LN(C17/C16)</f>
        <v>0.013574894893105285</v>
      </c>
      <c r="K17" s="15">
        <f>LN(D17/D16)</f>
        <v>-0.0017230742332663405</v>
      </c>
      <c r="L17" s="15">
        <f>LN(E17/E16)</f>
        <v>-0.0009039273439216094</v>
      </c>
      <c r="M17" s="15">
        <f>LN(F17/F16)</f>
        <v>-0.023591230654259054</v>
      </c>
      <c r="O17" s="14">
        <v>44447</v>
      </c>
      <c r="P17" s="15">
        <f>I18</f>
        <v>-0.022415228359066806</v>
      </c>
      <c r="Q17" s="15">
        <f>J18</f>
        <v>0.04754097118787758</v>
      </c>
      <c r="R17" s="15">
        <f>K18</f>
        <v>0.002296749627358714</v>
      </c>
      <c r="S17" s="15">
        <f>L18</f>
        <v>-0.0004954320044973781</v>
      </c>
      <c r="T17" s="15">
        <f>M18</f>
        <v>-0.0007128140699063916</v>
      </c>
      <c r="V17" s="14">
        <v>44804</v>
      </c>
      <c r="W17" s="9">
        <v>0.1062464227438524</v>
      </c>
      <c r="X17" s="9">
        <v>0.1799730152064531</v>
      </c>
      <c r="Y17" s="9">
        <v>0.121610736227638</v>
      </c>
      <c r="Z17" s="9">
        <v>0.03502984169422874</v>
      </c>
      <c r="AA17" s="9">
        <v>0.02716487341922069</v>
      </c>
    </row>
    <row r="18" spans="1:27">
      <c r="A18" s="14">
        <v>44447</v>
      </c>
      <c r="B18" s="10">
        <v>756.1483154296875</v>
      </c>
      <c r="C18" s="10">
        <v>69.2220458984375</v>
      </c>
      <c r="D18" s="10">
        <v>432.1334838867187</v>
      </c>
      <c r="E18" s="10">
        <v>17353.5</v>
      </c>
      <c r="F18" s="10">
        <v>420.7000122070313</v>
      </c>
      <c r="I18" s="15">
        <f>LN(B18/B17)</f>
        <v>-0.022415228359066806</v>
      </c>
      <c r="J18" s="15">
        <f>LN(C18/C17)</f>
        <v>0.04754097118787758</v>
      </c>
      <c r="K18" s="15">
        <f>LN(D18/D17)</f>
        <v>0.002296749627358714</v>
      </c>
      <c r="L18" s="15">
        <f>LN(E18/E17)</f>
        <v>-0.0004954320044973781</v>
      </c>
      <c r="M18" s="15">
        <f>LN(F18/F17)</f>
        <v>-0.0007128140699063916</v>
      </c>
      <c r="O18" s="14">
        <v>44448</v>
      </c>
      <c r="P18" s="15">
        <f>I19</f>
        <v>-0.0005169741504942691</v>
      </c>
      <c r="Q18" s="15">
        <f>J19</f>
        <v>0.015592111501545486</v>
      </c>
      <c r="R18" s="15">
        <f>K19</f>
        <v>0.001661877533128868</v>
      </c>
      <c r="S18" s="15">
        <f>L19</f>
        <v>0.0009071862729865194</v>
      </c>
      <c r="T18" s="15">
        <f>M19</f>
        <v>-0.00739596842834784</v>
      </c>
      <c r="V18" s="14">
        <v>44834</v>
      </c>
      <c r="W18" s="9">
        <v>-0.08844415815963425</v>
      </c>
      <c r="X18" s="9">
        <v>0.1129587899846012</v>
      </c>
      <c r="Y18" s="9">
        <v>-0.003548055626166891</v>
      </c>
      <c r="Z18" s="9">
        <v>-0.03744241848626417</v>
      </c>
      <c r="AA18" s="9">
        <v>-0.08462869424431385</v>
      </c>
    </row>
    <row r="19" spans="1:27">
      <c r="A19" s="14">
        <v>44448</v>
      </c>
      <c r="B19" s="10">
        <v>755.7575073242188</v>
      </c>
      <c r="C19" s="10">
        <v>70.30982208251953</v>
      </c>
      <c r="D19" s="10">
        <v>432.8522338867187</v>
      </c>
      <c r="E19" s="10">
        <v>17369.25</v>
      </c>
      <c r="F19" s="10">
        <v>417.6000061035156</v>
      </c>
      <c r="I19" s="15">
        <f>LN(B19/B18)</f>
        <v>-0.0005169741504942691</v>
      </c>
      <c r="J19" s="15">
        <f>LN(C19/C18)</f>
        <v>0.015592111501545486</v>
      </c>
      <c r="K19" s="15">
        <f>LN(D19/D18)</f>
        <v>0.001661877533128868</v>
      </c>
      <c r="L19" s="15">
        <f>LN(E19/E18)</f>
        <v>0.0009071862729865194</v>
      </c>
      <c r="M19" s="15">
        <f>LN(F19/F18)</f>
        <v>-0.00739596842834784</v>
      </c>
      <c r="O19" s="14">
        <v>44452</v>
      </c>
      <c r="P19" s="15">
        <f>I20</f>
        <v>-0.019575148350292775</v>
      </c>
      <c r="Q19" s="15">
        <f>J20</f>
        <v>-0.04752519371769773</v>
      </c>
      <c r="R19" s="15">
        <f>K20</f>
        <v>-0.023110735767452564</v>
      </c>
      <c r="S19" s="15">
        <f>L20</f>
        <v>-0.0008034211637875494</v>
      </c>
      <c r="T19" s="15">
        <f>M20</f>
        <v>0.006444661783328681</v>
      </c>
      <c r="V19" s="14">
        <v>44865</v>
      </c>
      <c r="W19" s="9">
        <v>0.007463457991544686</v>
      </c>
      <c r="X19" s="9">
        <v>0.1720761099901491</v>
      </c>
      <c r="Y19" s="9">
        <v>0.02054888407168387</v>
      </c>
      <c r="Z19" s="9">
        <v>0.0536931577011639</v>
      </c>
      <c r="AA19" s="9">
        <v>0.03455187239736879</v>
      </c>
    </row>
    <row r="20" spans="1:27">
      <c r="A20" s="14">
        <v>44452</v>
      </c>
      <c r="B20" s="10">
        <v>741.1072998046875</v>
      </c>
      <c r="C20" s="10">
        <v>67.04649353027344</v>
      </c>
      <c r="D20" s="10">
        <v>422.9634094238281</v>
      </c>
      <c r="E20" s="10">
        <v>17355.30078125</v>
      </c>
      <c r="F20" s="10">
        <v>420.2999877929687</v>
      </c>
      <c r="I20" s="15">
        <f>LN(B20/B19)</f>
        <v>-0.019575148350292775</v>
      </c>
      <c r="J20" s="15">
        <f>LN(C20/C19)</f>
        <v>-0.04752519371769773</v>
      </c>
      <c r="K20" s="15">
        <f>LN(D20/D19)</f>
        <v>-0.023110735767452564</v>
      </c>
      <c r="L20" s="15">
        <f>LN(E20/E19)</f>
        <v>-0.0008034211637875494</v>
      </c>
      <c r="M20" s="15">
        <f>LN(F20/F19)</f>
        <v>0.006444661783328681</v>
      </c>
      <c r="O20" s="14">
        <v>44453</v>
      </c>
      <c r="P20" s="15">
        <f>I21</f>
        <v>0.015431246242707156</v>
      </c>
      <c r="Q20" s="15">
        <f>J21</f>
        <v>-0.006659419314668807</v>
      </c>
      <c r="R20" s="15">
        <f>K21</f>
        <v>-0.011017955212323885</v>
      </c>
      <c r="S20" s="15">
        <f>L21</f>
        <v>0.0014221395731308123</v>
      </c>
      <c r="T20" s="15">
        <f>M21</f>
        <v>0.004155048539085218</v>
      </c>
      <c r="V20" s="14">
        <v>44895</v>
      </c>
      <c r="W20" s="9">
        <v>-0.0008111456584115606</v>
      </c>
      <c r="X20" s="9">
        <v>-0.1081317752069046</v>
      </c>
      <c r="Y20" s="9">
        <v>0.0214308083649184</v>
      </c>
      <c r="Z20" s="9">
        <v>0.04142472451938506</v>
      </c>
      <c r="AA20" s="9">
        <v>0.02621680191499975</v>
      </c>
    </row>
    <row r="21" spans="1:27">
      <c r="A21" s="14">
        <v>44453</v>
      </c>
      <c r="B21" s="10">
        <v>752.6322021484375</v>
      </c>
      <c r="C21" s="10">
        <v>66.60148620605469</v>
      </c>
      <c r="D21" s="10">
        <v>418.3287963867187</v>
      </c>
      <c r="E21" s="10">
        <v>17380</v>
      </c>
      <c r="F21" s="10">
        <v>422.0499877929687</v>
      </c>
      <c r="I21" s="15">
        <f>LN(B21/B20)</f>
        <v>0.015431246242707156</v>
      </c>
      <c r="J21" s="15">
        <f>LN(C21/C20)</f>
        <v>-0.006659419314668807</v>
      </c>
      <c r="K21" s="15">
        <f>LN(D21/D20)</f>
        <v>-0.011017955212323885</v>
      </c>
      <c r="L21" s="15">
        <f>LN(E21/E20)</f>
        <v>0.0014221395731308123</v>
      </c>
      <c r="M21" s="15">
        <f>LN(F21/F20)</f>
        <v>0.004155048539085218</v>
      </c>
      <c r="O21" s="14">
        <v>44454</v>
      </c>
      <c r="P21" s="15">
        <f>I22</f>
        <v>0.007047455088266965</v>
      </c>
      <c r="Q21" s="15">
        <f>J22</f>
        <v>0.008869331304968149</v>
      </c>
      <c r="R21" s="15">
        <f>K22</f>
        <v>0.014702805474712229</v>
      </c>
      <c r="S21" s="15">
        <f>L22</f>
        <v>0.007991527890878581</v>
      </c>
      <c r="T21" s="15">
        <f>M22</f>
        <v>0.001538974944914244</v>
      </c>
      <c r="V21" s="14">
        <v>44926</v>
      </c>
      <c r="W21" s="9">
        <v>-0.06055858162829519</v>
      </c>
      <c r="X21" s="9">
        <v>0.1049777952652473</v>
      </c>
      <c r="Y21" s="9">
        <v>-0.02464942576827311</v>
      </c>
      <c r="Z21" s="9">
        <v>-0.03481376782734769</v>
      </c>
      <c r="AA21" s="9">
        <v>-0.0407642038261038</v>
      </c>
    </row>
    <row r="22" spans="1:27">
      <c r="A22" s="14">
        <v>44454</v>
      </c>
      <c r="B22" s="10">
        <v>757.955078125</v>
      </c>
      <c r="C22" s="10">
        <v>67.19482421875</v>
      </c>
      <c r="D22" s="10">
        <v>424.5248413085938</v>
      </c>
      <c r="E22" s="10">
        <v>17519.44921875</v>
      </c>
      <c r="F22" s="10">
        <v>422.7000122070313</v>
      </c>
      <c r="I22" s="15">
        <f>LN(B22/B21)</f>
        <v>0.007047455088266965</v>
      </c>
      <c r="J22" s="15">
        <f>LN(C22/C21)</f>
        <v>0.008869331304968149</v>
      </c>
      <c r="K22" s="15">
        <f>LN(D22/D21)</f>
        <v>0.014702805474712229</v>
      </c>
      <c r="L22" s="15">
        <f>LN(E22/E21)</f>
        <v>0.007991527890878581</v>
      </c>
      <c r="M22" s="15">
        <f>LN(F22/F21)</f>
        <v>0.001538974944914244</v>
      </c>
      <c r="O22" s="14">
        <v>44455</v>
      </c>
      <c r="P22" s="15">
        <f>I23</f>
        <v>-0.006463899297256998</v>
      </c>
      <c r="Q22" s="15">
        <f>J23</f>
        <v>-0.011098838071433925</v>
      </c>
      <c r="R22" s="15">
        <f>K23</f>
        <v>0.012949805532636648</v>
      </c>
      <c r="S22" s="15">
        <f>L23</f>
        <v>0.006261987530756848</v>
      </c>
      <c r="T22" s="15">
        <f>M23</f>
        <v>0.0018907776406539402</v>
      </c>
      <c r="V22" s="14">
        <v>44957</v>
      </c>
      <c r="W22" s="9">
        <v>-0.05415044769978938</v>
      </c>
      <c r="X22" s="9">
        <v>-0.005798443186082025</v>
      </c>
      <c r="Y22" s="9">
        <v>-0.03785591253884479</v>
      </c>
      <c r="Z22" s="9">
        <v>-0.02447627885220938</v>
      </c>
      <c r="AA22" s="9">
        <v>-0.04689671276625673</v>
      </c>
    </row>
    <row r="23" spans="1:27">
      <c r="A23" s="14">
        <v>44455</v>
      </c>
      <c r="B23" s="10">
        <v>753.071533203125</v>
      </c>
      <c r="C23" s="10">
        <v>66.45316314697266</v>
      </c>
      <c r="D23" s="10">
        <v>430.05810546875</v>
      </c>
      <c r="E23" s="10">
        <v>17629.5</v>
      </c>
      <c r="F23" s="10">
        <v>423.5</v>
      </c>
      <c r="I23" s="15">
        <f>LN(B23/B22)</f>
        <v>-0.006463899297256998</v>
      </c>
      <c r="J23" s="15">
        <f>LN(C23/C22)</f>
        <v>-0.011098838071433925</v>
      </c>
      <c r="K23" s="15">
        <f>LN(D23/D22)</f>
        <v>0.012949805532636648</v>
      </c>
      <c r="L23" s="15">
        <f>LN(E23/E22)</f>
        <v>0.006261987530756848</v>
      </c>
      <c r="M23" s="15">
        <f>LN(F23/F22)</f>
        <v>0.0018907776406539402</v>
      </c>
      <c r="O23" s="14">
        <v>44456</v>
      </c>
      <c r="P23" s="15">
        <f>I24</f>
        <v>-0.03975256372965637</v>
      </c>
      <c r="Q23" s="15">
        <f>J24</f>
        <v>-0.02562321899538153</v>
      </c>
      <c r="R23" s="15">
        <f>K24</f>
        <v>-0.018165373094273383</v>
      </c>
      <c r="S23" s="15">
        <f>L24</f>
        <v>-0.002518817158814708</v>
      </c>
      <c r="T23" s="15">
        <f>M24</f>
        <v>-0.02377511747186136</v>
      </c>
      <c r="V23" s="14">
        <v>44985</v>
      </c>
      <c r="W23" s="9">
        <v>0.04439965551671099</v>
      </c>
      <c r="X23" s="9">
        <v>-0.06011653351378055</v>
      </c>
      <c r="Y23" s="9">
        <v>0.0105579317749771</v>
      </c>
      <c r="Z23" s="9">
        <v>-0.02028072255941904</v>
      </c>
      <c r="AA23" s="9">
        <v>-0.04458747692921428</v>
      </c>
    </row>
    <row r="24" spans="1:27">
      <c r="A24" s="14">
        <v>44456</v>
      </c>
      <c r="B24" s="10">
        <v>723.7222290039062</v>
      </c>
      <c r="C24" s="10">
        <v>64.77204895019531</v>
      </c>
      <c r="D24" s="10">
        <v>422.3164672851562</v>
      </c>
      <c r="E24" s="10">
        <v>17585.150390625</v>
      </c>
      <c r="F24" s="10">
        <v>413.5499877929687</v>
      </c>
      <c r="I24" s="15">
        <f>LN(B24/B23)</f>
        <v>-0.03975256372965637</v>
      </c>
      <c r="J24" s="15">
        <f>LN(C24/C23)</f>
        <v>-0.02562321899538153</v>
      </c>
      <c r="K24" s="15">
        <f>LN(D24/D23)</f>
        <v>-0.018165373094273383</v>
      </c>
      <c r="L24" s="15">
        <f>LN(E24/E23)</f>
        <v>-0.002518817158814708</v>
      </c>
      <c r="M24" s="15">
        <f>LN(F24/F23)</f>
        <v>-0.02377511747186136</v>
      </c>
      <c r="O24" s="14">
        <v>44459</v>
      </c>
      <c r="P24" s="15">
        <f>I25</f>
        <v>-0.03215770087769273</v>
      </c>
      <c r="Q24" s="15">
        <f>J25</f>
        <v>-0.04528469650797771</v>
      </c>
      <c r="R24" s="15">
        <f>K25</f>
        <v>-0.009267241363858085</v>
      </c>
      <c r="S24" s="15">
        <f>L25</f>
        <v>-0.01076276621795277</v>
      </c>
      <c r="T24" s="15">
        <f>M25</f>
        <v>-0.0216323145752672</v>
      </c>
      <c r="V24" s="14">
        <v>45016</v>
      </c>
      <c r="W24" s="9">
        <v>-0.01726156152148606</v>
      </c>
      <c r="X24" s="9">
        <v>0.1661097071773379</v>
      </c>
      <c r="Y24" s="9">
        <v>-0.05939564228907879</v>
      </c>
      <c r="Z24" s="9">
        <v>0.003224742545449466</v>
      </c>
      <c r="AA24" s="9">
        <v>-0.01487793978102803</v>
      </c>
    </row>
    <row r="25" spans="1:27">
      <c r="A25" s="14">
        <v>44459</v>
      </c>
      <c r="B25" s="10">
        <v>700.8192138671875</v>
      </c>
      <c r="C25" s="10">
        <v>61.90428924560547</v>
      </c>
      <c r="D25" s="10">
        <v>418.4208374023438</v>
      </c>
      <c r="E25" s="10">
        <v>17396.900390625</v>
      </c>
      <c r="F25" s="10">
        <v>404.7000122070313</v>
      </c>
      <c r="I25" s="15">
        <f>LN(B25/B24)</f>
        <v>-0.03215770087769273</v>
      </c>
      <c r="J25" s="15">
        <f>LN(C25/C24)</f>
        <v>-0.04528469650797771</v>
      </c>
      <c r="K25" s="15">
        <f>LN(D25/D24)</f>
        <v>-0.009267241363858085</v>
      </c>
      <c r="L25" s="15">
        <f>LN(E25/E24)</f>
        <v>-0.01076276621795277</v>
      </c>
      <c r="M25" s="15">
        <f>LN(F25/F24)</f>
        <v>-0.0216323145752672</v>
      </c>
      <c r="O25" s="14">
        <v>44460</v>
      </c>
      <c r="P25" s="15">
        <f>I26</f>
        <v>0.009983940576684173</v>
      </c>
      <c r="Q25" s="15">
        <f>J26</f>
        <v>0.047572119987766746</v>
      </c>
      <c r="R25" s="15">
        <f>K26</f>
        <v>0.013547128772075891</v>
      </c>
      <c r="S25" s="15">
        <f>L26</f>
        <v>0.009445425055689747</v>
      </c>
      <c r="T25" s="15">
        <f>M26</f>
        <v>0.03508275447723565</v>
      </c>
      <c r="V25" s="14">
        <v>45046</v>
      </c>
      <c r="W25" s="9">
        <v>0.0860433697439642</v>
      </c>
      <c r="X25" s="9">
        <v>0.1592304126381086</v>
      </c>
      <c r="Y25" s="9">
        <v>0.1112648503727209</v>
      </c>
      <c r="Z25" s="9">
        <v>0.04062558504586766</v>
      </c>
      <c r="AA25" s="9">
        <v>0.1490899679618616</v>
      </c>
    </row>
    <row r="26" spans="1:27">
      <c r="A26" s="14">
        <v>44460</v>
      </c>
      <c r="B26" s="10">
        <v>707.8511962890625</v>
      </c>
      <c r="C26" s="10">
        <v>64.92037963867188</v>
      </c>
      <c r="D26" s="10">
        <v>424.1278076171875</v>
      </c>
      <c r="E26" s="10">
        <v>17562</v>
      </c>
      <c r="F26" s="10">
        <v>419.1499938964844</v>
      </c>
      <c r="I26" s="15">
        <f>LN(B26/B25)</f>
        <v>0.009983940576684173</v>
      </c>
      <c r="J26" s="15">
        <f>LN(C26/C25)</f>
        <v>0.047572119987766746</v>
      </c>
      <c r="K26" s="15">
        <f>LN(D26/D25)</f>
        <v>0.013547128772075891</v>
      </c>
      <c r="L26" s="15">
        <f>LN(E26/E25)</f>
        <v>0.009445425055689747</v>
      </c>
      <c r="M26" s="15">
        <f>LN(F26/F25)</f>
        <v>0.03508275447723565</v>
      </c>
      <c r="O26" s="14">
        <v>44461</v>
      </c>
      <c r="P26" s="15">
        <f>I27</f>
        <v>0.0351792248109195</v>
      </c>
      <c r="Q26" s="15">
        <f>J27</f>
        <v>0.04766367308645761</v>
      </c>
      <c r="R26" s="15">
        <f>K27</f>
        <v>0.061873111269594126</v>
      </c>
      <c r="S26" s="15">
        <f>L27</f>
        <v>-0.0008744061752431491</v>
      </c>
      <c r="T26" s="15">
        <f>M27</f>
        <v>0.08107905519045025</v>
      </c>
      <c r="V26" s="14">
        <v>45077</v>
      </c>
      <c r="W26" s="9">
        <v>0.0171018921526076</v>
      </c>
      <c r="X26" s="9">
        <v>0.07379940858089595</v>
      </c>
      <c r="Y26" s="9">
        <v>0.01480253310266</v>
      </c>
      <c r="Z26" s="9">
        <v>0.02598396848187101</v>
      </c>
      <c r="AA26" s="9">
        <v>0.07571328067251382</v>
      </c>
    </row>
    <row r="27" spans="1:27">
      <c r="A27" s="14">
        <v>44461</v>
      </c>
      <c r="B27" s="10">
        <v>733.196044921875</v>
      </c>
      <c r="C27" s="10">
        <v>68.08965301513672</v>
      </c>
      <c r="D27" s="10">
        <v>451.1987609863281</v>
      </c>
      <c r="E27" s="10">
        <v>17546.650390625</v>
      </c>
      <c r="F27" s="10">
        <v>454.5499877929687</v>
      </c>
      <c r="I27" s="15">
        <f>LN(B27/B26)</f>
        <v>0.0351792248109195</v>
      </c>
      <c r="J27" s="15">
        <f>LN(C27/C26)</f>
        <v>0.04766367308645761</v>
      </c>
      <c r="K27" s="15">
        <f>LN(D27/D26)</f>
        <v>0.061873111269594126</v>
      </c>
      <c r="L27" s="15">
        <f>LN(E27/E26)</f>
        <v>-0.0008744061752431491</v>
      </c>
      <c r="M27" s="15">
        <f>LN(F27/F26)</f>
        <v>0.08107905519045025</v>
      </c>
      <c r="O27" s="14">
        <v>44462</v>
      </c>
      <c r="P27" s="15">
        <f>I28</f>
        <v>0.12104872150412163</v>
      </c>
      <c r="Q27" s="15">
        <f>J28</f>
        <v>0.046189446275195285</v>
      </c>
      <c r="R27" s="15">
        <f>K28</f>
        <v>0.01582214795748537</v>
      </c>
      <c r="S27" s="15">
        <f>L28</f>
        <v>0.01562383807742847</v>
      </c>
      <c r="T27" s="15">
        <f>M28</f>
        <v>0.08302516347611619</v>
      </c>
      <c r="V27" s="14">
        <v>45107</v>
      </c>
      <c r="W27" s="9">
        <v>0.0622363563446906</v>
      </c>
      <c r="X27" s="9">
        <v>0.1699017285079318</v>
      </c>
      <c r="Y27" s="9">
        <v>0.06560566121013567</v>
      </c>
      <c r="Z27" s="9">
        <v>0.03532082920557467</v>
      </c>
      <c r="AA27" s="9">
        <v>0.08604848215837047</v>
      </c>
    </row>
    <row r="28" spans="1:27">
      <c r="A28" s="14">
        <v>44462</v>
      </c>
      <c r="B28" s="10">
        <v>827.5436401367188</v>
      </c>
      <c r="C28" s="10">
        <v>71.30844116210938</v>
      </c>
      <c r="D28" s="10">
        <v>458.3944702148438</v>
      </c>
      <c r="E28" s="10">
        <v>17822.94921875</v>
      </c>
      <c r="F28" s="10">
        <v>493.8999938964844</v>
      </c>
      <c r="I28" s="15">
        <f>LN(B28/B27)</f>
        <v>0.12104872150412163</v>
      </c>
      <c r="J28" s="15">
        <f>LN(C28/C27)</f>
        <v>0.046189446275195285</v>
      </c>
      <c r="K28" s="15">
        <f>LN(D28/D27)</f>
        <v>0.01582214795748537</v>
      </c>
      <c r="L28" s="15">
        <f>LN(E28/E27)</f>
        <v>0.01562383807742847</v>
      </c>
      <c r="M28" s="15">
        <f>LN(F28/F27)</f>
        <v>0.08302516347611619</v>
      </c>
      <c r="O28" s="14">
        <v>44463</v>
      </c>
      <c r="P28" s="15">
        <f>I29</f>
        <v>0.09527802898364902</v>
      </c>
      <c r="Q28" s="15">
        <f>J29</f>
        <v>-0.013282437647040672</v>
      </c>
      <c r="R28" s="15">
        <f>K29</f>
        <v>0.02332655297055986</v>
      </c>
      <c r="S28" s="15">
        <f>L29</f>
        <v>0.0016958112674268218</v>
      </c>
      <c r="T28" s="15">
        <f>M29</f>
        <v>0.014871644729924001</v>
      </c>
      <c r="V28" s="14">
        <v>45138</v>
      </c>
      <c r="W28" s="9">
        <v>0.1368295199883185</v>
      </c>
      <c r="X28" s="9">
        <v>0.1370171241594449</v>
      </c>
      <c r="Y28" s="9">
        <v>0.1070777705393884</v>
      </c>
      <c r="Z28" s="9">
        <v>0.02943084608186197</v>
      </c>
      <c r="AA28" s="9">
        <v>0.08990384615384617</v>
      </c>
    </row>
    <row r="29" spans="1:27">
      <c r="A29" s="14">
        <v>44463</v>
      </c>
      <c r="B29" s="10">
        <v>910.2687377929688</v>
      </c>
      <c r="C29" s="10">
        <v>70.3675537109375</v>
      </c>
      <c r="D29" s="10">
        <v>469.2129211425781</v>
      </c>
      <c r="E29" s="10">
        <v>17853.19921875</v>
      </c>
      <c r="F29" s="10">
        <v>501.2999877929687</v>
      </c>
      <c r="I29" s="15">
        <f>LN(B29/B28)</f>
        <v>0.09527802898364902</v>
      </c>
      <c r="J29" s="15">
        <f>LN(C29/C28)</f>
        <v>-0.013282437647040672</v>
      </c>
      <c r="K29" s="15">
        <f>LN(D29/D28)</f>
        <v>0.02332655297055986</v>
      </c>
      <c r="L29" s="15">
        <f>LN(E29/E28)</f>
        <v>0.0016958112674268218</v>
      </c>
      <c r="M29" s="15">
        <f>LN(F29/F28)</f>
        <v>0.014871644729924001</v>
      </c>
      <c r="O29" s="14">
        <v>44466</v>
      </c>
      <c r="P29" s="15">
        <f>I30</f>
        <v>0.01786533070063465</v>
      </c>
      <c r="Q29" s="15">
        <f>J30</f>
        <v>0.03594030028974703</v>
      </c>
      <c r="R29" s="15">
        <f>K30</f>
        <v>0.038335605832610795</v>
      </c>
      <c r="S29" s="15">
        <f>L30</f>
        <v>0.00010643971788971012</v>
      </c>
      <c r="T29" s="15">
        <f>M30</f>
        <v>0.02948326832360512</v>
      </c>
      <c r="V29" s="14">
        <v>45169</v>
      </c>
      <c r="W29" s="9">
        <v>0.001161365049248353</v>
      </c>
      <c r="X29" s="9">
        <v>0.08851979822332079</v>
      </c>
      <c r="Y29" s="9">
        <v>0.03992484637987115</v>
      </c>
      <c r="Z29" s="9">
        <v>-0.02531158461791272</v>
      </c>
      <c r="AA29" s="9">
        <v>-0.01473308440394794</v>
      </c>
    </row>
    <row r="30" spans="1:27">
      <c r="A30" s="14">
        <v>44466</v>
      </c>
      <c r="B30" s="10">
        <v>926.6771240234376</v>
      </c>
      <c r="C30" s="10">
        <v>72.94258117675781</v>
      </c>
      <c r="D30" s="10">
        <v>487.5497131347656</v>
      </c>
      <c r="E30" s="10">
        <v>17855.099609375</v>
      </c>
      <c r="F30" s="10">
        <v>516.2999877929688</v>
      </c>
      <c r="I30" s="15">
        <f>LN(B30/B29)</f>
        <v>0.01786533070063465</v>
      </c>
      <c r="J30" s="15">
        <f>LN(C30/C29)</f>
        <v>0.03594030028974703</v>
      </c>
      <c r="K30" s="15">
        <f>LN(D30/D29)</f>
        <v>0.038335605832610795</v>
      </c>
      <c r="L30" s="15">
        <f>LN(E30/E29)</f>
        <v>0.00010643971788971012</v>
      </c>
      <c r="M30" s="15">
        <f>LN(F30/F29)</f>
        <v>0.02948326832360512</v>
      </c>
      <c r="O30" s="14">
        <v>44467</v>
      </c>
      <c r="P30" s="15">
        <f>I31</f>
        <v>-0.06780430927608881</v>
      </c>
      <c r="Q30" s="15">
        <f>J31</f>
        <v>0.04836995455711764</v>
      </c>
      <c r="R30" s="15">
        <f>K31</f>
        <v>-0.012392674948526985</v>
      </c>
      <c r="S30" s="15">
        <f>L31</f>
        <v>-0.005982542262753364</v>
      </c>
      <c r="T30" s="15">
        <f>M31</f>
        <v>-0.03068082452648241</v>
      </c>
      <c r="V30" s="14">
        <v>45199</v>
      </c>
      <c r="W30" s="9">
        <v>0.02988794165654629</v>
      </c>
      <c r="X30" s="9">
        <v>0.0004556145168865822</v>
      </c>
      <c r="Y30" s="9">
        <v>0.01083438119211899</v>
      </c>
      <c r="Z30" s="9">
        <v>0.01997008301729397</v>
      </c>
      <c r="AA30" s="9">
        <v>0.03089183246025229</v>
      </c>
    </row>
    <row r="31" spans="1:27">
      <c r="A31" s="14">
        <v>44467</v>
      </c>
      <c r="B31" s="10">
        <v>865.92724609375</v>
      </c>
      <c r="C31" s="10">
        <v>76.55753326416016</v>
      </c>
      <c r="D31" s="10">
        <v>481.5449523925781</v>
      </c>
      <c r="E31" s="10">
        <v>17748.599609375</v>
      </c>
      <c r="F31" s="10">
        <v>500.7000122070313</v>
      </c>
      <c r="I31" s="15">
        <f>LN(B31/B30)</f>
        <v>-0.06780430927608881</v>
      </c>
      <c r="J31" s="15">
        <f>LN(C31/C30)</f>
        <v>0.04836995455711764</v>
      </c>
      <c r="K31" s="15">
        <f>LN(D31/D30)</f>
        <v>-0.012392674948526985</v>
      </c>
      <c r="L31" s="15">
        <f>LN(E31/E30)</f>
        <v>-0.005982542262753364</v>
      </c>
      <c r="M31" s="15">
        <f>LN(F31/F30)</f>
        <v>-0.03068082452648241</v>
      </c>
      <c r="O31" s="14">
        <v>44468</v>
      </c>
      <c r="P31" s="15">
        <f>I32</f>
        <v>0.05272478470034971</v>
      </c>
      <c r="Q31" s="15">
        <f>J32</f>
        <v>0.003873281402362525</v>
      </c>
      <c r="R31" s="15">
        <f>K32</f>
        <v>-0.033373968638797206</v>
      </c>
      <c r="S31" s="15">
        <f>L32</f>
        <v>-0.002103719495544819</v>
      </c>
      <c r="T31" s="15">
        <f>M32</f>
        <v>0.01122099811641047</v>
      </c>
      <c r="V31" s="14">
        <v>45230</v>
      </c>
      <c r="W31" s="9">
        <v>-0.01429353712266113</v>
      </c>
      <c r="X31" s="9">
        <v>0.1061019517184814</v>
      </c>
      <c r="Y31" s="9">
        <v>0.0005511509147302363</v>
      </c>
      <c r="Z31" s="9">
        <v>-0.02844956791824016</v>
      </c>
      <c r="AA31" s="9">
        <v>0.04751146430294395</v>
      </c>
    </row>
    <row r="32" spans="1:27">
      <c r="A32" s="14">
        <v>44468</v>
      </c>
      <c r="B32" s="10">
        <v>912.80810546875</v>
      </c>
      <c r="C32" s="10">
        <v>76.85463714599609</v>
      </c>
      <c r="D32" s="10">
        <v>465.7391052246094</v>
      </c>
      <c r="E32" s="10">
        <v>17711.30078125</v>
      </c>
      <c r="F32" s="10">
        <v>506.3500061035156</v>
      </c>
      <c r="I32" s="15">
        <f>LN(B32/B31)</f>
        <v>0.05272478470034971</v>
      </c>
      <c r="J32" s="15">
        <f>LN(C32/C31)</f>
        <v>0.003873281402362525</v>
      </c>
      <c r="K32" s="15">
        <f>LN(D32/D31)</f>
        <v>-0.033373968638797206</v>
      </c>
      <c r="L32" s="15">
        <f>LN(E32/E31)</f>
        <v>-0.002103719495544819</v>
      </c>
      <c r="M32" s="15">
        <f>LN(F32/F31)</f>
        <v>0.01122099811641047</v>
      </c>
      <c r="O32" s="14">
        <v>44469</v>
      </c>
      <c r="P32" s="15">
        <f>I33</f>
        <v>0.031180142259889604</v>
      </c>
      <c r="Q32" s="15">
        <f>J33</f>
        <v>-0.022150626252717725</v>
      </c>
      <c r="R32" s="15">
        <f>K33</f>
        <v>0.02103458831523293</v>
      </c>
      <c r="S32" s="15">
        <f>L33</f>
        <v>-0.005273255224157625</v>
      </c>
      <c r="T32" s="15">
        <f>M33</f>
        <v>0.01460591908521023</v>
      </c>
      <c r="V32" s="14">
        <v>45260</v>
      </c>
      <c r="W32" s="9">
        <v>0.2331748569734502</v>
      </c>
      <c r="X32" s="9">
        <v>0.1047755453256536</v>
      </c>
      <c r="Y32" s="9">
        <v>0.3061117949582668</v>
      </c>
      <c r="Z32" s="9">
        <v>0.05521870494244152</v>
      </c>
      <c r="AA32" s="9">
        <v>0.1834162115853026</v>
      </c>
    </row>
    <row r="33" spans="1:27">
      <c r="A33" s="14">
        <v>44469</v>
      </c>
      <c r="B33" s="10">
        <v>941.7179565429688</v>
      </c>
      <c r="C33" s="10">
        <v>75.17097473144531</v>
      </c>
      <c r="D33" s="10">
        <v>475.6394958496094</v>
      </c>
      <c r="E33" s="10">
        <v>17618.150390625</v>
      </c>
      <c r="F33" s="10">
        <v>513.7999877929688</v>
      </c>
      <c r="I33" s="15">
        <f>LN(B33/B32)</f>
        <v>0.031180142259889604</v>
      </c>
      <c r="J33" s="15">
        <f>LN(C33/C32)</f>
        <v>-0.022150626252717725</v>
      </c>
      <c r="K33" s="15">
        <f>LN(D33/D32)</f>
        <v>0.02103458831523293</v>
      </c>
      <c r="L33" s="15">
        <f>LN(E33/E32)</f>
        <v>-0.005273255224157625</v>
      </c>
      <c r="M33" s="15">
        <f>LN(F33/F32)</f>
        <v>0.01460591908521023</v>
      </c>
      <c r="O33" s="14">
        <v>44470</v>
      </c>
      <c r="P33" s="15">
        <f>I34</f>
        <v>-0.051063996767426637</v>
      </c>
      <c r="Q33" s="15">
        <f>J34</f>
        <v>0.008527490205803888</v>
      </c>
      <c r="R33" s="15">
        <f>K34</f>
        <v>0.0032290804291078548</v>
      </c>
      <c r="S33" s="15">
        <f>L34</f>
        <v>-0.004898963801205104</v>
      </c>
      <c r="T33" s="15">
        <f>M34</f>
        <v>-0.015198606404724629</v>
      </c>
      <c r="V33" s="14">
        <v>45291</v>
      </c>
      <c r="W33" s="9">
        <v>0.03033872687102845</v>
      </c>
      <c r="X33" s="9">
        <v>0.09968336882865891</v>
      </c>
      <c r="Y33" s="9">
        <v>-0.05330977849431495</v>
      </c>
      <c r="Z33" s="9">
        <v>0.07938399947303942</v>
      </c>
      <c r="AA33" s="9">
        <v>0.0973234509292209</v>
      </c>
    </row>
    <row r="34" spans="1:27">
      <c r="A34" s="14">
        <v>44470</v>
      </c>
      <c r="B34" s="10">
        <v>894.8372192382812</v>
      </c>
      <c r="C34" s="10">
        <v>75.81473541259766</v>
      </c>
      <c r="D34" s="10">
        <v>477.1778564453125</v>
      </c>
      <c r="E34" s="10">
        <v>17532.05078125</v>
      </c>
      <c r="F34" s="10">
        <v>506.0499877929687</v>
      </c>
      <c r="I34" s="15">
        <f>LN(B34/B33)</f>
        <v>-0.051063996767426637</v>
      </c>
      <c r="J34" s="15">
        <f>LN(C34/C33)</f>
        <v>0.008527490205803888</v>
      </c>
      <c r="K34" s="15">
        <f>LN(D34/D33)</f>
        <v>0.0032290804291078548</v>
      </c>
      <c r="L34" s="15">
        <f>LN(E34/E33)</f>
        <v>-0.004898963801205104</v>
      </c>
      <c r="M34" s="15">
        <f>LN(F34/F33)</f>
        <v>-0.015198606404724629</v>
      </c>
      <c r="O34" s="14">
        <v>44473</v>
      </c>
      <c r="P34" s="15">
        <f>I35</f>
        <v>0.0014178594840892956</v>
      </c>
      <c r="Q34" s="15">
        <f>J35</f>
        <v>0.01555436352861769</v>
      </c>
      <c r="R34" s="15">
        <f>K35</f>
        <v>-0.0047953251767844035</v>
      </c>
      <c r="S34" s="15">
        <f>L35</f>
        <v>0.009039488024266832</v>
      </c>
      <c r="T34" s="15">
        <f>M35</f>
        <v>0.021504103509262244</v>
      </c>
      <c r="V34" s="14">
        <v>45322</v>
      </c>
      <c r="W34" s="9">
        <v>-0.08289760443897043</v>
      </c>
      <c r="X34" s="9">
        <v>0.07793972457734943</v>
      </c>
      <c r="Y34" s="9">
        <v>0.0798120923544694</v>
      </c>
      <c r="Z34" s="9">
        <v>-0.0002623471921975318</v>
      </c>
      <c r="AA34" s="9">
        <v>0.09341680040151235</v>
      </c>
    </row>
    <row r="35" spans="1:27">
      <c r="A35" s="14">
        <v>44473</v>
      </c>
      <c r="B35" s="10">
        <v>896.1068725585938</v>
      </c>
      <c r="C35" s="10">
        <v>77.00320434570312</v>
      </c>
      <c r="D35" s="10">
        <v>474.8951110839844</v>
      </c>
      <c r="E35" s="10">
        <v>17691.25</v>
      </c>
      <c r="F35" s="10">
        <v>517.0499877929688</v>
      </c>
      <c r="I35" s="15">
        <f>LN(B35/B34)</f>
        <v>0.0014178594840892956</v>
      </c>
      <c r="J35" s="15">
        <f>LN(C35/C34)</f>
        <v>0.01555436352861769</v>
      </c>
      <c r="K35" s="15">
        <f>LN(D35/D34)</f>
        <v>-0.0047953251767844035</v>
      </c>
      <c r="L35" s="15">
        <f>LN(E35/E34)</f>
        <v>0.009039488024266832</v>
      </c>
      <c r="M35" s="15">
        <f>LN(F35/F34)</f>
        <v>0.021504103509262244</v>
      </c>
      <c r="O35" s="14">
        <v>44474</v>
      </c>
      <c r="P35" s="15">
        <f>I36</f>
        <v>-0.03414587857411767</v>
      </c>
      <c r="Q35" s="15">
        <f>J36</f>
        <v>-0.02738107133747747</v>
      </c>
      <c r="R35" s="15">
        <f>K36</f>
        <v>0.0037548230901289195</v>
      </c>
      <c r="S35" s="15">
        <f>L36</f>
        <v>0.007380358946066971</v>
      </c>
      <c r="T35" s="15">
        <f>M36</f>
        <v>-0.01372883230361662</v>
      </c>
      <c r="V35" s="14">
        <v>45351</v>
      </c>
      <c r="W35" s="9">
        <v>0.01708046720351808</v>
      </c>
      <c r="X35" s="9">
        <v>0.1002829122376621</v>
      </c>
      <c r="Y35" s="9">
        <v>0.1389965364957129</v>
      </c>
      <c r="Z35" s="9">
        <v>0.01183398333518815</v>
      </c>
      <c r="AA35" s="9">
        <v>0.06347812988911228</v>
      </c>
    </row>
    <row r="36" spans="1:27">
      <c r="A36" s="14">
        <v>44474</v>
      </c>
      <c r="B36" s="10">
        <v>866.0250244140625</v>
      </c>
      <c r="C36" s="10">
        <v>74.92337799072266</v>
      </c>
      <c r="D36" s="10">
        <v>476.6816101074219</v>
      </c>
      <c r="E36" s="10">
        <v>17822.30078125</v>
      </c>
      <c r="F36" s="10">
        <v>510</v>
      </c>
      <c r="I36" s="15">
        <f>LN(B36/B35)</f>
        <v>-0.03414587857411767</v>
      </c>
      <c r="J36" s="15">
        <f>LN(C36/C35)</f>
        <v>-0.02738107133747747</v>
      </c>
      <c r="K36" s="15">
        <f>LN(D36/D35)</f>
        <v>0.0037548230901289195</v>
      </c>
      <c r="L36" s="15">
        <f>LN(E36/E35)</f>
        <v>0.007380358946066971</v>
      </c>
      <c r="M36" s="15">
        <f>LN(F36/F35)</f>
        <v>-0.01372883230361662</v>
      </c>
      <c r="O36" s="14">
        <v>44475</v>
      </c>
      <c r="P36" s="15">
        <f>I37</f>
        <v>-0.03325229175823235</v>
      </c>
      <c r="Q36" s="15">
        <f>J37</f>
        <v>-0.016661466436798233</v>
      </c>
      <c r="R36" s="15">
        <f>K37</f>
        <v>-0.0062136051666906245</v>
      </c>
      <c r="S36" s="15">
        <f>L37</f>
        <v>-0.009941397212065623</v>
      </c>
      <c r="T36" s="15">
        <f>M37</f>
        <v>-0.01630873804192399</v>
      </c>
      <c r="V36" s="14">
        <v>45382</v>
      </c>
      <c r="W36" s="9">
        <v>0.09789850934041833</v>
      </c>
      <c r="X36" s="9">
        <v>-0.1104285356381545</v>
      </c>
      <c r="Y36" s="9">
        <v>0.008005296652265903</v>
      </c>
      <c r="Z36" s="9">
        <v>0.01565312867996771</v>
      </c>
      <c r="AA36" s="9">
        <v>-0.01087250948506646</v>
      </c>
    </row>
    <row r="37" spans="1:27">
      <c r="A37" s="14">
        <v>44475</v>
      </c>
      <c r="B37" s="10">
        <v>837.7012329101562</v>
      </c>
      <c r="C37" s="10">
        <v>73.68538665771484</v>
      </c>
      <c r="D37" s="10">
        <v>473.7288818359375</v>
      </c>
      <c r="E37" s="10">
        <v>17646</v>
      </c>
      <c r="F37" s="10">
        <v>501.75</v>
      </c>
      <c r="I37" s="15">
        <f>LN(B37/B36)</f>
        <v>-0.03325229175823235</v>
      </c>
      <c r="J37" s="15">
        <f>LN(C37/C36)</f>
        <v>-0.016661466436798233</v>
      </c>
      <c r="K37" s="15">
        <f>LN(D37/D36)</f>
        <v>-0.0062136051666906245</v>
      </c>
      <c r="L37" s="15">
        <f>LN(E37/E36)</f>
        <v>-0.009941397212065623</v>
      </c>
      <c r="M37" s="15">
        <f>LN(F37/F36)</f>
        <v>-0.01630873804192399</v>
      </c>
      <c r="O37" s="14">
        <v>44476</v>
      </c>
      <c r="P37" s="15">
        <f>I38</f>
        <v>0.08890911581054549</v>
      </c>
      <c r="Q37" s="15">
        <f>J38</f>
        <v>0.047893741006577825</v>
      </c>
      <c r="R37" s="15">
        <f>K38</f>
        <v>0.037169877201082696</v>
      </c>
      <c r="S37" s="15">
        <f>L38</f>
        <v>0.00814702470131476</v>
      </c>
      <c r="T37" s="15">
        <f>M38</f>
        <v>0.059762606215851444</v>
      </c>
      <c r="V37" s="14">
        <v>45412</v>
      </c>
      <c r="W37" s="9">
        <v>0.00508165783369896</v>
      </c>
      <c r="X37" s="9">
        <v>0.1655691566191053</v>
      </c>
      <c r="Y37" s="9">
        <v>0.1325462539590685</v>
      </c>
      <c r="Z37" s="9">
        <v>0.01244907326530242</v>
      </c>
      <c r="AA37" s="9">
        <v>0.08060842016094871</v>
      </c>
    </row>
    <row r="38" spans="1:27">
      <c r="A38" s="14">
        <v>44476</v>
      </c>
      <c r="B38" s="10">
        <v>915.591796875</v>
      </c>
      <c r="C38" s="10">
        <v>77.30033111572266</v>
      </c>
      <c r="D38" s="10">
        <v>491.6686706542969</v>
      </c>
      <c r="E38" s="10">
        <v>17790.349609375</v>
      </c>
      <c r="F38" s="10">
        <v>532.6500244140625</v>
      </c>
      <c r="I38" s="15">
        <f>LN(B38/B37)</f>
        <v>0.08890911581054549</v>
      </c>
      <c r="J38" s="15">
        <f>LN(C38/C37)</f>
        <v>0.047893741006577825</v>
      </c>
      <c r="K38" s="15">
        <f>LN(D38/D37)</f>
        <v>0.037169877201082696</v>
      </c>
      <c r="L38" s="15">
        <f>LN(E38/E37)</f>
        <v>0.00814702470131476</v>
      </c>
      <c r="M38" s="15">
        <f>LN(F38/F37)</f>
        <v>0.059762606215851444</v>
      </c>
      <c r="O38" s="14">
        <v>44477</v>
      </c>
      <c r="P38" s="15">
        <f>I39</f>
        <v>-0.021184063854442273</v>
      </c>
      <c r="Q38" s="15">
        <f>J39</f>
        <v>-0.010950180214318941</v>
      </c>
      <c r="R38" s="15">
        <f>K39</f>
        <v>-0.024315461613039175</v>
      </c>
      <c r="S38" s="15">
        <f>L39</f>
        <v>0.005876323303578524</v>
      </c>
      <c r="T38" s="15">
        <f>M39</f>
        <v>-0.022306462272153403</v>
      </c>
      <c r="V38" s="14">
        <v>45443</v>
      </c>
      <c r="W38" s="9">
        <v>0.2281406556069825</v>
      </c>
      <c r="X38" s="9">
        <v>0.06227615063892289</v>
      </c>
      <c r="Y38" s="9">
        <v>-0.01649928659734634</v>
      </c>
      <c r="Z38" s="9">
        <v>-0.003280286836955915</v>
      </c>
      <c r="AA38" s="9">
        <v>0.04741846844496522</v>
      </c>
    </row>
    <row r="39" spans="1:27">
      <c r="A39" s="14">
        <v>44477</v>
      </c>
      <c r="B39" s="10">
        <v>896.3998413085938</v>
      </c>
      <c r="C39" s="10">
        <v>76.45849609375</v>
      </c>
      <c r="D39" s="10">
        <v>479.8576965332031</v>
      </c>
      <c r="E39" s="10">
        <v>17895.19921875</v>
      </c>
      <c r="F39" s="10">
        <v>520.9000244140625</v>
      </c>
      <c r="I39" s="15">
        <f>LN(B39/B38)</f>
        <v>-0.021184063854442273</v>
      </c>
      <c r="J39" s="15">
        <f>LN(C39/C38)</f>
        <v>-0.010950180214318941</v>
      </c>
      <c r="K39" s="15">
        <f>LN(D39/D38)</f>
        <v>-0.024315461613039175</v>
      </c>
      <c r="L39" s="15">
        <f>LN(E39/E38)</f>
        <v>0.005876323303578524</v>
      </c>
      <c r="M39" s="15">
        <f>LN(F39/F38)</f>
        <v>-0.022306462272153403</v>
      </c>
      <c r="O39" s="14">
        <v>44480</v>
      </c>
      <c r="P39" s="15">
        <f>I40</f>
        <v>0.04771048103877446</v>
      </c>
      <c r="Q39" s="15">
        <f>J40</f>
        <v>0.018608179070897485</v>
      </c>
      <c r="R39" s="15">
        <f>K40</f>
        <v>0.011822880655518387</v>
      </c>
      <c r="S39" s="15">
        <f>L40</f>
        <v>0.0028319423974920437</v>
      </c>
      <c r="T39" s="15">
        <f>M40</f>
        <v>0.017130223951531628</v>
      </c>
      <c r="V39" s="14">
        <v>45473</v>
      </c>
      <c r="W39" s="9">
        <v>-0.02859076464889632</v>
      </c>
      <c r="X39" s="9">
        <v>0.11465633153166</v>
      </c>
      <c r="Y39" s="9">
        <v>0.1576469277706434</v>
      </c>
      <c r="Z39" s="9">
        <v>0.06568373117304005</v>
      </c>
      <c r="AA39" s="9">
        <v>0.0837256950577332</v>
      </c>
    </row>
    <row r="40" spans="1:27">
      <c r="A40" s="14">
        <v>44480</v>
      </c>
      <c r="B40" s="10">
        <v>940.2041625976562</v>
      </c>
      <c r="C40" s="10">
        <v>77.89456939697266</v>
      </c>
      <c r="D40" s="10">
        <v>485.5646667480469</v>
      </c>
      <c r="E40" s="10">
        <v>17945.94921875</v>
      </c>
      <c r="F40" s="10">
        <v>529.9000244140625</v>
      </c>
      <c r="I40" s="15">
        <f>LN(B40/B39)</f>
        <v>0.04771048103877446</v>
      </c>
      <c r="J40" s="15">
        <f>LN(C40/C39)</f>
        <v>0.018608179070897485</v>
      </c>
      <c r="K40" s="15">
        <f>LN(D40/D39)</f>
        <v>0.011822880655518387</v>
      </c>
      <c r="L40" s="15">
        <f>LN(E40/E39)</f>
        <v>0.0028319423974920437</v>
      </c>
      <c r="M40" s="15">
        <f>LN(F40/F39)</f>
        <v>0.017130223951531628</v>
      </c>
      <c r="O40" s="14">
        <v>44481</v>
      </c>
      <c r="P40" s="15">
        <f>I41</f>
        <v>0.01571744183686784</v>
      </c>
      <c r="Q40" s="15">
        <f>J41</f>
        <v>-0.050858527954090585</v>
      </c>
      <c r="R40" s="15">
        <f>K41</f>
        <v>-0.012288392875573546</v>
      </c>
      <c r="S40" s="15">
        <f>L41</f>
        <v>0.002559973015762186</v>
      </c>
      <c r="T40" s="15">
        <f>M41</f>
        <v>0.007239208971157019</v>
      </c>
      <c r="V40" s="14">
        <v>45504</v>
      </c>
      <c r="W40" s="9">
        <v>0.05473597676396857</v>
      </c>
      <c r="X40" s="9">
        <v>0.2937052552354209</v>
      </c>
      <c r="Y40" s="9">
        <v>0.002480224842417389</v>
      </c>
      <c r="Z40" s="9">
        <v>0.03917231541701116</v>
      </c>
      <c r="AA40" s="9">
        <v>-0.009957003847024248</v>
      </c>
    </row>
    <row r="41" spans="1:27">
      <c r="A41" s="14">
        <v>44481</v>
      </c>
      <c r="B41" s="10">
        <v>955.0985107421876</v>
      </c>
      <c r="C41" s="10">
        <v>74.03202056884766</v>
      </c>
      <c r="D41" s="10">
        <v>479.6343688964844</v>
      </c>
      <c r="E41" s="10">
        <v>17991.94921875</v>
      </c>
      <c r="F41" s="10">
        <v>533.75</v>
      </c>
      <c r="I41" s="15">
        <f>LN(B41/B40)</f>
        <v>0.01571744183686784</v>
      </c>
      <c r="J41" s="15">
        <f>LN(C41/C40)</f>
        <v>-0.050858527954090585</v>
      </c>
      <c r="K41" s="15">
        <f>LN(D41/D40)</f>
        <v>-0.012288392875573546</v>
      </c>
      <c r="L41" s="15">
        <f>LN(E41/E40)</f>
        <v>0.002559973015762186</v>
      </c>
      <c r="M41" s="15">
        <f>LN(F41/F40)</f>
        <v>0.007239208971157019</v>
      </c>
      <c r="O41" s="14">
        <v>44482</v>
      </c>
      <c r="P41" s="15">
        <f>I42</f>
        <v>-0.013123871673601439</v>
      </c>
      <c r="Q41" s="15">
        <f>J42</f>
        <v>-0.017544314210879968</v>
      </c>
      <c r="R41" s="15">
        <f>K42</f>
        <v>0.014177377034874494</v>
      </c>
      <c r="S41" s="15">
        <f>L42</f>
        <v>0.00939334195098345</v>
      </c>
      <c r="T41" s="15">
        <f>M42</f>
        <v>-0.002438545155286724</v>
      </c>
      <c r="V41" s="14">
        <v>45535</v>
      </c>
      <c r="W41" s="9">
        <v>-0.04732856885973524</v>
      </c>
      <c r="X41" s="9">
        <v>0.07350023812088824</v>
      </c>
      <c r="Y41" s="9">
        <v>0.04937359805847064</v>
      </c>
      <c r="Z41" s="9">
        <v>0.01141229945481759</v>
      </c>
      <c r="AA41" s="9">
        <v>-0.03689140624999998</v>
      </c>
    </row>
    <row r="42" spans="1:27">
      <c r="A42" s="14">
        <v>44482</v>
      </c>
      <c r="B42" s="10">
        <v>942.6458129882812</v>
      </c>
      <c r="C42" s="10">
        <v>72.7445068359375</v>
      </c>
      <c r="D42" s="10">
        <v>486.4827575683594</v>
      </c>
      <c r="E42" s="10">
        <v>18161.75</v>
      </c>
      <c r="F42" s="10">
        <v>532.4500122070312</v>
      </c>
      <c r="I42" s="15">
        <f>LN(B42/B41)</f>
        <v>-0.013123871673601439</v>
      </c>
      <c r="J42" s="15">
        <f>LN(C42/C41)</f>
        <v>-0.017544314210879968</v>
      </c>
      <c r="K42" s="15">
        <f>LN(D42/D41)</f>
        <v>0.014177377034874494</v>
      </c>
      <c r="L42" s="15">
        <f>LN(E42/E41)</f>
        <v>0.00939334195098345</v>
      </c>
      <c r="M42" s="15">
        <f>LN(F42/F41)</f>
        <v>-0.002438545155286724</v>
      </c>
      <c r="O42" s="14">
        <v>44483</v>
      </c>
      <c r="P42" s="15">
        <f>I43</f>
        <v>-0.009159548321049845</v>
      </c>
      <c r="Q42" s="15">
        <f>J43</f>
        <v>-0.003409559452448147</v>
      </c>
      <c r="R42" s="15">
        <f>K43</f>
        <v>-0.0027068670163955893</v>
      </c>
      <c r="S42" s="15">
        <f>L43</f>
        <v>0.009687709975996201</v>
      </c>
      <c r="T42" s="15">
        <f>M43</f>
        <v>0.012690265881718229</v>
      </c>
      <c r="V42" s="14">
        <v>45565</v>
      </c>
      <c r="W42" s="9">
        <v>0.06762211969136178</v>
      </c>
      <c r="X42" s="9">
        <v>0.1820776168351448</v>
      </c>
      <c r="Y42" s="9">
        <v>-0.02071947977520971</v>
      </c>
      <c r="Z42" s="9">
        <v>0.02278298811813317</v>
      </c>
      <c r="AA42" s="9">
        <v>0.04328837528867702</v>
      </c>
    </row>
    <row r="43" spans="1:27">
      <c r="A43" s="14">
        <v>44483</v>
      </c>
      <c r="B43" s="10">
        <v>934.051025390625</v>
      </c>
      <c r="C43" s="10">
        <v>72.49690246582031</v>
      </c>
      <c r="D43" s="10">
        <v>485.1676940917969</v>
      </c>
      <c r="E43" s="10">
        <v>18338.55078125</v>
      </c>
      <c r="F43" s="10">
        <v>539.25</v>
      </c>
      <c r="I43" s="15">
        <f>LN(B43/B42)</f>
        <v>-0.009159548321049845</v>
      </c>
      <c r="J43" s="15">
        <f>LN(C43/C42)</f>
        <v>-0.003409559452448147</v>
      </c>
      <c r="K43" s="15">
        <f>LN(D43/D42)</f>
        <v>-0.0027068670163955893</v>
      </c>
      <c r="L43" s="15">
        <f>LN(E43/E42)</f>
        <v>0.009687709975996201</v>
      </c>
      <c r="M43" s="15">
        <f>LN(F43/F42)</f>
        <v>0.012690265881718229</v>
      </c>
      <c r="O43" s="14">
        <v>44487</v>
      </c>
      <c r="P43" s="15">
        <f>I44</f>
        <v>0.010971195580164692</v>
      </c>
      <c r="Q43" s="15">
        <f>J44</f>
        <v>-0.0020511820710012283</v>
      </c>
      <c r="R43" s="15">
        <f>K44</f>
        <v>0.00219667065503023</v>
      </c>
      <c r="S43" s="15">
        <f>L44</f>
        <v>0.007524019573498294</v>
      </c>
      <c r="T43" s="15">
        <f>M44</f>
        <v>0.004717621851216919</v>
      </c>
      <c r="V43" s="14">
        <v>45596</v>
      </c>
      <c r="W43" s="9">
        <v>0.03942510586302883</v>
      </c>
      <c r="X43" s="9">
        <v>0.05167505408796202</v>
      </c>
      <c r="Y43" s="9">
        <v>-0.1752769862161399</v>
      </c>
      <c r="Z43" s="9">
        <v>-0.0622025242988069</v>
      </c>
      <c r="AA43" s="9">
        <v>-0.09049136688537873</v>
      </c>
    </row>
    <row r="44" spans="1:27">
      <c r="A44" s="14">
        <v>44487</v>
      </c>
      <c r="B44" s="10">
        <v>944.3551025390624</v>
      </c>
      <c r="C44" s="10">
        <v>72.34835052490234</v>
      </c>
      <c r="D44" s="10">
        <v>486.234619140625</v>
      </c>
      <c r="E44" s="10">
        <v>18477.05078125</v>
      </c>
      <c r="F44" s="10">
        <v>541.7999877929688</v>
      </c>
      <c r="I44" s="15">
        <f>LN(B44/B43)</f>
        <v>0.010971195580164692</v>
      </c>
      <c r="J44" s="15">
        <f>LN(C44/C43)</f>
        <v>-0.0020511820710012283</v>
      </c>
      <c r="K44" s="15">
        <f>LN(D44/D43)</f>
        <v>0.00219667065503023</v>
      </c>
      <c r="L44" s="15">
        <f>LN(E44/E43)</f>
        <v>0.007524019573498294</v>
      </c>
      <c r="M44" s="15">
        <f>LN(F44/F43)</f>
        <v>0.004717621851216919</v>
      </c>
      <c r="O44" s="14">
        <v>44488</v>
      </c>
      <c r="P44" s="15">
        <f>I45</f>
        <v>-0.07253413983081165</v>
      </c>
      <c r="Q44" s="15">
        <f>J45</f>
        <v>-0.039083881696402936</v>
      </c>
      <c r="R44" s="15">
        <f>K45</f>
        <v>-0.01797021333817765</v>
      </c>
      <c r="S44" s="15">
        <f>L45</f>
        <v>-0.0031602962146704853</v>
      </c>
      <c r="T44" s="15">
        <f>M45</f>
        <v>-0.048596409270709434</v>
      </c>
      <c r="V44" s="14">
        <v>45626</v>
      </c>
      <c r="W44" s="9">
        <v>0.02165257607830773</v>
      </c>
      <c r="X44" s="9">
        <v>-0.09091516764566976</v>
      </c>
      <c r="Y44" s="9">
        <v>0.0880990846920322</v>
      </c>
      <c r="Z44" s="9">
        <v>-0.003067503721212228</v>
      </c>
      <c r="AA44" s="9">
        <v>0.0206093110626504</v>
      </c>
    </row>
    <row r="45" spans="1:27">
      <c r="A45" s="14">
        <v>44488</v>
      </c>
      <c r="B45" s="10">
        <v>878.2823486328125</v>
      </c>
      <c r="C45" s="10">
        <v>69.57524108886719</v>
      </c>
      <c r="D45" s="10">
        <v>477.5749206542969</v>
      </c>
      <c r="E45" s="10">
        <v>18418.75</v>
      </c>
      <c r="F45" s="10">
        <v>516.0999755859375</v>
      </c>
      <c r="I45" s="15">
        <f>LN(B45/B44)</f>
        <v>-0.07253413983081165</v>
      </c>
      <c r="J45" s="15">
        <f>LN(C45/C44)</f>
        <v>-0.039083881696402936</v>
      </c>
      <c r="K45" s="15">
        <f>LN(D45/D44)</f>
        <v>-0.01797021333817765</v>
      </c>
      <c r="L45" s="15">
        <f>LN(E45/E44)</f>
        <v>-0.0031602962146704853</v>
      </c>
      <c r="M45" s="15">
        <f>LN(F45/F44)</f>
        <v>-0.048596409270709434</v>
      </c>
      <c r="O45" s="14">
        <v>44489</v>
      </c>
      <c r="P45" s="15">
        <f>I46</f>
        <v>-0.01914217368072205</v>
      </c>
      <c r="Q45" s="15">
        <f>J46</f>
        <v>-0.04215754106483755</v>
      </c>
      <c r="R45" s="15">
        <f>K46</f>
        <v>-0.023232456740261906</v>
      </c>
      <c r="S45" s="15">
        <f>L46</f>
        <v>-0.008294933244362599</v>
      </c>
      <c r="T45" s="15">
        <f>M46</f>
        <v>-0.021841059202474936</v>
      </c>
      <c r="V45" s="14">
        <v>45657</v>
      </c>
      <c r="W45" s="9">
        <v>0.151518366209126</v>
      </c>
      <c r="X45" s="9">
        <v>0.2701016618009371</v>
      </c>
      <c r="Y45" s="9">
        <v>-0.01343396825898335</v>
      </c>
      <c r="Z45" s="9">
        <v>-0.0201523691832125</v>
      </c>
      <c r="AA45" s="9">
        <v>0.03156393706932437</v>
      </c>
    </row>
    <row r="46" spans="1:27">
      <c r="A46" s="14">
        <v>44489</v>
      </c>
      <c r="B46" s="10">
        <v>861.6300048828125</v>
      </c>
      <c r="C46" s="10">
        <v>66.70308685302734</v>
      </c>
      <c r="D46" s="10">
        <v>466.6075744628906</v>
      </c>
      <c r="E46" s="10">
        <v>18266.599609375</v>
      </c>
      <c r="F46" s="10">
        <v>504.9500122070313</v>
      </c>
      <c r="I46" s="15">
        <f>LN(B46/B45)</f>
        <v>-0.01914217368072205</v>
      </c>
      <c r="J46" s="15">
        <f>LN(C46/C45)</f>
        <v>-0.04215754106483755</v>
      </c>
      <c r="K46" s="15">
        <f>LN(D46/D45)</f>
        <v>-0.023232456740261906</v>
      </c>
      <c r="L46" s="15">
        <f>LN(E46/E45)</f>
        <v>-0.008294933244362599</v>
      </c>
      <c r="M46" s="15">
        <f>LN(F46/F45)</f>
        <v>-0.021841059202474936</v>
      </c>
      <c r="O46" s="14">
        <v>44490</v>
      </c>
      <c r="P46" s="15">
        <f>I47</f>
        <v>0.004128832582551441</v>
      </c>
      <c r="Q46" s="15">
        <f>J47</f>
        <v>-0.00074236275448639</v>
      </c>
      <c r="R46" s="15">
        <f>K47</f>
        <v>-0.03418576398439741</v>
      </c>
      <c r="S46" s="15">
        <f>L47</f>
        <v>-0.004856682911584848</v>
      </c>
      <c r="T46" s="15">
        <f>M47</f>
        <v>-0.014160599553456991</v>
      </c>
      <c r="V46" s="14">
        <v>45688</v>
      </c>
      <c r="W46" s="9">
        <v>-0.2149505969771561</v>
      </c>
      <c r="X46" s="9">
        <v>-0.3005202285003754</v>
      </c>
      <c r="Y46" s="9">
        <v>0.004773546315034682</v>
      </c>
      <c r="Z46" s="9">
        <v>-0.005768726574899463</v>
      </c>
      <c r="AA46" s="9">
        <v>-0.1244833021705165</v>
      </c>
    </row>
    <row r="47" spans="1:27">
      <c r="A47" s="14">
        <v>44490</v>
      </c>
      <c r="B47" s="10">
        <v>865.1948852539062</v>
      </c>
      <c r="C47" s="10">
        <v>66.65358734130859</v>
      </c>
      <c r="D47" s="10">
        <v>450.9258117675781</v>
      </c>
      <c r="E47" s="10">
        <v>18178.099609375</v>
      </c>
      <c r="F47" s="10">
        <v>497.8500061035156</v>
      </c>
      <c r="I47" s="15">
        <f>LN(B47/B46)</f>
        <v>0.004128832582551441</v>
      </c>
      <c r="J47" s="15">
        <f>LN(C47/C46)</f>
        <v>-0.00074236275448639</v>
      </c>
      <c r="K47" s="15">
        <f>LN(D47/D46)</f>
        <v>-0.03418576398439741</v>
      </c>
      <c r="L47" s="15">
        <f>LN(E47/E46)</f>
        <v>-0.004856682911584848</v>
      </c>
      <c r="M47" s="15">
        <f>LN(F47/F46)</f>
        <v>-0.014160599553456991</v>
      </c>
      <c r="O47" s="14">
        <v>44491</v>
      </c>
      <c r="P47" s="15">
        <f>I48</f>
        <v>0.03303182426356374</v>
      </c>
      <c r="Q47" s="15">
        <f>J48</f>
        <v>0.012550796950997365</v>
      </c>
      <c r="R47" s="15">
        <f>K48</f>
        <v>0.013282861022640176</v>
      </c>
      <c r="S47" s="15">
        <f>L48</f>
        <v>-0.0034827257394313984</v>
      </c>
      <c r="T47" s="15">
        <f>M48</f>
        <v>0.025287677667156516</v>
      </c>
      <c r="V47" s="14">
        <v>45716</v>
      </c>
      <c r="W47" s="9">
        <v>-0.1810333442204946</v>
      </c>
      <c r="X47" s="9">
        <v>-0.225722914695805</v>
      </c>
      <c r="Y47" s="9">
        <v>-0.05707155449631529</v>
      </c>
      <c r="Z47" s="9">
        <v>-0.05885986068311189</v>
      </c>
      <c r="AA47" s="9">
        <v>-0.1339881200879899</v>
      </c>
    </row>
    <row r="48" spans="1:27">
      <c r="A48" s="14">
        <v>44491</v>
      </c>
      <c r="B48" s="10">
        <v>894.2510986328125</v>
      </c>
      <c r="C48" s="10">
        <v>67.49541473388672</v>
      </c>
      <c r="D48" s="10">
        <v>456.9553527832031</v>
      </c>
      <c r="E48" s="10">
        <v>18114.900390625</v>
      </c>
      <c r="F48" s="10">
        <v>510.6000061035156</v>
      </c>
      <c r="I48" s="15">
        <f>LN(B48/B47)</f>
        <v>0.03303182426356374</v>
      </c>
      <c r="J48" s="15">
        <f>LN(C48/C47)</f>
        <v>0.012550796950997365</v>
      </c>
      <c r="K48" s="15">
        <f>LN(D48/D47)</f>
        <v>0.013282861022640176</v>
      </c>
      <c r="L48" s="15">
        <f>LN(E48/E47)</f>
        <v>-0.0034827257394313984</v>
      </c>
      <c r="M48" s="15">
        <f>LN(F48/F47)</f>
        <v>0.025287677667156516</v>
      </c>
      <c r="O48" s="14">
        <v>44494</v>
      </c>
      <c r="P48" s="15">
        <f>I49</f>
        <v>-0.008335001351150288</v>
      </c>
      <c r="Q48" s="15">
        <f>J49</f>
        <v>-0.04809356408693897</v>
      </c>
      <c r="R48" s="15">
        <f>K49</f>
        <v>0.041065250524815314</v>
      </c>
      <c r="S48" s="15">
        <f>L49</f>
        <v>0.0005794654054989729</v>
      </c>
      <c r="T48" s="15">
        <f>M49</f>
        <v>-0.0281037186927532</v>
      </c>
      <c r="V48" s="14">
        <v>45747</v>
      </c>
      <c r="W48" s="9">
        <v>0.1029977925701777</v>
      </c>
      <c r="X48" s="9">
        <v>0.06119813533426877</v>
      </c>
      <c r="Y48" s="9">
        <v>0.0614948436672702</v>
      </c>
      <c r="Z48" s="9">
        <v>0.06303590285390537</v>
      </c>
      <c r="AA48" s="9">
        <v>0.06692563196513301</v>
      </c>
    </row>
    <row r="49" spans="1:27">
      <c r="A49" s="14">
        <v>44494</v>
      </c>
      <c r="B49" s="10">
        <v>886.8284912109375</v>
      </c>
      <c r="C49" s="10">
        <v>64.32614135742188</v>
      </c>
      <c r="D49" s="10">
        <v>476.1109619140625</v>
      </c>
      <c r="E49" s="10">
        <v>18125.400390625</v>
      </c>
      <c r="F49" s="10">
        <v>496.4500122070313</v>
      </c>
      <c r="I49" s="15">
        <f>LN(B49/B48)</f>
        <v>-0.008335001351150288</v>
      </c>
      <c r="J49" s="15">
        <f>LN(C49/C48)</f>
        <v>-0.04809356408693897</v>
      </c>
      <c r="K49" s="15">
        <f>LN(D49/D48)</f>
        <v>0.041065250524815314</v>
      </c>
      <c r="L49" s="15">
        <f>LN(E49/E48)</f>
        <v>0.0005794654054989729</v>
      </c>
      <c r="M49" s="15">
        <f>LN(F49/F48)</f>
        <v>-0.0281037186927532</v>
      </c>
      <c r="O49" s="14">
        <v>44495</v>
      </c>
      <c r="P49" s="15">
        <f>I50</f>
        <v>0.035007697429382506</v>
      </c>
      <c r="Q49" s="15">
        <f>J50</f>
        <v>0.007668806593684878</v>
      </c>
      <c r="R49" s="15">
        <f>K50</f>
        <v>-0.00779560503839033</v>
      </c>
      <c r="S49" s="15">
        <f>L50</f>
        <v>0.00785852166355233</v>
      </c>
      <c r="T49" s="15">
        <f>M50</f>
        <v>0.03551842231640501</v>
      </c>
      <c r="V49" s="14">
        <v>45777</v>
      </c>
      <c r="W49" s="9">
        <v>0.002564947455260036</v>
      </c>
      <c r="X49" s="9">
        <v>-0.08075670101000509</v>
      </c>
      <c r="Y49" s="9">
        <v>0.01290078779245341</v>
      </c>
      <c r="Z49" s="9">
        <v>0.03464592443705139</v>
      </c>
      <c r="AA49" s="9">
        <v>0.0405849739085995</v>
      </c>
    </row>
    <row r="50" spans="1:27">
      <c r="A50" s="14">
        <v>44495</v>
      </c>
      <c r="B50" s="10">
        <v>918.4241333007812</v>
      </c>
      <c r="C50" s="10">
        <v>64.82134246826172</v>
      </c>
      <c r="D50" s="10">
        <v>472.413818359375</v>
      </c>
      <c r="E50" s="10">
        <v>18268.400390625</v>
      </c>
      <c r="F50" s="10">
        <v>514.4000244140625</v>
      </c>
      <c r="I50" s="15">
        <f>LN(B50/B49)</f>
        <v>0.035007697429382506</v>
      </c>
      <c r="J50" s="15">
        <f>LN(C50/C49)</f>
        <v>0.007668806593684878</v>
      </c>
      <c r="K50" s="15">
        <f>LN(D50/D49)</f>
        <v>-0.00779560503839033</v>
      </c>
      <c r="L50" s="15">
        <f>LN(E50/E49)</f>
        <v>0.00785852166355233</v>
      </c>
      <c r="M50" s="15">
        <f>LN(F50/F49)</f>
        <v>0.03551842231640501</v>
      </c>
      <c r="O50" s="14">
        <v>44496</v>
      </c>
      <c r="P50" s="15">
        <f>I51</f>
        <v>-0.009939204785545367</v>
      </c>
      <c r="Q50" s="15">
        <f>J51</f>
        <v>-0.005361876698513923</v>
      </c>
      <c r="R50" s="15">
        <f>K51</f>
        <v>0.005813153105879472</v>
      </c>
      <c r="S50" s="15">
        <f>L51</f>
        <v>-0.0031497940609639214</v>
      </c>
      <c r="T50" s="15">
        <f>M51</f>
        <v>0.0030086648364032785</v>
      </c>
      <c r="V50" s="14">
        <v>45808</v>
      </c>
      <c r="W50" s="9">
        <v>0.0651076372636985</v>
      </c>
      <c r="X50" s="9">
        <v>0.2418677084437377</v>
      </c>
      <c r="Y50" s="9">
        <v>-0.07653947671810513</v>
      </c>
      <c r="Z50" s="9">
        <v>0.0171158293008089</v>
      </c>
      <c r="AA50" s="9">
        <v>0.0716825667438763</v>
      </c>
    </row>
    <row r="51" spans="1:27">
      <c r="A51" s="14">
        <v>44496</v>
      </c>
      <c r="B51" s="10">
        <v>909.3409423828124</v>
      </c>
      <c r="C51" s="10">
        <v>64.47470855712891</v>
      </c>
      <c r="D51" s="10">
        <v>475.1680297851562</v>
      </c>
      <c r="E51" s="10">
        <v>18210.94921875</v>
      </c>
      <c r="F51" s="10">
        <v>515.9500122070312</v>
      </c>
      <c r="I51" s="15">
        <f>LN(B51/B50)</f>
        <v>-0.009939204785545367</v>
      </c>
      <c r="J51" s="15">
        <f>LN(C51/C50)</f>
        <v>-0.005361876698513923</v>
      </c>
      <c r="K51" s="15">
        <f>LN(D51/D50)</f>
        <v>0.005813153105879472</v>
      </c>
      <c r="L51" s="15">
        <f>LN(E51/E50)</f>
        <v>-0.0031497940609639214</v>
      </c>
      <c r="M51" s="15">
        <f>LN(F51/F50)</f>
        <v>0.0030086648364032785</v>
      </c>
      <c r="O51" s="14">
        <v>44497</v>
      </c>
      <c r="P51" s="15">
        <f>I52</f>
        <v>-0.043127174698251766</v>
      </c>
      <c r="Q51" s="15">
        <f>J52</f>
        <v>-0.04396305960183572</v>
      </c>
      <c r="R51" s="15">
        <f>K52</f>
        <v>-0.004028964064676662</v>
      </c>
      <c r="S51" s="15">
        <f>L52</f>
        <v>-0.019613430387588483</v>
      </c>
      <c r="T51" s="15">
        <f>M52</f>
        <v>-0.03842640173582566</v>
      </c>
      <c r="V51" s="14">
        <v>45838</v>
      </c>
      <c r="W51" s="9">
        <v>0.09122131529183286</v>
      </c>
      <c r="X51" s="9">
        <v>0.009354881703626639</v>
      </c>
      <c r="Y51" s="9">
        <v>0.01600414262300109</v>
      </c>
      <c r="Z51" s="9">
        <v>0.03096282475605561</v>
      </c>
      <c r="AA51" s="9">
        <v>0.03918471919069821</v>
      </c>
    </row>
    <row r="52" spans="1:27">
      <c r="A52" s="14">
        <v>44497</v>
      </c>
      <c r="B52" s="10">
        <v>870.957275390625</v>
      </c>
      <c r="C52" s="10">
        <v>61.70160675048828</v>
      </c>
      <c r="D52" s="10">
        <v>473.2574462890625</v>
      </c>
      <c r="E52" s="10">
        <v>17857.25</v>
      </c>
      <c r="F52" s="10">
        <v>496.5</v>
      </c>
      <c r="I52" s="15">
        <f>LN(B52/B51)</f>
        <v>-0.043127174698251766</v>
      </c>
      <c r="J52" s="15">
        <f>LN(C52/C51)</f>
        <v>-0.04396305960183572</v>
      </c>
      <c r="K52" s="15">
        <f>LN(D52/D51)</f>
        <v>-0.004028964064676662</v>
      </c>
      <c r="L52" s="15">
        <f>LN(E52/E51)</f>
        <v>-0.019613430387588483</v>
      </c>
      <c r="M52" s="15">
        <f>LN(F52/F51)</f>
        <v>-0.03842640173582566</v>
      </c>
      <c r="O52" s="14">
        <v>44498</v>
      </c>
      <c r="P52" s="15">
        <f>I53</f>
        <v>0.015080569792815109</v>
      </c>
      <c r="Q52" s="15">
        <f>J53</f>
        <v>-0.017814254559950105</v>
      </c>
      <c r="R52" s="15">
        <f>K53</f>
        <v>0.010846449676121493</v>
      </c>
      <c r="S52" s="15">
        <f>L53</f>
        <v>-0.010447905544470225</v>
      </c>
      <c r="T52" s="15">
        <f>M53</f>
        <v>0.004421253544554002</v>
      </c>
      <c r="V52" s="14">
        <v>45869</v>
      </c>
      <c r="W52" s="9">
        <v>-0.143594423848623</v>
      </c>
      <c r="X52" s="9">
        <v>-0.002066270867342124</v>
      </c>
      <c r="Y52" s="9">
        <v>-0.04975344370464285</v>
      </c>
      <c r="Z52" s="9">
        <v>-0.02934121103153298</v>
      </c>
      <c r="AA52" s="9">
        <v>-0.07521160926982073</v>
      </c>
    </row>
    <row r="53" spans="1:27">
      <c r="A53" s="14">
        <v>44498</v>
      </c>
      <c r="B53" s="10">
        <v>884.1913452148438</v>
      </c>
      <c r="C53" s="10">
        <v>60.6121711730957</v>
      </c>
      <c r="D53" s="10">
        <v>478.4185485839844</v>
      </c>
      <c r="E53" s="10">
        <v>17671.650390625</v>
      </c>
      <c r="F53" s="10">
        <v>498.7000122070313</v>
      </c>
      <c r="I53" s="15">
        <f>LN(B53/B52)</f>
        <v>0.015080569792815109</v>
      </c>
      <c r="J53" s="15">
        <f>LN(C53/C52)</f>
        <v>-0.017814254559950105</v>
      </c>
      <c r="K53" s="15">
        <f>LN(D53/D52)</f>
        <v>0.010846449676121493</v>
      </c>
      <c r="L53" s="15">
        <f>LN(E53/E52)</f>
        <v>-0.010447905544470225</v>
      </c>
      <c r="M53" s="15">
        <f>LN(F53/F52)</f>
        <v>0.004421253544554002</v>
      </c>
      <c r="O53" s="14">
        <v>44501</v>
      </c>
      <c r="P53" s="15">
        <f>I54</f>
        <v>0.0632915441369698</v>
      </c>
      <c r="Q53" s="15">
        <f>J54</f>
        <v>0.048634379047161946</v>
      </c>
      <c r="R53" s="15">
        <f>K54</f>
        <v>-0.0027526207039417576</v>
      </c>
      <c r="S53" s="15">
        <f>L54</f>
        <v>0.014494106171593095</v>
      </c>
      <c r="T53" s="15">
        <f>M54</f>
        <v>0.03951369188314865</v>
      </c>
      <c r="V53" s="14">
        <v>45900</v>
      </c>
      <c r="W53" s="9">
        <v>-0.01183974412951005</v>
      </c>
      <c r="X53" s="9">
        <v>-0.08545871781658743</v>
      </c>
      <c r="Y53" s="9">
        <v>0.01293797616582792</v>
      </c>
      <c r="Z53" s="9">
        <v>-0.01378775757714357</v>
      </c>
      <c r="AA53" s="9">
        <v>-0.04559651087755101</v>
      </c>
    </row>
    <row r="54" spans="1:27">
      <c r="A54" s="14">
        <v>44501</v>
      </c>
      <c r="B54" s="10">
        <v>941.9620971679688</v>
      </c>
      <c r="C54" s="10">
        <v>63.63286590576172</v>
      </c>
      <c r="D54" s="10">
        <v>477.1034545898438</v>
      </c>
      <c r="E54" s="10">
        <v>17929.650390625</v>
      </c>
      <c r="F54" s="10">
        <v>518.7999877929688</v>
      </c>
      <c r="I54" s="15">
        <f>LN(B54/B53)</f>
        <v>0.0632915441369698</v>
      </c>
      <c r="J54" s="15">
        <f>LN(C54/C53)</f>
        <v>0.048634379047161946</v>
      </c>
      <c r="K54" s="15">
        <f>LN(D54/D53)</f>
        <v>-0.0027526207039417576</v>
      </c>
      <c r="L54" s="15">
        <f>LN(E54/E53)</f>
        <v>0.014494106171593095</v>
      </c>
      <c r="M54" s="15">
        <f>LN(F54/F53)</f>
        <v>0.03951369188314865</v>
      </c>
      <c r="O54" s="14">
        <v>44502</v>
      </c>
      <c r="P54" s="15">
        <f>I55</f>
        <v>0.007797946968146616</v>
      </c>
      <c r="Q54" s="15">
        <f>J55</f>
        <v>0.02687304186718671</v>
      </c>
      <c r="R54" s="15">
        <f>K55</f>
        <v>0.05010688185425038</v>
      </c>
      <c r="S54" s="15">
        <f>L55</f>
        <v>-0.002272628736845954</v>
      </c>
      <c r="T54" s="15">
        <f>M55</f>
        <v>0.033268458611606336</v>
      </c>
      <c r="V54" s="14">
        <v>45930</v>
      </c>
      <c r="W54" s="9">
        <v>-0.01781717197885269</v>
      </c>
      <c r="X54" s="9">
        <v>0.3520869050438078</v>
      </c>
      <c r="Y54" s="9">
        <v>0.03645334845773474</v>
      </c>
      <c r="Z54" s="9">
        <v>0.007542929315341729</v>
      </c>
      <c r="AA54" s="9">
        <v>-0.003617599097401669</v>
      </c>
    </row>
    <row r="55" spans="1:27">
      <c r="A55" s="14">
        <v>44502</v>
      </c>
      <c r="B55" s="10">
        <v>949.336181640625</v>
      </c>
      <c r="C55" s="10">
        <v>65.36605834960938</v>
      </c>
      <c r="D55" s="10">
        <v>501.6186828613281</v>
      </c>
      <c r="E55" s="10">
        <v>17888.94921875</v>
      </c>
      <c r="F55" s="10">
        <v>536.3499755859375</v>
      </c>
      <c r="I55" s="15">
        <f>LN(B55/B54)</f>
        <v>0.007797946968146616</v>
      </c>
      <c r="J55" s="15">
        <f>LN(C55/C54)</f>
        <v>0.02687304186718671</v>
      </c>
      <c r="K55" s="15">
        <f>LN(D55/D54)</f>
        <v>0.05010688185425038</v>
      </c>
      <c r="L55" s="15">
        <f>LN(E55/E54)</f>
        <v>-0.002272628736845954</v>
      </c>
      <c r="M55" s="15">
        <f>LN(F55/F54)</f>
        <v>0.033268458611606336</v>
      </c>
      <c r="O55" s="14">
        <v>44503</v>
      </c>
      <c r="P55" s="15">
        <f>I56</f>
        <v>0.06328383452766968</v>
      </c>
      <c r="Q55" s="15">
        <f>J56</f>
        <v>-0.0045557099441004755</v>
      </c>
      <c r="R55" s="15">
        <f>K56</f>
        <v>0.008864387326239283</v>
      </c>
      <c r="S55" s="15">
        <f>L56</f>
        <v>-0.003345641269055336</v>
      </c>
      <c r="T55" s="15">
        <f>M56</f>
        <v>0.019204772032340906</v>
      </c>
      <c r="V55" s="14">
        <v>45961</v>
      </c>
      <c r="W55" s="9">
        <v>0.1253358974698922</v>
      </c>
      <c r="X55" s="9">
        <v>-0.07698923774528388</v>
      </c>
      <c r="Y55" s="9">
        <v>0.08171004537829485</v>
      </c>
      <c r="Z55" s="9">
        <v>0.04514223328634981</v>
      </c>
      <c r="AA55" s="9">
        <v>0.09215077738221078</v>
      </c>
    </row>
    <row r="56" spans="1:27">
      <c r="A56" s="14">
        <v>44503</v>
      </c>
      <c r="B56" s="10">
        <v>1011.355529785156</v>
      </c>
      <c r="C56" s="10">
        <v>65.06894683837891</v>
      </c>
      <c r="D56" s="10">
        <v>506.0849914550781</v>
      </c>
      <c r="E56" s="10">
        <v>17829.19921875</v>
      </c>
      <c r="F56" s="10">
        <v>546.75</v>
      </c>
      <c r="I56" s="15">
        <f>LN(B56/B55)</f>
        <v>0.06328383452766968</v>
      </c>
      <c r="J56" s="15">
        <f>LN(C56/C55)</f>
        <v>-0.0045557099441004755</v>
      </c>
      <c r="K56" s="15">
        <f>LN(D56/D55)</f>
        <v>0.008864387326239283</v>
      </c>
      <c r="L56" s="15">
        <f>LN(E56/E55)</f>
        <v>-0.003345641269055336</v>
      </c>
      <c r="M56" s="15">
        <f>LN(F56/F55)</f>
        <v>0.019204772032340906</v>
      </c>
      <c r="O56" s="14">
        <v>44504</v>
      </c>
      <c r="P56" s="15">
        <f>I57</f>
        <v>-0.0034343052068316815</v>
      </c>
      <c r="Q56" s="15">
        <f>J57</f>
        <v>0.020339729091504225</v>
      </c>
      <c r="R56" s="15">
        <f>K57</f>
        <v>0.0044029602691055695</v>
      </c>
      <c r="S56" s="15">
        <f>L57</f>
        <v>0.0049013449265533065</v>
      </c>
      <c r="T56" s="15">
        <f>M57</f>
        <v>0.002374841831282746</v>
      </c>
      <c r="V56" s="14">
        <v>45991</v>
      </c>
      <c r="W56" s="9">
        <v>-0.07372217261658698</v>
      </c>
      <c r="X56" s="9">
        <v>-0.1054468798058542</v>
      </c>
      <c r="Y56" s="9">
        <v>0.03221209677202874</v>
      </c>
      <c r="Z56" s="9">
        <v>0.01869402640831641</v>
      </c>
      <c r="AA56" s="9">
        <v>-0.04685764756572119</v>
      </c>
    </row>
    <row r="57" spans="1:27">
      <c r="A57" s="14">
        <v>44504</v>
      </c>
      <c r="B57" s="10">
        <v>1007.88818359375</v>
      </c>
      <c r="C57" s="10">
        <v>66.40598297119141</v>
      </c>
      <c r="D57" s="10">
        <v>508.3181762695313</v>
      </c>
      <c r="E57" s="10">
        <v>17916.80078125</v>
      </c>
      <c r="F57" s="10">
        <v>548.0499877929688</v>
      </c>
      <c r="I57" s="15">
        <f>LN(B57/B56)</f>
        <v>-0.0034343052068316815</v>
      </c>
      <c r="J57" s="15">
        <f>LN(C57/C56)</f>
        <v>0.020339729091504225</v>
      </c>
      <c r="K57" s="15">
        <f>LN(D57/D56)</f>
        <v>0.0044029602691055695</v>
      </c>
      <c r="L57" s="15">
        <f>LN(E57/E56)</f>
        <v>0.0049013449265533065</v>
      </c>
      <c r="M57" s="15">
        <f>LN(F57/F56)</f>
        <v>0.002374841831282746</v>
      </c>
      <c r="O57" s="14">
        <v>44508</v>
      </c>
      <c r="P57" s="15">
        <f>I58</f>
        <v>-0.02606446521816982</v>
      </c>
      <c r="Q57" s="15">
        <f>J58</f>
        <v>0.02139503180388996</v>
      </c>
      <c r="R57" s="15">
        <f>K58</f>
        <v>0.07184591253220513</v>
      </c>
      <c r="S57" s="15">
        <f>L58</f>
        <v>0.008434037348294714</v>
      </c>
      <c r="T57" s="15">
        <f>M58</f>
        <v>0.013682065550230698</v>
      </c>
      <c r="V57" s="14">
        <v>46022</v>
      </c>
      <c r="W57" s="9">
        <v>0.01420594578830014</v>
      </c>
      <c r="X57" s="9">
        <v>-0.05056822182986564</v>
      </c>
      <c r="Y57" s="9">
        <v>0.06719250799803711</v>
      </c>
      <c r="Z57" s="9">
        <v>-0.002799288307688386</v>
      </c>
      <c r="AA57" s="9">
        <v>-0.02790235456548895</v>
      </c>
    </row>
    <row r="58" spans="1:27">
      <c r="A58" s="14">
        <v>44508</v>
      </c>
      <c r="B58" s="10">
        <v>981.95751953125</v>
      </c>
      <c r="C58" s="10">
        <v>67.84204864501953</v>
      </c>
      <c r="D58" s="10">
        <v>546.1826782226562</v>
      </c>
      <c r="E58" s="10">
        <v>18068.55078125</v>
      </c>
      <c r="F58" s="10">
        <v>555.5999755859375</v>
      </c>
      <c r="I58" s="15">
        <f>LN(B58/B57)</f>
        <v>-0.02606446521816982</v>
      </c>
      <c r="J58" s="15">
        <f>LN(C58/C57)</f>
        <v>0.02139503180388996</v>
      </c>
      <c r="K58" s="15">
        <f>LN(D58/D57)</f>
        <v>0.07184591253220513</v>
      </c>
      <c r="L58" s="15">
        <f>LN(E58/E57)</f>
        <v>0.008434037348294714</v>
      </c>
      <c r="M58" s="15">
        <f>LN(F58/F57)</f>
        <v>0.013682065550230698</v>
      </c>
      <c r="O58" s="14">
        <v>44509</v>
      </c>
      <c r="P58" s="15">
        <f>I59</f>
        <v>0.008566424689501362</v>
      </c>
      <c r="Q58" s="15">
        <f>J59</f>
        <v>0.04356289409664868</v>
      </c>
      <c r="R58" s="15">
        <f>K59</f>
        <v>-0.010136513549463416</v>
      </c>
      <c r="S58" s="15">
        <f>L59</f>
        <v>-0.0013458266538282125</v>
      </c>
      <c r="T58" s="15">
        <f>M59</f>
        <v>0.000989518997987924</v>
      </c>
      <c r="V58" s="14">
        <v>46053</v>
      </c>
      <c r="W58" s="9">
        <v>-0.1063586397556014</v>
      </c>
      <c r="X58" s="9">
        <v>-0.07856748463208085</v>
      </c>
      <c r="Y58" s="9">
        <v>-0.09862425078398973</v>
      </c>
      <c r="Z58" s="9">
        <v>-0.03095911268612617</v>
      </c>
      <c r="AA58" s="9">
        <v>-0.1081496792378207</v>
      </c>
    </row>
    <row r="59" spans="1:27">
      <c r="A59" s="14">
        <v>44509</v>
      </c>
      <c r="B59" s="10">
        <v>990.405517578125</v>
      </c>
      <c r="C59" s="10">
        <v>70.86276245117188</v>
      </c>
      <c r="D59" s="10">
        <v>540.6742553710938</v>
      </c>
      <c r="E59" s="10">
        <v>18044.25</v>
      </c>
      <c r="F59" s="10">
        <v>556.1500244140625</v>
      </c>
      <c r="I59" s="15">
        <f>LN(B59/B58)</f>
        <v>0.008566424689501362</v>
      </c>
      <c r="J59" s="15">
        <f>LN(C59/C58)</f>
        <v>0.04356289409664868</v>
      </c>
      <c r="K59" s="15">
        <f>LN(D59/D58)</f>
        <v>-0.010136513549463416</v>
      </c>
      <c r="L59" s="15">
        <f>LN(E59/E58)</f>
        <v>-0.0013458266538282125</v>
      </c>
      <c r="M59" s="15">
        <f>LN(F59/F58)</f>
        <v>0.000989518997987924</v>
      </c>
      <c r="O59" s="14">
        <v>44510</v>
      </c>
      <c r="P59" s="15">
        <f>I60</f>
        <v>-0.032727208222069024</v>
      </c>
      <c r="Q59" s="15">
        <f>J60</f>
        <v>0.04709139844962613</v>
      </c>
      <c r="R59" s="15">
        <f>K60</f>
        <v>-0.019697245954933888</v>
      </c>
      <c r="S59" s="15">
        <f>L60</f>
        <v>-0.0015002606334366785</v>
      </c>
      <c r="T59" s="15">
        <f>M60</f>
        <v>-0.013668551935360361</v>
      </c>
      <c r="V59" s="14">
        <v>46081</v>
      </c>
      <c r="W59" s="9">
        <v>0.02139647273336664</v>
      </c>
      <c r="X59" s="9">
        <v>0.05056518465438464</v>
      </c>
      <c r="Y59" s="9">
        <v>-0.007242458813415453</v>
      </c>
      <c r="Z59" s="9">
        <v>-0.00560807079634007</v>
      </c>
      <c r="AA59" s="9">
        <v>-0.003065165279773296</v>
      </c>
    </row>
    <row r="60" spans="1:27">
      <c r="A60" s="14">
        <v>44510</v>
      </c>
      <c r="B60" s="10">
        <v>958.5169677734376</v>
      </c>
      <c r="C60" s="10">
        <v>74.27960968017578</v>
      </c>
      <c r="D60" s="10">
        <v>530.128662109375</v>
      </c>
      <c r="E60" s="10">
        <v>18017.19921875</v>
      </c>
      <c r="F60" s="10">
        <v>548.5999755859375</v>
      </c>
      <c r="I60" s="15">
        <f>LN(B60/B59)</f>
        <v>-0.032727208222069024</v>
      </c>
      <c r="J60" s="15">
        <f>LN(C60/C59)</f>
        <v>0.04709139844962613</v>
      </c>
      <c r="K60" s="15">
        <f>LN(D60/D59)</f>
        <v>-0.019697245954933888</v>
      </c>
      <c r="L60" s="15">
        <f>LN(E60/E59)</f>
        <v>-0.0015002606334366785</v>
      </c>
      <c r="M60" s="15">
        <f>LN(F60/F59)</f>
        <v>-0.013668551935360361</v>
      </c>
      <c r="O60" s="14">
        <v>44511</v>
      </c>
      <c r="P60" s="15">
        <f>I61</f>
        <v>-0.024915612411119302</v>
      </c>
      <c r="Q60" s="15">
        <f>J61</f>
        <v>-0.01952257341281966</v>
      </c>
      <c r="R60" s="15">
        <f>K61</f>
        <v>0.017767951479869537</v>
      </c>
      <c r="S60" s="15">
        <f>L61</f>
        <v>-0.00800207185820445</v>
      </c>
      <c r="T60" s="15">
        <f>M61</f>
        <v>-0.023608599673323214</v>
      </c>
      <c r="V60" s="14">
        <v>46112</v>
      </c>
      <c r="W60" s="9">
        <v>-0.06816394081716515</v>
      </c>
      <c r="X60" s="9">
        <v>-0.2342393333767212</v>
      </c>
      <c r="Y60" s="9">
        <v>-0.09182438743495647</v>
      </c>
      <c r="Z60" s="9">
        <v>-0.1130819148694381</v>
      </c>
      <c r="AA60" s="9">
        <v>-0.1658339165008386</v>
      </c>
    </row>
    <row r="61" spans="1:27">
      <c r="A61" s="14">
        <v>44511</v>
      </c>
      <c r="B61" s="10">
        <v>934.9299926757812</v>
      </c>
      <c r="C61" s="10">
        <v>72.84354400634766</v>
      </c>
      <c r="D61" s="10">
        <v>539.6321411132812</v>
      </c>
      <c r="E61" s="10">
        <v>17873.599609375</v>
      </c>
      <c r="F61" s="10">
        <v>535.7999877929688</v>
      </c>
      <c r="I61" s="15">
        <f>LN(B61/B60)</f>
        <v>-0.024915612411119302</v>
      </c>
      <c r="J61" s="15">
        <f>LN(C61/C60)</f>
        <v>-0.01952257341281966</v>
      </c>
      <c r="K61" s="15">
        <f>LN(D61/D60)</f>
        <v>0.017767951479869537</v>
      </c>
      <c r="L61" s="15">
        <f>LN(E61/E60)</f>
        <v>-0.00800207185820445</v>
      </c>
      <c r="M61" s="15">
        <f>LN(F61/F60)</f>
        <v>-0.023608599673323214</v>
      </c>
      <c r="O61" s="14">
        <v>44512</v>
      </c>
      <c r="P61" s="15">
        <f>I62</f>
        <v>0.01739796822683572</v>
      </c>
      <c r="Q61" s="15">
        <f>J62</f>
        <v>-0.012311979109337848</v>
      </c>
      <c r="R61" s="15">
        <f>K62</f>
        <v>-0.004239330849964181</v>
      </c>
      <c r="S61" s="15">
        <f>L62</f>
        <v>0.012739118453093435</v>
      </c>
      <c r="T61" s="15">
        <f>M62</f>
        <v>0.01638249702599032</v>
      </c>
      <c r="V61" s="14">
        <v>46142</v>
      </c>
      <c r="W61" s="9">
        <v>0.1766032532405137</v>
      </c>
      <c r="X61" s="9">
        <v>0.2001478281245641</v>
      </c>
      <c r="Y61" s="9">
        <v>0.1717452982711771</v>
      </c>
      <c r="Z61" s="9">
        <v>0.07461020632295279</v>
      </c>
      <c r="AA61" s="9">
        <v>0.2186899455421889</v>
      </c>
    </row>
    <row r="62" spans="1:27">
      <c r="A62" s="14">
        <v>44512</v>
      </c>
      <c r="B62" s="10">
        <v>951.3381958007812</v>
      </c>
      <c r="C62" s="10">
        <v>71.95219421386719</v>
      </c>
      <c r="D62" s="10">
        <v>537.3493041992188</v>
      </c>
      <c r="E62" s="10">
        <v>18102.75</v>
      </c>
      <c r="F62" s="10">
        <v>544.6500244140625</v>
      </c>
      <c r="I62" s="15">
        <f>LN(B62/B61)</f>
        <v>0.01739796822683572</v>
      </c>
      <c r="J62" s="15">
        <f>LN(C62/C61)</f>
        <v>-0.012311979109337848</v>
      </c>
      <c r="K62" s="15">
        <f>LN(D62/D61)</f>
        <v>-0.004239330849964181</v>
      </c>
      <c r="L62" s="15">
        <f>LN(E62/E61)</f>
        <v>0.012739118453093435</v>
      </c>
      <c r="M62" s="15">
        <f>LN(F62/F61)</f>
        <v>0.01638249702599032</v>
      </c>
      <c r="O62" s="14">
        <v>44515</v>
      </c>
      <c r="P62" s="15">
        <f>I63</f>
        <v>-0.011512940672137657</v>
      </c>
      <c r="Q62" s="15">
        <f>J63</f>
        <v>-0.04720840448603465</v>
      </c>
      <c r="R62" s="15">
        <f>K63</f>
        <v>0.03480470220995369</v>
      </c>
      <c r="S62" s="15">
        <f>L63</f>
        <v>0.00036999789965571825</v>
      </c>
      <c r="T62" s="15">
        <f>M63</f>
        <v>0.0022007366459044298</v>
      </c>
      <c r="V62" s="14">
        <v>46173</v>
      </c>
      <c r="W62" s="9">
        <v>0.02372533546811928</v>
      </c>
      <c r="X62" s="9">
        <v>0.05596636884952488</v>
      </c>
      <c r="Y62" s="9">
        <v>0.003512720210694154</v>
      </c>
      <c r="Z62" s="9">
        <v>-0.01874361201899999</v>
      </c>
      <c r="AA62" s="9">
        <v>-0.01386176065680922</v>
      </c>
    </row>
    <row r="63" spans="1:27">
      <c r="A63" s="14">
        <v>44515</v>
      </c>
      <c r="B63" s="10">
        <v>940.4483032226562</v>
      </c>
      <c r="C63" s="10">
        <v>68.63437652587891</v>
      </c>
      <c r="D63" s="10">
        <v>556.380859375</v>
      </c>
      <c r="E63" s="10">
        <v>18109.44921875</v>
      </c>
      <c r="F63" s="10">
        <v>545.8499755859375</v>
      </c>
      <c r="I63" s="15">
        <f>LN(B63/B62)</f>
        <v>-0.011512940672137657</v>
      </c>
      <c r="J63" s="15">
        <f>LN(C63/C62)</f>
        <v>-0.04720840448603465</v>
      </c>
      <c r="K63" s="15">
        <f>LN(D63/D62)</f>
        <v>0.03480470220995369</v>
      </c>
      <c r="L63" s="15">
        <f>LN(E63/E62)</f>
        <v>0.00036999789965571825</v>
      </c>
      <c r="M63" s="15">
        <f>LN(F63/F62)</f>
        <v>0.0022007366459044298</v>
      </c>
      <c r="O63" s="14">
        <v>44516</v>
      </c>
      <c r="P63" s="15">
        <f>I64</f>
        <v>0.007397978516195303</v>
      </c>
      <c r="Q63" s="15">
        <f>J64</f>
        <v>-0.023358852050943638</v>
      </c>
      <c r="R63" s="15">
        <f>K64</f>
        <v>-0.04403648850693267</v>
      </c>
      <c r="S63" s="15">
        <f>L64</f>
        <v>-0.006106589273008452</v>
      </c>
      <c r="T63" s="15">
        <f>M64</f>
        <v>-0.0013749487175824882</v>
      </c>
      <c r="V63" s="14">
        <v>46203</v>
      </c>
      <c r="W63" s="9">
        <v>0.03637743399761351</v>
      </c>
      <c r="X63" s="9">
        <v>0.01380913113710269</v>
      </c>
      <c r="Y63" s="9">
        <v>0.1001581014592337</v>
      </c>
      <c r="Z63" s="9">
        <v>0.01350447494983587</v>
      </c>
      <c r="AA63" s="9">
        <v>0.0600600609969395</v>
      </c>
    </row>
    <row r="64" spans="1:27">
      <c r="A64" s="14">
        <v>44516</v>
      </c>
      <c r="B64" s="10">
        <v>947.4315185546876</v>
      </c>
      <c r="C64" s="10">
        <v>67.04973602294922</v>
      </c>
      <c r="D64" s="10">
        <v>532.4114379882812</v>
      </c>
      <c r="E64" s="10">
        <v>17999.19921875</v>
      </c>
      <c r="F64" s="10">
        <v>545.0999755859375</v>
      </c>
      <c r="I64" s="15">
        <f>LN(B64/B63)</f>
        <v>0.007397978516195303</v>
      </c>
      <c r="J64" s="15">
        <f>LN(C64/C63)</f>
        <v>-0.023358852050943638</v>
      </c>
      <c r="K64" s="15">
        <f>LN(D64/D63)</f>
        <v>-0.04403648850693267</v>
      </c>
      <c r="L64" s="15">
        <f>LN(E64/E63)</f>
        <v>-0.006106589273008452</v>
      </c>
      <c r="M64" s="15">
        <f>LN(F64/F63)</f>
        <v>-0.0013749487175824882</v>
      </c>
      <c r="O64" s="14">
        <v>44517</v>
      </c>
      <c r="P64" s="15">
        <f>I65</f>
        <v>-0.013178558517733623</v>
      </c>
      <c r="Q64" s="15">
        <f>J65</f>
        <v>0.0007382056910225704</v>
      </c>
      <c r="R64" s="15">
        <f>K65</f>
        <v>0.010846691485283947</v>
      </c>
      <c r="S64" s="15">
        <f>L65</f>
        <v>-0.005601956226916921</v>
      </c>
      <c r="T64" s="15">
        <f>M65</f>
        <v>-0.01655520107997281</v>
      </c>
      <c r="V64" s="14">
        <v>46234</v>
      </c>
      <c r="W64" s="9">
        <v>0.03418294292643198</v>
      </c>
      <c r="X64" s="9">
        <v>0.2000501985069463</v>
      </c>
      <c r="Y64" s="9">
        <v>-0.02837931204488697</v>
      </c>
      <c r="Z64" s="9">
        <v>0.02169844272126364</v>
      </c>
      <c r="AA64" s="9">
        <v>0.1074679352973624</v>
      </c>
    </row>
    <row r="65" spans="1:26">
      <c r="A65" s="14">
        <v>44517</v>
      </c>
      <c r="B65" s="10">
        <v>935.0276489257812</v>
      </c>
      <c r="C65" s="10">
        <v>67.09925079345703</v>
      </c>
      <c r="D65" s="10">
        <v>538.2177734375</v>
      </c>
      <c r="E65" s="10">
        <v>17898.650390625</v>
      </c>
      <c r="F65" s="10">
        <v>536.1500244140625</v>
      </c>
      <c r="I65" s="15">
        <f>LN(B65/B64)</f>
        <v>-0.013178558517733623</v>
      </c>
      <c r="J65" s="15">
        <f>LN(C65/C64)</f>
        <v>0.0007382056910225704</v>
      </c>
      <c r="K65" s="15">
        <f>LN(D65/D64)</f>
        <v>0.010846691485283947</v>
      </c>
      <c r="L65" s="15">
        <f>LN(E65/E64)</f>
        <v>-0.005601956226916921</v>
      </c>
      <c r="M65" s="15">
        <f>LN(F65/F64)</f>
        <v>-0.01655520107997281</v>
      </c>
      <c r="O65" s="14">
        <v>44518</v>
      </c>
      <c r="P65" s="15">
        <f>I66</f>
        <v>-0.038166281345566704</v>
      </c>
      <c r="Q65" s="15">
        <f>J66</f>
        <v>-0.0036968324027385323</v>
      </c>
      <c r="R65" s="15">
        <f>K66</f>
        <v>-0.0025851698041293386</v>
      </c>
      <c r="S65" s="15">
        <f>L66</f>
        <v>-0.007506297537132803</v>
      </c>
      <c r="T65" s="15">
        <f>M66</f>
        <v>-0.017403194651508816</v>
      </c>
      <c r="V65" s="14">
        <v>46265</v>
      </c>
      <c r="W65" s="9">
        <v>0.02473057638000498</v>
      </c>
      <c r="X65" s="9">
        <v>-0.03082465972778226</v>
      </c>
      <c r="Y65" s="9">
        <v>0.00443664613485284</v>
      </c>
      <c r="Z65" s="9">
        <v>-0.01200602063230416</v>
      </c>
    </row>
    <row r="66" spans="1:26">
      <c r="A66" s="14">
        <v>44518</v>
      </c>
      <c r="B66" s="10">
        <v>900.0135498046875</v>
      </c>
      <c r="C66" s="10">
        <v>66.85165405273438</v>
      </c>
      <c r="D66" s="10">
        <v>536.8281860351562</v>
      </c>
      <c r="E66" s="10">
        <v>17764.80078125</v>
      </c>
      <c r="F66" s="10">
        <v>526.9000244140625</v>
      </c>
      <c r="I66" s="15">
        <f>LN(B66/B65)</f>
        <v>-0.038166281345566704</v>
      </c>
      <c r="J66" s="15">
        <f>LN(C66/C65)</f>
        <v>-0.0036968324027385323</v>
      </c>
      <c r="K66" s="15">
        <f>LN(D66/D65)</f>
        <v>-0.0025851698041293386</v>
      </c>
      <c r="L66" s="15">
        <f>LN(E66/E65)</f>
        <v>-0.007506297537132803</v>
      </c>
      <c r="M66" s="15">
        <f>LN(F66/F65)</f>
        <v>-0.017403194651508816</v>
      </c>
      <c r="O66" s="14">
        <v>44522</v>
      </c>
      <c r="P66" s="15">
        <f>I67</f>
        <v>-0.03838318596664719</v>
      </c>
      <c r="Q66" s="15">
        <f>J67</f>
        <v>-0.04005062200274031</v>
      </c>
      <c r="R66" s="15">
        <f>K67</f>
        <v>-0.07264771437213467</v>
      </c>
      <c r="S66" s="15">
        <f>L67</f>
        <v>-0.01979806684873854</v>
      </c>
      <c r="T66" s="15">
        <f>M67</f>
        <v>-0.042254381992742104</v>
      </c>
    </row>
    <row r="67" spans="1:26">
      <c r="A67" s="14">
        <v>44522</v>
      </c>
      <c r="B67" s="10">
        <v>866.1227416992188</v>
      </c>
      <c r="C67" s="10">
        <v>64.22711181640625</v>
      </c>
      <c r="D67" s="10">
        <v>499.2117614746094</v>
      </c>
      <c r="E67" s="10">
        <v>17416.55078125</v>
      </c>
      <c r="F67" s="10">
        <v>505.1000061035156</v>
      </c>
      <c r="I67" s="15">
        <f>LN(B67/B66)</f>
        <v>-0.03838318596664719</v>
      </c>
      <c r="J67" s="15">
        <f>LN(C67/C66)</f>
        <v>-0.04005062200274031</v>
      </c>
      <c r="K67" s="15">
        <f>LN(D67/D66)</f>
        <v>-0.07264771437213467</v>
      </c>
      <c r="L67" s="15">
        <f>LN(E67/E66)</f>
        <v>-0.01979806684873854</v>
      </c>
      <c r="M67" s="15">
        <f>LN(F67/F66)</f>
        <v>-0.042254381992742104</v>
      </c>
      <c r="O67" s="14">
        <v>44523</v>
      </c>
      <c r="P67" s="15">
        <f>I68</f>
        <v>0.0032086744827219153</v>
      </c>
      <c r="Q67" s="15">
        <f>J68</f>
        <v>0.0015406776282896493</v>
      </c>
      <c r="R67" s="15">
        <f>K68</f>
        <v>0.0397578303736339</v>
      </c>
      <c r="S67" s="15">
        <f>L68</f>
        <v>0.004971320417088634</v>
      </c>
      <c r="T67" s="15">
        <f>M68</f>
        <v>0.0213503239237791</v>
      </c>
      <c r="V67" s="16" t="s">
        <v>27</v>
      </c>
    </row>
    <row r="68" spans="1:26">
      <c r="A68" s="14">
        <v>44523</v>
      </c>
      <c r="B68" s="10">
        <v>868.9063110351562</v>
      </c>
      <c r="C68" s="10">
        <v>64.32614135742188</v>
      </c>
      <c r="D68" s="10">
        <v>519.4591674804688</v>
      </c>
      <c r="E68" s="10">
        <v>17503.349609375</v>
      </c>
      <c r="F68" s="10">
        <v>516</v>
      </c>
      <c r="I68" s="15">
        <f>LN(B68/B67)</f>
        <v>0.0032086744827219153</v>
      </c>
      <c r="J68" s="15">
        <f>LN(C68/C67)</f>
        <v>0.0015406776282896493</v>
      </c>
      <c r="K68" s="15">
        <f>LN(D68/D67)</f>
        <v>0.0397578303736339</v>
      </c>
      <c r="L68" s="15">
        <f>LN(E68/E67)</f>
        <v>0.004971320417088634</v>
      </c>
      <c r="M68" s="15">
        <f>LN(F68/F67)</f>
        <v>0.0213503239237791</v>
      </c>
      <c r="O68" s="14">
        <v>44524</v>
      </c>
      <c r="P68" s="15">
        <f>I69</f>
        <v>-0.01221400764028649</v>
      </c>
      <c r="Q68" s="15">
        <f>J69</f>
        <v>0.04809356408693891</v>
      </c>
      <c r="R68" s="15">
        <f>K69</f>
        <v>-0.010854010519958037</v>
      </c>
      <c r="S68" s="15">
        <f>L69</f>
        <v>-0.005057449101021469</v>
      </c>
      <c r="T68" s="15">
        <f>M69</f>
        <v>-0.0006784773732965522</v>
      </c>
    </row>
    <row r="69" spans="1:26">
      <c r="A69" s="14">
        <v>44524</v>
      </c>
      <c r="B69" s="10">
        <v>858.3580322265625</v>
      </c>
      <c r="C69" s="10">
        <v>67.49541473388672</v>
      </c>
      <c r="D69" s="10">
        <v>513.8514404296875</v>
      </c>
      <c r="E69" s="10">
        <v>17415.05078125</v>
      </c>
      <c r="F69" s="10">
        <v>515.6500244140625</v>
      </c>
      <c r="I69" s="15">
        <f>LN(B69/B68)</f>
        <v>-0.01221400764028649</v>
      </c>
      <c r="J69" s="15">
        <f>LN(C69/C68)</f>
        <v>0.04809356408693891</v>
      </c>
      <c r="K69" s="15">
        <f>LN(D69/D68)</f>
        <v>-0.010854010519958037</v>
      </c>
      <c r="L69" s="15">
        <f>LN(E69/E68)</f>
        <v>-0.005057449101021469</v>
      </c>
      <c r="M69" s="15">
        <f>LN(F69/F68)</f>
        <v>-0.0006784773732965522</v>
      </c>
      <c r="O69" s="14">
        <v>44525</v>
      </c>
      <c r="P69" s="15">
        <f>I70</f>
        <v>0.0013645338971002194</v>
      </c>
      <c r="Q69" s="15">
        <f>J70</f>
        <v>0.04518515944851324</v>
      </c>
      <c r="R69" s="15">
        <f>K70</f>
        <v>0.010997347203150648</v>
      </c>
      <c r="S69" s="15">
        <f>L70</f>
        <v>0.006935347288237329</v>
      </c>
      <c r="T69" s="15">
        <f>M70</f>
        <v>0.019302442937663384</v>
      </c>
    </row>
    <row r="70" spans="1:26">
      <c r="A70" s="14">
        <v>44525</v>
      </c>
      <c r="B70" s="10">
        <v>859.5300903320312</v>
      </c>
      <c r="C70" s="10">
        <v>70.61515808105469</v>
      </c>
      <c r="D70" s="10">
        <v>519.5336303710938</v>
      </c>
      <c r="E70" s="10">
        <v>17536.25</v>
      </c>
      <c r="F70" s="10">
        <v>525.7000122070312</v>
      </c>
      <c r="I70" s="15">
        <f>LN(B70/B69)</f>
        <v>0.0013645338971002194</v>
      </c>
      <c r="J70" s="15">
        <f>LN(C70/C69)</f>
        <v>0.04518515944851324</v>
      </c>
      <c r="K70" s="15">
        <f>LN(D70/D69)</f>
        <v>0.010997347203150648</v>
      </c>
      <c r="L70" s="15">
        <f>LN(E70/E69)</f>
        <v>0.006935347288237329</v>
      </c>
      <c r="M70" s="15">
        <f>LN(F70/F69)</f>
        <v>0.019302442937663384</v>
      </c>
      <c r="O70" s="14">
        <v>44526</v>
      </c>
      <c r="P70" s="15">
        <f>I71</f>
        <v>-0.04747003497634117</v>
      </c>
      <c r="Q70" s="15">
        <f>J71</f>
        <v>-0.05107194675826328</v>
      </c>
      <c r="R70" s="15">
        <f>K71</f>
        <v>-0.07799514467956169</v>
      </c>
      <c r="S70" s="15">
        <f>L71</f>
        <v>-0.029502195657113865</v>
      </c>
      <c r="T70" s="15">
        <f>M71</f>
        <v>-0.0646273435973814</v>
      </c>
    </row>
    <row r="71" spans="1:26">
      <c r="A71" s="14">
        <v>44526</v>
      </c>
      <c r="B71" s="10">
        <v>819.6814575195312</v>
      </c>
      <c r="C71" s="10">
        <v>67.09925079345703</v>
      </c>
      <c r="D71" s="10">
        <v>480.5524597167969</v>
      </c>
      <c r="E71" s="10">
        <v>17026.44921875</v>
      </c>
      <c r="F71" s="10">
        <v>492.7999877929687</v>
      </c>
      <c r="I71" s="15">
        <f>LN(B71/B70)</f>
        <v>-0.04747003497634117</v>
      </c>
      <c r="J71" s="15">
        <f>LN(C71/C70)</f>
        <v>-0.05107194675826328</v>
      </c>
      <c r="K71" s="15">
        <f>LN(D71/D70)</f>
        <v>-0.07799514467956169</v>
      </c>
      <c r="L71" s="15">
        <f>LN(E71/E70)</f>
        <v>-0.029502195657113865</v>
      </c>
      <c r="M71" s="15">
        <f>LN(F71/F70)</f>
        <v>-0.0646273435973814</v>
      </c>
      <c r="O71" s="14">
        <v>44529</v>
      </c>
      <c r="P71" s="15">
        <f>I72</f>
        <v>-0.013495385969224824</v>
      </c>
      <c r="Q71" s="15">
        <f>J72</f>
        <v>-0.03072545007355563</v>
      </c>
      <c r="R71" s="15">
        <f>K72</f>
        <v>-0.03397812654495328</v>
      </c>
      <c r="S71" s="15">
        <f>L72</f>
        <v>0.0016138312478338214</v>
      </c>
      <c r="T71" s="15">
        <f>M72</f>
        <v>-0.016779566471166924</v>
      </c>
    </row>
    <row r="72" spans="1:26">
      <c r="A72" s="14">
        <v>44529</v>
      </c>
      <c r="B72" s="10">
        <v>808.69384765625</v>
      </c>
      <c r="C72" s="10">
        <v>65.06894683837891</v>
      </c>
      <c r="D72" s="10">
        <v>464.4984741210938</v>
      </c>
      <c r="E72" s="10">
        <v>17053.94921875</v>
      </c>
      <c r="F72" s="10">
        <v>484.6000061035156</v>
      </c>
      <c r="I72" s="15">
        <f>LN(B72/B71)</f>
        <v>-0.013495385969224824</v>
      </c>
      <c r="J72" s="15">
        <f>LN(C72/C71)</f>
        <v>-0.03072545007355563</v>
      </c>
      <c r="K72" s="15">
        <f>LN(D72/D71)</f>
        <v>-0.03397812654495328</v>
      </c>
      <c r="L72" s="15">
        <f>LN(E72/E71)</f>
        <v>0.0016138312478338214</v>
      </c>
      <c r="M72" s="15">
        <f>LN(F72/F71)</f>
        <v>-0.016779566471166924</v>
      </c>
      <c r="O72" s="14">
        <v>44530</v>
      </c>
      <c r="P72" s="15">
        <f>I73</f>
        <v>0.005720292054932854</v>
      </c>
      <c r="Q72" s="15">
        <f>J73</f>
        <v>-0.008406601313062432</v>
      </c>
      <c r="R72" s="15">
        <f>K73</f>
        <v>0.01258073431801986</v>
      </c>
      <c r="S72" s="15">
        <f>L73</f>
        <v>-0.0041572285072535705</v>
      </c>
      <c r="T72" s="15">
        <f>M73</f>
        <v>0.006171589147199679</v>
      </c>
    </row>
    <row r="73" spans="1:26">
      <c r="A73" s="14">
        <v>44530</v>
      </c>
      <c r="B73" s="10">
        <v>813.3330688476562</v>
      </c>
      <c r="C73" s="10">
        <v>64.52423095703125</v>
      </c>
      <c r="D73" s="10">
        <v>470.3791198730469</v>
      </c>
      <c r="E73" s="10">
        <v>16983.19921875</v>
      </c>
      <c r="F73" s="10">
        <v>487.6000061035156</v>
      </c>
      <c r="I73" s="15">
        <f>LN(B73/B72)</f>
        <v>0.005720292054932854</v>
      </c>
      <c r="J73" s="15">
        <f>LN(C73/C72)</f>
        <v>-0.008406601313062432</v>
      </c>
      <c r="K73" s="15">
        <f>LN(D73/D72)</f>
        <v>0.01258073431801986</v>
      </c>
      <c r="L73" s="15">
        <f>LN(E73/E72)</f>
        <v>-0.0041572285072535705</v>
      </c>
      <c r="M73" s="15">
        <f>LN(F73/F72)</f>
        <v>0.006171589147199679</v>
      </c>
      <c r="O73" s="14">
        <v>44531</v>
      </c>
      <c r="P73" s="15">
        <f>I74</f>
        <v>0.004791794252288857</v>
      </c>
      <c r="Q73" s="15">
        <f>J74</f>
        <v>-0.006158695940323567</v>
      </c>
      <c r="R73" s="15">
        <f>K74</f>
        <v>0.025416803089497637</v>
      </c>
      <c r="S73" s="15">
        <f>L74</f>
        <v>0.010758559762450211</v>
      </c>
      <c r="T73" s="15">
        <f>M74</f>
        <v>0.01435501930559153</v>
      </c>
    </row>
    <row r="74" spans="1:26">
      <c r="A74" s="14">
        <v>44531</v>
      </c>
      <c r="B74" s="10">
        <v>817.23974609375</v>
      </c>
      <c r="C74" s="10">
        <v>64.12806701660156</v>
      </c>
      <c r="D74" s="10">
        <v>482.4878845214844</v>
      </c>
      <c r="E74" s="10">
        <v>17166.900390625</v>
      </c>
      <c r="F74" s="10">
        <v>494.6499938964844</v>
      </c>
      <c r="I74" s="15">
        <f>LN(B74/B73)</f>
        <v>0.004791794252288857</v>
      </c>
      <c r="J74" s="15">
        <f>LN(C74/C73)</f>
        <v>-0.006158695940323567</v>
      </c>
      <c r="K74" s="15">
        <f>LN(D74/D73)</f>
        <v>0.025416803089497637</v>
      </c>
      <c r="L74" s="15">
        <f>LN(E74/E73)</f>
        <v>0.010758559762450211</v>
      </c>
      <c r="M74" s="15">
        <f>LN(F74/F73)</f>
        <v>0.01435501930559153</v>
      </c>
      <c r="O74" s="14">
        <v>44532</v>
      </c>
      <c r="P74" s="15">
        <f>I75</f>
        <v>0.01524013156565692</v>
      </c>
      <c r="Q74" s="15">
        <f>J75</f>
        <v>0.037139669018880744</v>
      </c>
      <c r="R74" s="15">
        <f>K75</f>
        <v>0.02011013472722027</v>
      </c>
      <c r="S74" s="15">
        <f>L75</f>
        <v>0.013581917861660867</v>
      </c>
      <c r="T74" s="15">
        <f>M75</f>
        <v>0.005443586440323727</v>
      </c>
    </row>
    <row r="75" spans="1:26">
      <c r="A75" s="14">
        <v>44532</v>
      </c>
      <c r="B75" s="10">
        <v>829.7899780273438</v>
      </c>
      <c r="C75" s="10">
        <v>66.55454254150391</v>
      </c>
      <c r="D75" s="10">
        <v>492.2890014648438</v>
      </c>
      <c r="E75" s="10">
        <v>17401.650390625</v>
      </c>
      <c r="F75" s="10">
        <v>497.3500061035156</v>
      </c>
      <c r="I75" s="15">
        <f>LN(B75/B74)</f>
        <v>0.01524013156565692</v>
      </c>
      <c r="J75" s="15">
        <f>LN(C75/C74)</f>
        <v>0.037139669018880744</v>
      </c>
      <c r="K75" s="15">
        <f>LN(D75/D74)</f>
        <v>0.02011013472722027</v>
      </c>
      <c r="L75" s="15">
        <f>LN(E75/E74)</f>
        <v>0.013581917861660867</v>
      </c>
      <c r="M75" s="15">
        <f>LN(F75/F74)</f>
        <v>0.005443586440323727</v>
      </c>
      <c r="O75" s="14">
        <v>44533</v>
      </c>
      <c r="P75" s="15">
        <f>I76</f>
        <v>0.0063943861365072215</v>
      </c>
      <c r="Q75" s="15">
        <f>J76</f>
        <v>-0.01348337990344952</v>
      </c>
      <c r="R75" s="15">
        <f>K76</f>
        <v>5.0335574640951825e-05</v>
      </c>
      <c r="S75" s="15">
        <f>L76</f>
        <v>-0.011847592241934006</v>
      </c>
      <c r="T75" s="15">
        <f>M76</f>
        <v>-0.0021134578731748606</v>
      </c>
    </row>
    <row r="76" spans="1:26">
      <c r="A76" s="14">
        <v>44533</v>
      </c>
      <c r="B76" s="10">
        <v>835.1129760742188</v>
      </c>
      <c r="C76" s="10">
        <v>65.66318511962891</v>
      </c>
      <c r="D76" s="10">
        <v>492.3137817382813</v>
      </c>
      <c r="E76" s="10">
        <v>17196.69921875</v>
      </c>
      <c r="F76" s="10">
        <v>496.2999877929687</v>
      </c>
      <c r="I76" s="15">
        <f>LN(B76/B75)</f>
        <v>0.0063943861365072215</v>
      </c>
      <c r="J76" s="15">
        <f>LN(C76/C75)</f>
        <v>-0.01348337990344952</v>
      </c>
      <c r="K76" s="15">
        <f>LN(D76/D75)</f>
        <v>5.0335574640951825e-05</v>
      </c>
      <c r="L76" s="15">
        <f>LN(E76/E75)</f>
        <v>-0.011847592241934006</v>
      </c>
      <c r="M76" s="15">
        <f>LN(F76/F75)</f>
        <v>-0.0021134578731748606</v>
      </c>
      <c r="O76" s="14">
        <v>44536</v>
      </c>
      <c r="P76" s="15">
        <f>I77</f>
        <v>-0.015379872511481657</v>
      </c>
      <c r="Q76" s="15">
        <f>J77</f>
        <v>0.048574553457898795</v>
      </c>
      <c r="R76" s="15">
        <f>K77</f>
        <v>0.002315732196438448</v>
      </c>
      <c r="S76" s="15">
        <f>L77</f>
        <v>-0.016679248094838027</v>
      </c>
      <c r="T76" s="15">
        <f>M77</f>
        <v>-0.013796096026756232</v>
      </c>
    </row>
    <row r="77" spans="1:26">
      <c r="A77" s="14">
        <v>44536</v>
      </c>
      <c r="B77" s="10">
        <v>822.3673095703125</v>
      </c>
      <c r="C77" s="10">
        <v>68.93148040771484</v>
      </c>
      <c r="D77" s="10">
        <v>493.4551696777344</v>
      </c>
      <c r="E77" s="10">
        <v>16912.25</v>
      </c>
      <c r="F77" s="10">
        <v>489.5</v>
      </c>
      <c r="I77" s="15">
        <f>LN(B77/B76)</f>
        <v>-0.015379872511481657</v>
      </c>
      <c r="J77" s="15">
        <f>LN(C77/C76)</f>
        <v>0.048574553457898795</v>
      </c>
      <c r="K77" s="15">
        <f>LN(D77/D76)</f>
        <v>0.002315732196438448</v>
      </c>
      <c r="L77" s="15">
        <f>LN(E77/E76)</f>
        <v>-0.016679248094838027</v>
      </c>
      <c r="M77" s="15">
        <f>LN(F77/F76)</f>
        <v>-0.013796096026756232</v>
      </c>
      <c r="O77" s="14">
        <v>44537</v>
      </c>
      <c r="P77" s="15">
        <f>I78</f>
        <v>0.026660432587941426</v>
      </c>
      <c r="Q77" s="15">
        <f>J78</f>
        <v>0.04837968062809107</v>
      </c>
      <c r="R77" s="15">
        <f>K78</f>
        <v>0.03357303030408799</v>
      </c>
      <c r="S77" s="15">
        <f>L78</f>
        <v>0.015515557382479443</v>
      </c>
      <c r="T77" s="15">
        <f>M78</f>
        <v>0.02212325608657216</v>
      </c>
    </row>
    <row r="78" spans="1:26">
      <c r="A78" s="14">
        <v>44537</v>
      </c>
      <c r="B78" s="10">
        <v>844.5868530273438</v>
      </c>
      <c r="C78" s="10">
        <v>72.34835052490234</v>
      </c>
      <c r="D78" s="10">
        <v>510.3031921386719</v>
      </c>
      <c r="E78" s="10">
        <v>17176.69921875</v>
      </c>
      <c r="F78" s="10">
        <v>500.4500122070313</v>
      </c>
      <c r="I78" s="15">
        <f>LN(B78/B77)</f>
        <v>0.026660432587941426</v>
      </c>
      <c r="J78" s="15">
        <f>LN(C78/C77)</f>
        <v>0.04837968062809107</v>
      </c>
      <c r="K78" s="15">
        <f>LN(D78/D77)</f>
        <v>0.03357303030408799</v>
      </c>
      <c r="L78" s="15">
        <f>LN(E78/E77)</f>
        <v>0.015515557382479443</v>
      </c>
      <c r="M78" s="15">
        <f>LN(F78/F77)</f>
        <v>0.02212325608657216</v>
      </c>
      <c r="O78" s="14">
        <v>44538</v>
      </c>
      <c r="P78" s="15">
        <f>I79</f>
        <v>0.01679955200746671</v>
      </c>
      <c r="Q78" s="15">
        <f>J79</f>
        <v>0.04680001807092175</v>
      </c>
      <c r="R78" s="15">
        <f>K79</f>
        <v>0.03727202637332487</v>
      </c>
      <c r="S78" s="15">
        <f>L79</f>
        <v>0.016917044993306308</v>
      </c>
      <c r="T78" s="15">
        <f>M79</f>
        <v>0.01703850151604295</v>
      </c>
    </row>
    <row r="79" spans="1:26">
      <c r="A79" s="14">
        <v>44538</v>
      </c>
      <c r="B79" s="10">
        <v>858.8953857421875</v>
      </c>
      <c r="C79" s="10">
        <v>75.81473541259766</v>
      </c>
      <c r="D79" s="10">
        <v>529.68212890625</v>
      </c>
      <c r="E79" s="10">
        <v>17469.75</v>
      </c>
      <c r="F79" s="10">
        <v>509.0499877929687</v>
      </c>
      <c r="I79" s="15">
        <f>LN(B79/B78)</f>
        <v>0.01679955200746671</v>
      </c>
      <c r="J79" s="15">
        <f>LN(C79/C78)</f>
        <v>0.04680001807092175</v>
      </c>
      <c r="K79" s="15">
        <f>LN(D79/D78)</f>
        <v>0.03727202637332487</v>
      </c>
      <c r="L79" s="15">
        <f>LN(E79/E78)</f>
        <v>0.016917044993306308</v>
      </c>
      <c r="M79" s="15">
        <f>LN(F79/F78)</f>
        <v>0.01703850151604295</v>
      </c>
      <c r="O79" s="14">
        <v>44539</v>
      </c>
      <c r="P79" s="15">
        <f>I80</f>
        <v>-0.0030750445976457327</v>
      </c>
      <c r="Q79" s="15">
        <f>J80</f>
        <v>-0.015800333989655795</v>
      </c>
      <c r="R79" s="15">
        <f>K80</f>
        <v>-0.04611192759059471</v>
      </c>
      <c r="S79" s="15">
        <f>L80</f>
        <v>0.002692438725331353</v>
      </c>
      <c r="T79" s="15">
        <f>M80</f>
        <v>-0.0027539978490267493</v>
      </c>
    </row>
    <row r="80" spans="1:26">
      <c r="A80" s="14">
        <v>44539</v>
      </c>
      <c r="B80" s="10">
        <v>856.25830078125</v>
      </c>
      <c r="C80" s="10">
        <v>74.62625122070312</v>
      </c>
      <c r="D80" s="10">
        <v>505.8120422363281</v>
      </c>
      <c r="E80" s="10">
        <v>17516.849609375</v>
      </c>
      <c r="F80" s="10">
        <v>507.6499938964844</v>
      </c>
      <c r="I80" s="15">
        <f>LN(B80/B79)</f>
        <v>-0.0030750445976457327</v>
      </c>
      <c r="J80" s="15">
        <f>LN(C80/C79)</f>
        <v>-0.015800333989655795</v>
      </c>
      <c r="K80" s="15">
        <f>LN(D80/D79)</f>
        <v>-0.04611192759059471</v>
      </c>
      <c r="L80" s="15">
        <f>LN(E80/E79)</f>
        <v>0.002692438725331353</v>
      </c>
      <c r="M80" s="15">
        <f>LN(F80/F79)</f>
        <v>-0.0027539978490267493</v>
      </c>
      <c r="O80" s="14">
        <v>44540</v>
      </c>
      <c r="P80" s="15">
        <f>I81</f>
        <v>0.03287444617387406</v>
      </c>
      <c r="Q80" s="15">
        <f>J81</f>
        <v>0.02942347003656972</v>
      </c>
      <c r="R80" s="15">
        <f>K81</f>
        <v>0.01000615361993196</v>
      </c>
      <c r="S80" s="15">
        <f>L81</f>
        <v>-0.00031682107730694167</v>
      </c>
      <c r="T80" s="15">
        <f>M81</f>
        <v>0.022882124508849532</v>
      </c>
    </row>
    <row r="81" spans="1:20">
      <c r="A81" s="14">
        <v>44540</v>
      </c>
      <c r="B81" s="10">
        <v>884.8751220703125</v>
      </c>
      <c r="C81" s="10">
        <v>76.85463714599609</v>
      </c>
      <c r="D81" s="10">
        <v>510.898681640625</v>
      </c>
      <c r="E81" s="10">
        <v>17511.30078125</v>
      </c>
      <c r="F81" s="10">
        <v>519.4000244140625</v>
      </c>
      <c r="I81" s="15">
        <f>LN(B81/B80)</f>
        <v>0.03287444617387406</v>
      </c>
      <c r="J81" s="15">
        <f>LN(C81/C80)</f>
        <v>0.02942347003656972</v>
      </c>
      <c r="K81" s="15">
        <f>LN(D81/D80)</f>
        <v>0.01000615361993196</v>
      </c>
      <c r="L81" s="15">
        <f>LN(E81/E80)</f>
        <v>-0.00031682107730694167</v>
      </c>
      <c r="M81" s="15">
        <f>LN(F81/F80)</f>
        <v>0.022882124508849532</v>
      </c>
      <c r="O81" s="14">
        <v>44543</v>
      </c>
      <c r="P81" s="15">
        <f>I82</f>
        <v>-0.01944855748861759</v>
      </c>
      <c r="Q81" s="15">
        <f>J82</f>
        <v>0.024189715218938153</v>
      </c>
      <c r="R81" s="15">
        <f>K82</f>
        <v>0.026172304549341774</v>
      </c>
      <c r="S81" s="15">
        <f>L82</f>
        <v>-0.0082026046847206</v>
      </c>
      <c r="T81" s="15">
        <f>M82</f>
        <v>-0.013568728563932956</v>
      </c>
    </row>
    <row r="82" spans="1:20">
      <c r="A82" s="14">
        <v>44543</v>
      </c>
      <c r="B82" s="10">
        <v>867.8318481445312</v>
      </c>
      <c r="C82" s="10">
        <v>78.73639678955078</v>
      </c>
      <c r="D82" s="10">
        <v>524.4465942382812</v>
      </c>
      <c r="E82" s="10">
        <v>17368.25</v>
      </c>
      <c r="F82" s="10">
        <v>512.4000244140625</v>
      </c>
      <c r="I82" s="15">
        <f>LN(B82/B81)</f>
        <v>-0.01944855748861759</v>
      </c>
      <c r="J82" s="15">
        <f>LN(C82/C81)</f>
        <v>0.024189715218938153</v>
      </c>
      <c r="K82" s="15">
        <f>LN(D82/D81)</f>
        <v>0.026172304549341774</v>
      </c>
      <c r="L82" s="15">
        <f>LN(E82/E81)</f>
        <v>-0.0082026046847206</v>
      </c>
      <c r="M82" s="15">
        <f>LN(F82/F81)</f>
        <v>-0.013568728563932956</v>
      </c>
      <c r="O82" s="14">
        <v>44544</v>
      </c>
      <c r="P82" s="15">
        <f>I83</f>
        <v>-0.002760979489211566</v>
      </c>
      <c r="Q82" s="15">
        <f>J83</f>
        <v>-0.022901716773024595</v>
      </c>
      <c r="R82" s="15">
        <f>K83</f>
        <v>-0.03270155821832213</v>
      </c>
      <c r="S82" s="15">
        <f>L83</f>
        <v>-0.0024990311601760175</v>
      </c>
      <c r="T82" s="15">
        <f>M83</f>
        <v>-0.006264727012858697</v>
      </c>
    </row>
    <row r="83" spans="1:20">
      <c r="A83" s="14">
        <v>44544</v>
      </c>
      <c r="B83" s="10">
        <v>865.4390869140625</v>
      </c>
      <c r="C83" s="10">
        <v>76.95368957519531</v>
      </c>
      <c r="D83" s="10">
        <v>507.5737609863281</v>
      </c>
      <c r="E83" s="10">
        <v>17324.900390625</v>
      </c>
      <c r="F83" s="10">
        <v>509.2000122070313</v>
      </c>
      <c r="I83" s="15">
        <f>LN(B83/B82)</f>
        <v>-0.002760979489211566</v>
      </c>
      <c r="J83" s="15">
        <f>LN(C83/C82)</f>
        <v>-0.022901716773024595</v>
      </c>
      <c r="K83" s="15">
        <f>LN(D83/D82)</f>
        <v>-0.03270155821832213</v>
      </c>
      <c r="L83" s="15">
        <f>LN(E83/E82)</f>
        <v>-0.0024990311601760175</v>
      </c>
      <c r="M83" s="15">
        <f>LN(F83/F82)</f>
        <v>-0.006264727012858697</v>
      </c>
      <c r="O83" s="14">
        <v>44545</v>
      </c>
      <c r="P83" s="15">
        <f>I84</f>
        <v>-0.02629943084090806</v>
      </c>
      <c r="Q83" s="15">
        <f>J84</f>
        <v>-0.050819327334458625</v>
      </c>
      <c r="R83" s="15">
        <f>K84</f>
        <v>0.004876685977281758</v>
      </c>
      <c r="S83" s="15">
        <f>L84</f>
        <v>-0.005991976410169169</v>
      </c>
      <c r="T83" s="15">
        <f>M84</f>
        <v>-0.019033100187984098</v>
      </c>
    </row>
    <row r="84" spans="1:20">
      <c r="A84" s="14">
        <v>44545</v>
      </c>
      <c r="B84" s="10">
        <v>842.9752197265625</v>
      </c>
      <c r="C84" s="10">
        <v>73.14066314697266</v>
      </c>
      <c r="D84" s="10">
        <v>510.0550842285156</v>
      </c>
      <c r="E84" s="10">
        <v>17221.400390625</v>
      </c>
      <c r="F84" s="10">
        <v>499.6000061035156</v>
      </c>
      <c r="I84" s="15">
        <f>LN(B84/B83)</f>
        <v>-0.02629943084090806</v>
      </c>
      <c r="J84" s="15">
        <f>LN(C84/C83)</f>
        <v>-0.050819327334458625</v>
      </c>
      <c r="K84" s="15">
        <f>LN(D84/D83)</f>
        <v>0.004876685977281758</v>
      </c>
      <c r="L84" s="15">
        <f>LN(E84/E83)</f>
        <v>-0.005991976410169169</v>
      </c>
      <c r="M84" s="15">
        <f>LN(F84/F83)</f>
        <v>-0.019033100187984098</v>
      </c>
      <c r="O84" s="14">
        <v>44546</v>
      </c>
      <c r="P84" s="15">
        <f>I85</f>
        <v>0.0018521995338892435</v>
      </c>
      <c r="Q84" s="15">
        <f>J85</f>
        <v>-0.008840643158289188</v>
      </c>
      <c r="R84" s="15">
        <f>K85</f>
        <v>-0.014849909465503087</v>
      </c>
      <c r="S84" s="15">
        <f>L85</f>
        <v>0.0015665890089298405</v>
      </c>
      <c r="T84" s="15">
        <f>M85</f>
        <v>-0.008442285733346872</v>
      </c>
    </row>
    <row r="85" spans="1:20">
      <c r="A85" s="14">
        <v>44546</v>
      </c>
      <c r="B85" s="10">
        <v>844.5380249023438</v>
      </c>
      <c r="C85" s="10">
        <v>72.49690246582031</v>
      </c>
      <c r="D85" s="10">
        <v>502.5367736816406</v>
      </c>
      <c r="E85" s="10">
        <v>17248.400390625</v>
      </c>
      <c r="F85" s="10">
        <v>495.3999938964844</v>
      </c>
      <c r="I85" s="15">
        <f>LN(B85/B84)</f>
        <v>0.0018521995338892435</v>
      </c>
      <c r="J85" s="15">
        <f>LN(C85/C84)</f>
        <v>-0.008840643158289188</v>
      </c>
      <c r="K85" s="15">
        <f>LN(D85/D84)</f>
        <v>-0.014849909465503087</v>
      </c>
      <c r="L85" s="15">
        <f>LN(E85/E84)</f>
        <v>0.0015665890089298405</v>
      </c>
      <c r="M85" s="15">
        <f>LN(F85/F84)</f>
        <v>-0.008442285733346872</v>
      </c>
      <c r="O85" s="14">
        <v>44547</v>
      </c>
      <c r="P85" s="15">
        <f>I86</f>
        <v>-0.03321588774489882</v>
      </c>
      <c r="Q85" s="15">
        <f>J86</f>
        <v>-0.03900199456553184</v>
      </c>
      <c r="R85" s="15">
        <f>K86</f>
        <v>0.007917923978562795</v>
      </c>
      <c r="S85" s="15">
        <f>L86</f>
        <v>-0.015377077556357827</v>
      </c>
      <c r="T85" s="15">
        <f>M86</f>
        <v>-0.04005267238984858</v>
      </c>
    </row>
    <row r="86" spans="1:20">
      <c r="A86" s="14">
        <v>44547</v>
      </c>
      <c r="B86" s="10">
        <v>816.9467163085938</v>
      </c>
      <c r="C86" s="10">
        <v>69.72380828857422</v>
      </c>
      <c r="D86" s="10">
        <v>506.5316162109375</v>
      </c>
      <c r="E86" s="10">
        <v>16985.19921875</v>
      </c>
      <c r="F86" s="10">
        <v>475.9500122070313</v>
      </c>
      <c r="I86" s="15">
        <f>LN(B86/B85)</f>
        <v>-0.03321588774489882</v>
      </c>
      <c r="J86" s="15">
        <f>LN(C86/C85)</f>
        <v>-0.03900199456553184</v>
      </c>
      <c r="K86" s="15">
        <f>LN(D86/D85)</f>
        <v>0.007917923978562795</v>
      </c>
      <c r="L86" s="15">
        <f>LN(E86/E85)</f>
        <v>-0.015377077556357827</v>
      </c>
      <c r="M86" s="15">
        <f>LN(F86/F85)</f>
        <v>-0.04005267238984858</v>
      </c>
      <c r="O86" s="14">
        <v>44550</v>
      </c>
      <c r="P86" s="15">
        <f>I87</f>
        <v>-0.04368042138497206</v>
      </c>
      <c r="Q86" s="15">
        <f>J87</f>
        <v>-0.04577634548146456</v>
      </c>
      <c r="R86" s="15">
        <f>K87</f>
        <v>-0.008757706573872013</v>
      </c>
      <c r="S86" s="15">
        <f>L87</f>
        <v>-0.022084626281366433</v>
      </c>
      <c r="T86" s="15">
        <f>M87</f>
        <v>-0.05019364590754498</v>
      </c>
    </row>
    <row r="87" spans="1:20">
      <c r="A87" s="14">
        <v>44550</v>
      </c>
      <c r="B87" s="10">
        <v>782.0302734375</v>
      </c>
      <c r="C87" s="10">
        <v>66.60405731201172</v>
      </c>
      <c r="D87" s="10">
        <v>502.1149291992187</v>
      </c>
      <c r="E87" s="10">
        <v>16614.19921875</v>
      </c>
      <c r="F87" s="10">
        <v>452.6499938964844</v>
      </c>
      <c r="I87" s="15">
        <f>LN(B87/B86)</f>
        <v>-0.04368042138497206</v>
      </c>
      <c r="J87" s="15">
        <f>LN(C87/C86)</f>
        <v>-0.04577634548146456</v>
      </c>
      <c r="K87" s="15">
        <f>LN(D87/D86)</f>
        <v>-0.008757706573872013</v>
      </c>
      <c r="L87" s="15">
        <f>LN(E87/E86)</f>
        <v>-0.022084626281366433</v>
      </c>
      <c r="M87" s="15">
        <f>LN(F87/F86)</f>
        <v>-0.05019364590754498</v>
      </c>
      <c r="O87" s="14">
        <v>44551</v>
      </c>
      <c r="P87" s="15">
        <f>I88</f>
        <v>0.021925877431952057</v>
      </c>
      <c r="Q87" s="15">
        <f>J88</f>
        <v>0.047195649497638825</v>
      </c>
      <c r="R87" s="15">
        <f>K88</f>
        <v>-0.05442961541289726</v>
      </c>
      <c r="S87" s="15">
        <f>L88</f>
        <v>0.009384532645495392</v>
      </c>
      <c r="T87" s="15">
        <f>M88</f>
        <v>0.01599862802558859</v>
      </c>
    </row>
    <row r="88" spans="1:20">
      <c r="A88" s="14">
        <v>44551</v>
      </c>
      <c r="B88" s="10">
        <v>799.3663330078125</v>
      </c>
      <c r="C88" s="10">
        <v>69.82283782958984</v>
      </c>
      <c r="D88" s="10">
        <v>475.5154724121094</v>
      </c>
      <c r="E88" s="10">
        <v>16770.849609375</v>
      </c>
      <c r="F88" s="10">
        <v>459.9500122070313</v>
      </c>
      <c r="I88" s="15">
        <f>LN(B88/B87)</f>
        <v>0.021925877431952057</v>
      </c>
      <c r="J88" s="15">
        <f>LN(C88/C87)</f>
        <v>0.047195649497638825</v>
      </c>
      <c r="K88" s="15">
        <f>LN(D88/D87)</f>
        <v>-0.05442961541289726</v>
      </c>
      <c r="L88" s="15">
        <f>LN(E88/E87)</f>
        <v>0.009384532645495392</v>
      </c>
      <c r="M88" s="15">
        <f>LN(F88/F87)</f>
        <v>0.01599862802558859</v>
      </c>
      <c r="O88" s="14">
        <v>44552</v>
      </c>
      <c r="P88" s="15">
        <f>I89</f>
        <v>0.03564536777400909</v>
      </c>
      <c r="Q88" s="15">
        <f>J89</f>
        <v>0.04845231841584473</v>
      </c>
      <c r="R88" s="15">
        <f>K89</f>
        <v>0.0016161685748714905</v>
      </c>
      <c r="S88" s="15">
        <f>L89</f>
        <v>0.010947032985081793</v>
      </c>
      <c r="T88" s="15">
        <f>M89</f>
        <v>0.029034098163057617</v>
      </c>
    </row>
    <row r="89" spans="1:20">
      <c r="A89" s="14">
        <v>44552</v>
      </c>
      <c r="B89" s="10">
        <v>828.3739624023438</v>
      </c>
      <c r="C89" s="10">
        <v>73.28921508789062</v>
      </c>
      <c r="D89" s="10">
        <v>476.2846069335938</v>
      </c>
      <c r="E89" s="10">
        <v>16955.44921875</v>
      </c>
      <c r="F89" s="10">
        <v>473.5</v>
      </c>
      <c r="I89" s="15">
        <f>LN(B89/B88)</f>
        <v>0.03564536777400909</v>
      </c>
      <c r="J89" s="15">
        <f>LN(C89/C88)</f>
        <v>0.04845231841584473</v>
      </c>
      <c r="K89" s="15">
        <f>LN(D89/D88)</f>
        <v>0.0016161685748714905</v>
      </c>
      <c r="L89" s="15">
        <f>LN(E89/E88)</f>
        <v>0.010947032985081793</v>
      </c>
      <c r="M89" s="15">
        <f>LN(F89/F88)</f>
        <v>0.029034098163057617</v>
      </c>
      <c r="O89" s="14">
        <v>44553</v>
      </c>
      <c r="P89" s="15">
        <f>I90</f>
        <v>0.021289035273386776</v>
      </c>
      <c r="Q89" s="15">
        <f>J90</f>
        <v>0.006062783658619672</v>
      </c>
      <c r="R89" s="15">
        <f>K90</f>
        <v>0.05468954600307608</v>
      </c>
      <c r="S89" s="15">
        <f>L90</f>
        <v>0.006885546336514033</v>
      </c>
      <c r="T89" s="15">
        <f>M90</f>
        <v>0.02286233940259134</v>
      </c>
    </row>
    <row r="90" spans="1:20">
      <c r="A90" s="14">
        <v>44553</v>
      </c>
      <c r="B90" s="10">
        <v>846.1983032226562</v>
      </c>
      <c r="C90" s="10">
        <v>73.73490142822266</v>
      </c>
      <c r="D90" s="10">
        <v>503.0578308105469</v>
      </c>
      <c r="E90" s="10">
        <v>17072.599609375</v>
      </c>
      <c r="F90" s="10">
        <v>484.4500122070313</v>
      </c>
      <c r="I90" s="15">
        <f>LN(B90/B89)</f>
        <v>0.021289035273386776</v>
      </c>
      <c r="J90" s="15">
        <f>LN(C90/C89)</f>
        <v>0.006062783658619672</v>
      </c>
      <c r="K90" s="15">
        <f>LN(D90/D89)</f>
        <v>0.05468954600307608</v>
      </c>
      <c r="L90" s="15">
        <f>LN(E90/E89)</f>
        <v>0.006885546336514033</v>
      </c>
      <c r="M90" s="15">
        <f>LN(F90/F89)</f>
        <v>0.02286233940259134</v>
      </c>
      <c r="O90" s="14">
        <v>44554</v>
      </c>
      <c r="P90" s="15">
        <f>I91</f>
        <v>-0.028032207883474988</v>
      </c>
      <c r="Q90" s="15">
        <f>J91</f>
        <v>-0.04393286047227351</v>
      </c>
      <c r="R90" s="15">
        <f>K91</f>
        <v>-0.014057162595366081</v>
      </c>
      <c r="S90" s="15">
        <f>L91</f>
        <v>-0.0040409083631890875</v>
      </c>
      <c r="T90" s="15">
        <f>M91</f>
        <v>-0.014869053592049248</v>
      </c>
    </row>
    <row r="91" spans="1:20">
      <c r="A91" s="14">
        <v>44554</v>
      </c>
      <c r="B91" s="10">
        <v>822.806884765625</v>
      </c>
      <c r="C91" s="10">
        <v>70.56564331054688</v>
      </c>
      <c r="D91" s="10">
        <v>496.0357360839844</v>
      </c>
      <c r="E91" s="10">
        <v>17003.75</v>
      </c>
      <c r="F91" s="10">
        <v>477.2999877929687</v>
      </c>
      <c r="I91" s="15">
        <f>LN(B91/B90)</f>
        <v>-0.028032207883474988</v>
      </c>
      <c r="J91" s="15">
        <f>LN(C91/C90)</f>
        <v>-0.04393286047227351</v>
      </c>
      <c r="K91" s="15">
        <f>LN(D91/D90)</f>
        <v>-0.014057162595366081</v>
      </c>
      <c r="L91" s="15">
        <f>LN(E91/E90)</f>
        <v>-0.0040409083631890875</v>
      </c>
      <c r="M91" s="15">
        <f>LN(F91/F90)</f>
        <v>-0.014869053592049248</v>
      </c>
      <c r="O91" s="14">
        <v>44557</v>
      </c>
      <c r="P91" s="15">
        <f>I92</f>
        <v>0.024969049301886412</v>
      </c>
      <c r="Q91" s="15">
        <f>J92</f>
        <v>0.04862313412793907</v>
      </c>
      <c r="R91" s="15">
        <f>K92</f>
        <v>-0.0036581927252024487</v>
      </c>
      <c r="S91" s="15">
        <f>L92</f>
        <v>0.004840138519222991</v>
      </c>
      <c r="T91" s="15">
        <f>M92</f>
        <v>0.004807237442946967</v>
      </c>
    </row>
    <row r="92" spans="1:20">
      <c r="A92" s="14">
        <v>44557</v>
      </c>
      <c r="B92" s="10">
        <v>843.6102294921875</v>
      </c>
      <c r="C92" s="10">
        <v>74.08155059814453</v>
      </c>
      <c r="D92" s="10">
        <v>494.2244567871094</v>
      </c>
      <c r="E92" s="10">
        <v>17086.25</v>
      </c>
      <c r="F92" s="10">
        <v>479.6000061035156</v>
      </c>
      <c r="I92" s="15">
        <f>LN(B92/B91)</f>
        <v>0.024969049301886412</v>
      </c>
      <c r="J92" s="15">
        <f>LN(C92/C91)</f>
        <v>0.04862313412793907</v>
      </c>
      <c r="K92" s="15">
        <f>LN(D92/D91)</f>
        <v>-0.0036581927252024487</v>
      </c>
      <c r="L92" s="15">
        <f>LN(E92/E91)</f>
        <v>0.004840138519222991</v>
      </c>
      <c r="M92" s="15">
        <f>LN(F92/F91)</f>
        <v>0.004807237442946967</v>
      </c>
      <c r="O92" s="14">
        <v>44558</v>
      </c>
      <c r="P92" s="15">
        <f>I93</f>
        <v>0.0011570019332641953</v>
      </c>
      <c r="Q92" s="15">
        <f>J93</f>
        <v>0.013280299790281015</v>
      </c>
      <c r="R92" s="15">
        <f>K93</f>
        <v>0.032161111986036876</v>
      </c>
      <c r="S92" s="15">
        <f>L93</f>
        <v>0.008566610759914585</v>
      </c>
      <c r="T92" s="15">
        <f>M93</f>
        <v>0.00789201976353892</v>
      </c>
    </row>
    <row r="93" spans="1:20">
      <c r="A93" s="14">
        <v>44558</v>
      </c>
      <c r="B93" s="10">
        <v>844.5868530273438</v>
      </c>
      <c r="C93" s="10">
        <v>75.07193756103516</v>
      </c>
      <c r="D93" s="10">
        <v>510.3776245117187</v>
      </c>
      <c r="E93" s="10">
        <v>17233.25</v>
      </c>
      <c r="F93" s="10">
        <v>483.3999938964844</v>
      </c>
      <c r="I93" s="15">
        <f>LN(B93/B92)</f>
        <v>0.0011570019332641953</v>
      </c>
      <c r="J93" s="15">
        <f>LN(C93/C92)</f>
        <v>0.013280299790281015</v>
      </c>
      <c r="K93" s="15">
        <f>LN(D93/D92)</f>
        <v>0.032161111986036876</v>
      </c>
      <c r="L93" s="15">
        <f>LN(E93/E92)</f>
        <v>0.008566610759914585</v>
      </c>
      <c r="M93" s="15">
        <f>LN(F93/F92)</f>
        <v>0.00789201976353892</v>
      </c>
      <c r="O93" s="14">
        <v>44559</v>
      </c>
      <c r="P93" s="15">
        <f>I94</f>
        <v>0.00173303286070544</v>
      </c>
      <c r="Q93" s="15">
        <f>J94</f>
        <v>-0.008612127156826507</v>
      </c>
      <c r="R93" s="15">
        <f>K94</f>
        <v>-0.03613534665858243</v>
      </c>
      <c r="S93" s="15">
        <f>L94</f>
        <v>-0.00114091088034896</v>
      </c>
      <c r="T93" s="15">
        <f>M94</f>
        <v>-0.0007243129503832123</v>
      </c>
    </row>
    <row r="94" spans="1:20">
      <c r="A94" s="14">
        <v>44559</v>
      </c>
      <c r="B94" s="10">
        <v>846.0518188476562</v>
      </c>
      <c r="C94" s="10">
        <v>74.42818450927734</v>
      </c>
      <c r="D94" s="10">
        <v>492.2641906738281</v>
      </c>
      <c r="E94" s="10">
        <v>17213.599609375</v>
      </c>
      <c r="F94" s="10">
        <v>483.0499877929687</v>
      </c>
      <c r="I94" s="15">
        <f>LN(B94/B93)</f>
        <v>0.00173303286070544</v>
      </c>
      <c r="J94" s="15">
        <f>LN(C94/C93)</f>
        <v>-0.008612127156826507</v>
      </c>
      <c r="K94" s="15">
        <f>LN(D94/D93)</f>
        <v>-0.03613534665858243</v>
      </c>
      <c r="L94" s="15">
        <f>LN(E94/E93)</f>
        <v>-0.00114091088034896</v>
      </c>
      <c r="M94" s="15">
        <f>LN(F94/F93)</f>
        <v>-0.0007243129503832123</v>
      </c>
      <c r="O94" s="14">
        <v>44560</v>
      </c>
      <c r="P94" s="15">
        <f>I95</f>
        <v>-0.022885960763262388</v>
      </c>
      <c r="Q94" s="15">
        <f>J95</f>
        <v>-0.018127423970167166</v>
      </c>
      <c r="R94" s="15">
        <f>K95</f>
        <v>-0.0045974489868426515</v>
      </c>
      <c r="S94" s="15">
        <f>L95</f>
        <v>-0.0005607831589689821</v>
      </c>
      <c r="T94" s="15">
        <f>M95</f>
        <v>-0.009777447809082969</v>
      </c>
    </row>
    <row r="95" spans="1:20">
      <c r="A95" s="14">
        <v>44560</v>
      </c>
      <c r="B95" s="10">
        <v>826.9089965820312</v>
      </c>
      <c r="C95" s="10">
        <v>73.09114837646484</v>
      </c>
      <c r="D95" s="10">
        <v>490.0062255859375</v>
      </c>
      <c r="E95" s="10">
        <v>17203.94921875</v>
      </c>
      <c r="F95" s="10">
        <v>478.3500061035156</v>
      </c>
      <c r="I95" s="15">
        <f>LN(B95/B94)</f>
        <v>-0.022885960763262388</v>
      </c>
      <c r="J95" s="15">
        <f>LN(C95/C94)</f>
        <v>-0.018127423970167166</v>
      </c>
      <c r="K95" s="15">
        <f>LN(D95/D94)</f>
        <v>-0.0045974489868426515</v>
      </c>
      <c r="L95" s="15">
        <f>LN(E95/E94)</f>
        <v>-0.0005607831589689821</v>
      </c>
      <c r="M95" s="15">
        <f>LN(F95/F94)</f>
        <v>-0.009777447809082969</v>
      </c>
      <c r="O95" s="14">
        <v>44561</v>
      </c>
      <c r="P95" s="15">
        <f>I96</f>
        <v>0.017735693439260836</v>
      </c>
      <c r="Q95" s="15">
        <f>J96</f>
        <v>0.046981813227659715</v>
      </c>
      <c r="R95" s="15">
        <f>K96</f>
        <v>-0.0020783860553141038</v>
      </c>
      <c r="S95" s="15">
        <f>L96</f>
        <v>0.008686990360265219</v>
      </c>
      <c r="T95" s="15">
        <f>M96</f>
        <v>0.012052068567182982</v>
      </c>
    </row>
    <row r="96" spans="1:20">
      <c r="A96" s="14">
        <v>44561</v>
      </c>
      <c r="B96" s="10">
        <v>841.7056274414062</v>
      </c>
      <c r="C96" s="10">
        <v>76.60704803466797</v>
      </c>
      <c r="D96" s="10">
        <v>488.9888610839844</v>
      </c>
      <c r="E96" s="10">
        <v>17354.05078125</v>
      </c>
      <c r="F96" s="10">
        <v>484.1499938964844</v>
      </c>
      <c r="I96" s="15">
        <f>LN(B96/B95)</f>
        <v>0.017735693439260836</v>
      </c>
      <c r="J96" s="15">
        <f>LN(C96/C95)</f>
        <v>0.046981813227659715</v>
      </c>
      <c r="K96" s="15">
        <f>LN(D96/D95)</f>
        <v>-0.0020783860553141038</v>
      </c>
      <c r="L96" s="15">
        <f>LN(E96/E95)</f>
        <v>0.008686990360265219</v>
      </c>
      <c r="M96" s="15">
        <f>LN(F96/F95)</f>
        <v>0.012052068567182982</v>
      </c>
      <c r="O96" s="14">
        <v>44564</v>
      </c>
      <c r="P96" s="15">
        <f>I97</f>
        <v>0.030286198129472374</v>
      </c>
      <c r="Q96" s="15">
        <f>J97</f>
        <v>-0.011049726636174935</v>
      </c>
      <c r="R96" s="15">
        <f>K97</f>
        <v>-0.009278150634552272</v>
      </c>
      <c r="S96" s="15">
        <f>L97</f>
        <v>0.015532066331647875</v>
      </c>
      <c r="T96" s="15">
        <f>M97</f>
        <v>0.011296074250867793</v>
      </c>
    </row>
    <row r="97" spans="1:20">
      <c r="A97" s="14">
        <v>44564</v>
      </c>
      <c r="B97" s="10">
        <v>867.587646484375</v>
      </c>
      <c r="C97" s="10">
        <v>75.76522064208984</v>
      </c>
      <c r="D97" s="10">
        <v>484.4729309082031</v>
      </c>
      <c r="E97" s="10">
        <v>17625.69921875</v>
      </c>
      <c r="F97" s="10">
        <v>489.6499938964844</v>
      </c>
      <c r="I97" s="15">
        <f>LN(B97/B96)</f>
        <v>0.030286198129472374</v>
      </c>
      <c r="J97" s="15">
        <f>LN(C97/C96)</f>
        <v>-0.011049726636174935</v>
      </c>
      <c r="K97" s="15">
        <f>LN(D97/D96)</f>
        <v>-0.009278150634552272</v>
      </c>
      <c r="L97" s="15">
        <f>LN(E97/E96)</f>
        <v>0.015532066331647875</v>
      </c>
      <c r="M97" s="15">
        <f>LN(F97/F96)</f>
        <v>0.011296074250867793</v>
      </c>
      <c r="O97" s="14">
        <v>44565</v>
      </c>
      <c r="P97" s="15">
        <f>I98</f>
        <v>0.008631013246845847</v>
      </c>
      <c r="Q97" s="15">
        <f>J98</f>
        <v>-0.017804662621317576</v>
      </c>
      <c r="R97" s="15">
        <f>K98</f>
        <v>0.0031702975662132277</v>
      </c>
      <c r="S97" s="15">
        <f>L98</f>
        <v>0.01013533773365083</v>
      </c>
      <c r="T97" s="15">
        <f>M98</f>
        <v>-0.005324075547980547</v>
      </c>
    </row>
    <row r="98" spans="1:20">
      <c r="A98" s="14">
        <v>44565</v>
      </c>
      <c r="B98" s="10">
        <v>875.1082153320312</v>
      </c>
      <c r="C98" s="10">
        <v>74.42818450927734</v>
      </c>
      <c r="D98" s="10">
        <v>486.0112915039062</v>
      </c>
      <c r="E98" s="10">
        <v>17805.25</v>
      </c>
      <c r="F98" s="10">
        <v>487.0499877929687</v>
      </c>
      <c r="I98" s="15">
        <f>LN(B98/B97)</f>
        <v>0.008631013246845847</v>
      </c>
      <c r="J98" s="15">
        <f>LN(C98/C97)</f>
        <v>-0.017804662621317576</v>
      </c>
      <c r="K98" s="15">
        <f>LN(D98/D97)</f>
        <v>0.0031702975662132277</v>
      </c>
      <c r="L98" s="15">
        <f>LN(E98/E97)</f>
        <v>0.01013533773365083</v>
      </c>
      <c r="M98" s="15">
        <f>LN(F98/F97)</f>
        <v>-0.005324075547980547</v>
      </c>
      <c r="O98" s="14">
        <v>44566</v>
      </c>
      <c r="P98" s="15">
        <f>I99</f>
        <v>0.030609300423969716</v>
      </c>
      <c r="Q98" s="15">
        <f>J99</f>
        <v>-0.009358446289120064</v>
      </c>
      <c r="R98" s="15">
        <f>K99</f>
        <v>0.0008166520127156163</v>
      </c>
      <c r="S98" s="15">
        <f>L99</f>
        <v>0.006716975758933995</v>
      </c>
      <c r="T98" s="15">
        <f>M99</f>
        <v>0.011939539174699232</v>
      </c>
    </row>
    <row r="99" spans="1:20">
      <c r="A99" s="14">
        <v>44566</v>
      </c>
      <c r="B99" s="10">
        <v>902.308837890625</v>
      </c>
      <c r="C99" s="10">
        <v>73.73490142822266</v>
      </c>
      <c r="D99" s="10">
        <v>486.4083557128906</v>
      </c>
      <c r="E99" s="10">
        <v>17925.25</v>
      </c>
      <c r="F99" s="10">
        <v>492.8999938964844</v>
      </c>
      <c r="I99" s="15">
        <f>LN(B99/B98)</f>
        <v>0.030609300423969716</v>
      </c>
      <c r="J99" s="15">
        <f>LN(C99/C98)</f>
        <v>-0.009358446289120064</v>
      </c>
      <c r="K99" s="15">
        <f>LN(D99/D98)</f>
        <v>0.0008166520127156163</v>
      </c>
      <c r="L99" s="15">
        <f>LN(E99/E98)</f>
        <v>0.006716975758933995</v>
      </c>
      <c r="M99" s="15">
        <f>LN(F99/F98)</f>
        <v>0.011939539174699232</v>
      </c>
      <c r="O99" s="14">
        <v>44567</v>
      </c>
      <c r="P99" s="15">
        <f>I100</f>
        <v>-0.014555724492362103</v>
      </c>
      <c r="Q99" s="15">
        <f>J100</f>
        <v>-0.0013440547025484317</v>
      </c>
      <c r="R99" s="15">
        <f>K100</f>
        <v>-0.014852490214892083</v>
      </c>
      <c r="S99" s="15">
        <f>L100</f>
        <v>-0.01005580805311726</v>
      </c>
      <c r="T99" s="15">
        <f>M100</f>
        <v>-0.014818114047849499</v>
      </c>
    </row>
    <row r="100" spans="1:20">
      <c r="A100" s="14">
        <v>44567</v>
      </c>
      <c r="B100" s="10">
        <v>889.2702026367188</v>
      </c>
      <c r="C100" s="10">
        <v>73.6358642578125</v>
      </c>
      <c r="D100" s="10">
        <v>479.2373657226562</v>
      </c>
      <c r="E100" s="10">
        <v>17745.900390625</v>
      </c>
      <c r="F100" s="10">
        <v>485.6499938964844</v>
      </c>
      <c r="I100" s="15">
        <f>LN(B100/B99)</f>
        <v>-0.014555724492362103</v>
      </c>
      <c r="J100" s="15">
        <f>LN(C100/C99)</f>
        <v>-0.0013440547025484317</v>
      </c>
      <c r="K100" s="15">
        <f>LN(D100/D99)</f>
        <v>-0.014852490214892083</v>
      </c>
      <c r="L100" s="15">
        <f>LN(E100/E99)</f>
        <v>-0.01005580805311726</v>
      </c>
      <c r="M100" s="15">
        <f>LN(F100/F99)</f>
        <v>-0.014818114047849499</v>
      </c>
      <c r="O100" s="14">
        <v>44568</v>
      </c>
      <c r="P100" s="15">
        <f>I101</f>
        <v>0.0004940507132377048</v>
      </c>
      <c r="Q100" s="15">
        <f>J101</f>
        <v>0.019973975039021305</v>
      </c>
      <c r="R100" s="15">
        <f>K101</f>
        <v>-0.011665592453333342</v>
      </c>
      <c r="S100" s="15">
        <f>L101</f>
        <v>0.0037571168401497185</v>
      </c>
      <c r="T100" s="15">
        <f>M101</f>
        <v>0.0003088041597683608</v>
      </c>
    </row>
    <row r="101" spans="1:20">
      <c r="A101" s="14">
        <v>44568</v>
      </c>
      <c r="B101" s="10">
        <v>889.7096557617188</v>
      </c>
      <c r="C101" s="10">
        <v>75.12145233154297</v>
      </c>
      <c r="D101" s="10">
        <v>473.6792602539062</v>
      </c>
      <c r="E101" s="10">
        <v>17812.69921875</v>
      </c>
      <c r="F101" s="10">
        <v>485.7999877929687</v>
      </c>
      <c r="I101" s="15">
        <f>LN(B101/B100)</f>
        <v>0.0004940507132377048</v>
      </c>
      <c r="J101" s="15">
        <f>LN(C101/C100)</f>
        <v>0.019973975039021305</v>
      </c>
      <c r="K101" s="15">
        <f>LN(D101/D100)</f>
        <v>-0.011665592453333342</v>
      </c>
      <c r="L101" s="15">
        <f>LN(E101/E100)</f>
        <v>0.0037571168401497185</v>
      </c>
      <c r="M101" s="15">
        <f>LN(F101/F100)</f>
        <v>0.0003088041597683608</v>
      </c>
      <c r="O101" s="14">
        <v>44571</v>
      </c>
      <c r="P101" s="15">
        <f>I102</f>
        <v>0.032029846560981824</v>
      </c>
      <c r="Q101" s="15">
        <f>J102</f>
        <v>-0.010603000820684591</v>
      </c>
      <c r="R101" s="15">
        <f>K102</f>
        <v>-0.006305821458529753</v>
      </c>
      <c r="S101" s="15">
        <f>L102</f>
        <v>0.010643475643964555</v>
      </c>
      <c r="T101" s="15">
        <f>M102</f>
        <v>0.019063743200329518</v>
      </c>
    </row>
    <row r="102" spans="1:20">
      <c r="A102" s="14">
        <v>44571</v>
      </c>
      <c r="B102" s="10">
        <v>918.668212890625</v>
      </c>
      <c r="C102" s="10">
        <v>74.32914733886719</v>
      </c>
      <c r="D102" s="10">
        <v>470.7017211914062</v>
      </c>
      <c r="E102" s="10">
        <v>18003.30078125</v>
      </c>
      <c r="F102" s="10">
        <v>495.1499938964844</v>
      </c>
      <c r="I102" s="15">
        <f>LN(B102/B101)</f>
        <v>0.032029846560981824</v>
      </c>
      <c r="J102" s="15">
        <f>LN(C102/C101)</f>
        <v>-0.010603000820684591</v>
      </c>
      <c r="K102" s="15">
        <f>LN(D102/D101)</f>
        <v>-0.006305821458529753</v>
      </c>
      <c r="L102" s="15">
        <f>LN(E102/E101)</f>
        <v>0.010643475643964555</v>
      </c>
      <c r="M102" s="15">
        <f>LN(F102/F101)</f>
        <v>0.019063743200329518</v>
      </c>
      <c r="O102" s="14">
        <v>44572</v>
      </c>
      <c r="P102" s="15">
        <f>I103</f>
        <v>-0.008487924722018701</v>
      </c>
      <c r="Q102" s="15">
        <f>J103</f>
        <v>0.003989170969369532</v>
      </c>
      <c r="R102" s="15">
        <f>K103</f>
        <v>0.04358045094085673</v>
      </c>
      <c r="S102" s="15">
        <f>L103</f>
        <v>0.0029090757855369247</v>
      </c>
      <c r="T102" s="15">
        <f>M103</f>
        <v>0.005638960251508245</v>
      </c>
    </row>
    <row r="103" spans="1:20">
      <c r="A103" s="14">
        <v>44572</v>
      </c>
      <c r="B103" s="10">
        <v>910.9036254882812</v>
      </c>
      <c r="C103" s="10">
        <v>74.62625122070312</v>
      </c>
      <c r="D103" s="10">
        <v>491.6686706542969</v>
      </c>
      <c r="E103" s="10">
        <v>18055.75</v>
      </c>
      <c r="F103" s="10">
        <v>497.9500122070313</v>
      </c>
      <c r="I103" s="15">
        <f>LN(B103/B102)</f>
        <v>-0.008487924722018701</v>
      </c>
      <c r="J103" s="15">
        <f>LN(C103/C102)</f>
        <v>0.003989170969369532</v>
      </c>
      <c r="K103" s="15">
        <f>LN(D103/D102)</f>
        <v>0.04358045094085673</v>
      </c>
      <c r="L103" s="15">
        <f>LN(E103/E102)</f>
        <v>0.0029090757855369247</v>
      </c>
      <c r="M103" s="15">
        <f>LN(F103/F102)</f>
        <v>0.005638960251508245</v>
      </c>
      <c r="O103" s="14">
        <v>44573</v>
      </c>
      <c r="P103" s="15">
        <f>I104</f>
        <v>0.04230265048626874</v>
      </c>
      <c r="Q103" s="15">
        <f>J104</f>
        <v>0.04856905956142533</v>
      </c>
      <c r="R103" s="15">
        <f>K104</f>
        <v>0.01884727722875345</v>
      </c>
      <c r="S103" s="15">
        <f>L104</f>
        <v>0.008635720331115329</v>
      </c>
      <c r="T103" s="15">
        <f>M104</f>
        <v>0.018898513058240054</v>
      </c>
    </row>
    <row r="104" spans="1:20">
      <c r="A104" s="14">
        <v>44573</v>
      </c>
      <c r="B104" s="10">
        <v>950.263916015625</v>
      </c>
      <c r="C104" s="10">
        <v>78.34024047851562</v>
      </c>
      <c r="D104" s="10">
        <v>501.0231628417969</v>
      </c>
      <c r="E104" s="10">
        <v>18212.349609375</v>
      </c>
      <c r="F104" s="10">
        <v>507.4500122070313</v>
      </c>
      <c r="I104" s="15">
        <f>LN(B104/B103)</f>
        <v>0.04230265048626874</v>
      </c>
      <c r="J104" s="15">
        <f>LN(C104/C103)</f>
        <v>0.04856905956142533</v>
      </c>
      <c r="K104" s="15">
        <f>LN(D104/D103)</f>
        <v>0.01884727722875345</v>
      </c>
      <c r="L104" s="15">
        <f>LN(E104/E103)</f>
        <v>0.008635720331115329</v>
      </c>
      <c r="M104" s="15">
        <f>LN(F104/F103)</f>
        <v>0.018898513058240054</v>
      </c>
      <c r="O104" s="14">
        <v>44574</v>
      </c>
      <c r="P104" s="15">
        <f>I105</f>
        <v>-0.028460106543454107</v>
      </c>
      <c r="Q104" s="15">
        <f>J105</f>
        <v>-0.015929143873270483</v>
      </c>
      <c r="R104" s="15">
        <f>K105</f>
        <v>0.02827135396248739</v>
      </c>
      <c r="S104" s="15">
        <f>L105</f>
        <v>0.002492514833041471</v>
      </c>
      <c r="T104" s="15">
        <f>M105</f>
        <v>-0.007218868261866265</v>
      </c>
    </row>
    <row r="105" spans="1:20">
      <c r="A105" s="14">
        <v>44574</v>
      </c>
      <c r="B105" s="10">
        <v>923.6005249023438</v>
      </c>
      <c r="C105" s="10">
        <v>77.10223388671875</v>
      </c>
      <c r="D105" s="10">
        <v>515.389892578125</v>
      </c>
      <c r="E105" s="10">
        <v>18257.80078125</v>
      </c>
      <c r="F105" s="10">
        <v>503.7999877929687</v>
      </c>
      <c r="I105" s="15">
        <f>LN(B105/B104)</f>
        <v>-0.028460106543454107</v>
      </c>
      <c r="J105" s="15">
        <f>LN(C105/C104)</f>
        <v>-0.015929143873270483</v>
      </c>
      <c r="K105" s="15">
        <f>LN(D105/D104)</f>
        <v>0.02827135396248739</v>
      </c>
      <c r="L105" s="15">
        <f>LN(E105/E104)</f>
        <v>0.002492514833041471</v>
      </c>
      <c r="M105" s="15">
        <f>LN(F105/F104)</f>
        <v>-0.007218868261866265</v>
      </c>
      <c r="O105" s="14">
        <v>44575</v>
      </c>
      <c r="P105" s="15">
        <f>I106</f>
        <v>0.029487510533623036</v>
      </c>
      <c r="Q105" s="15">
        <f>J106</f>
        <v>0.0482701840674427</v>
      </c>
      <c r="R105" s="15">
        <f>K106</f>
        <v>-0.016504541520099184</v>
      </c>
      <c r="S105" s="15">
        <f>L106</f>
        <v>-0.00011232987251458901</v>
      </c>
      <c r="T105" s="15">
        <f>M106</f>
        <v>0.011446776546430634</v>
      </c>
    </row>
    <row r="106" spans="1:20">
      <c r="A106" s="14">
        <v>44575</v>
      </c>
      <c r="B106" s="10">
        <v>951.24072265625</v>
      </c>
      <c r="C106" s="10">
        <v>80.91526031494141</v>
      </c>
      <c r="D106" s="10">
        <v>506.9534301757813</v>
      </c>
      <c r="E106" s="10">
        <v>18255.75</v>
      </c>
      <c r="F106" s="10">
        <v>509.6000061035156</v>
      </c>
      <c r="I106" s="15">
        <f>LN(B106/B105)</f>
        <v>0.029487510533623036</v>
      </c>
      <c r="J106" s="15">
        <f>LN(C106/C105)</f>
        <v>0.0482701840674427</v>
      </c>
      <c r="K106" s="15">
        <f>LN(D106/D105)</f>
        <v>-0.016504541520099184</v>
      </c>
      <c r="L106" s="15">
        <f>LN(E106/E105)</f>
        <v>-0.00011232987251458901</v>
      </c>
      <c r="M106" s="15">
        <f>LN(F106/F105)</f>
        <v>0.011446776546430634</v>
      </c>
      <c r="O106" s="14">
        <v>44578</v>
      </c>
      <c r="P106" s="15">
        <f>I107</f>
        <v>0.0017438604705260878</v>
      </c>
      <c r="Q106" s="15">
        <f>J107</f>
        <v>-0.031709094804141996</v>
      </c>
      <c r="R106" s="15">
        <f>K107</f>
        <v>-0.010232740240274877</v>
      </c>
      <c r="S106" s="15">
        <f>L107</f>
        <v>0.0028634646353713476</v>
      </c>
      <c r="T106" s="15">
        <f>M107</f>
        <v>0.012674381614748419</v>
      </c>
    </row>
    <row r="107" spans="1:20">
      <c r="A107" s="14">
        <v>44578</v>
      </c>
      <c r="B107" s="10">
        <v>952.9010009765624</v>
      </c>
      <c r="C107" s="10">
        <v>78.38976287841797</v>
      </c>
      <c r="D107" s="10">
        <v>501.7923583984375</v>
      </c>
      <c r="E107" s="10">
        <v>18308.099609375</v>
      </c>
      <c r="F107" s="10">
        <v>516.0999755859375</v>
      </c>
      <c r="I107" s="15">
        <f>LN(B107/B106)</f>
        <v>0.0017438604705260878</v>
      </c>
      <c r="J107" s="15">
        <f>LN(C107/C106)</f>
        <v>-0.031709094804141996</v>
      </c>
      <c r="K107" s="15">
        <f>LN(D107/D106)</f>
        <v>-0.010232740240274877</v>
      </c>
      <c r="L107" s="15">
        <f>LN(E107/E106)</f>
        <v>0.0028634646353713476</v>
      </c>
      <c r="M107" s="15">
        <f>LN(F107/F106)</f>
        <v>0.012674381614748419</v>
      </c>
      <c r="O107" s="14">
        <v>44579</v>
      </c>
      <c r="P107" s="15">
        <f>I108</f>
        <v>-0.03552333592579056</v>
      </c>
      <c r="Q107" s="15">
        <f>J108</f>
        <v>-0.009520781506781262</v>
      </c>
      <c r="R107" s="15">
        <f>K108</f>
        <v>-0.021542845577257014</v>
      </c>
      <c r="S107" s="15">
        <f>L108</f>
        <v>-0.010710847446216868</v>
      </c>
      <c r="T107" s="15">
        <f>M108</f>
        <v>-0.02640640714101936</v>
      </c>
    </row>
    <row r="108" spans="1:20">
      <c r="A108" s="14">
        <v>44579</v>
      </c>
      <c r="B108" s="10">
        <v>919.6449584960938</v>
      </c>
      <c r="C108" s="10">
        <v>77.64697265625</v>
      </c>
      <c r="D108" s="10">
        <v>491.0979309082031</v>
      </c>
      <c r="E108" s="10">
        <v>18113.05078125</v>
      </c>
      <c r="F108" s="10">
        <v>502.6499938964844</v>
      </c>
      <c r="I108" s="15">
        <f>LN(B108/B107)</f>
        <v>-0.03552333592579056</v>
      </c>
      <c r="J108" s="15">
        <f>LN(C108/C107)</f>
        <v>-0.009520781506781262</v>
      </c>
      <c r="K108" s="15">
        <f>LN(D108/D107)</f>
        <v>-0.021542845577257014</v>
      </c>
      <c r="L108" s="15">
        <f>LN(E108/E107)</f>
        <v>-0.010710847446216868</v>
      </c>
      <c r="M108" s="15">
        <f>LN(F108/F107)</f>
        <v>-0.02640640714101936</v>
      </c>
      <c r="O108" s="14">
        <v>44580</v>
      </c>
      <c r="P108" s="15">
        <f>I109</f>
        <v>0.009197351522212481</v>
      </c>
      <c r="Q108" s="15">
        <f>J109</f>
        <v>0.0006372913057268813</v>
      </c>
      <c r="R108" s="15">
        <f>K109</f>
        <v>0.0061452705628745885</v>
      </c>
      <c r="S108" s="15">
        <f>L109</f>
        <v>-0.009689027834056424</v>
      </c>
      <c r="T108" s="15">
        <f>M109</f>
        <v>-0.0014932062086861267</v>
      </c>
    </row>
    <row r="109" spans="1:20">
      <c r="A109" s="14">
        <v>44580</v>
      </c>
      <c r="B109" s="10">
        <v>928.1422729492188</v>
      </c>
      <c r="C109" s="10">
        <v>77.69647216796875</v>
      </c>
      <c r="D109" s="10">
        <v>494.1251525878906</v>
      </c>
      <c r="E109" s="10">
        <v>17938.400390625</v>
      </c>
      <c r="F109" s="10">
        <v>501.8999938964844</v>
      </c>
      <c r="I109" s="15">
        <f>LN(B109/B108)</f>
        <v>0.009197351522212481</v>
      </c>
      <c r="J109" s="15">
        <f>LN(C109/C108)</f>
        <v>0.0006372913057268813</v>
      </c>
      <c r="K109" s="15">
        <f>LN(D109/D108)</f>
        <v>0.0061452705628745885</v>
      </c>
      <c r="L109" s="15">
        <f>LN(E109/E108)</f>
        <v>-0.009689027834056424</v>
      </c>
      <c r="M109" s="15">
        <f>LN(F109/F108)</f>
        <v>-0.0014932062086861267</v>
      </c>
      <c r="O109" s="14">
        <v>44581</v>
      </c>
      <c r="P109" s="15">
        <f>I110</f>
        <v>-0.015215906052066524</v>
      </c>
      <c r="Q109" s="15">
        <f>J110</f>
        <v>0.04851708905406452</v>
      </c>
      <c r="R109" s="15">
        <f>K110</f>
        <v>-0.0279041251855004</v>
      </c>
      <c r="S109" s="15">
        <f>L110</f>
        <v>-0.010163883876396832</v>
      </c>
      <c r="T109" s="15">
        <f>M110</f>
        <v>0.0022886599719518556</v>
      </c>
    </row>
    <row r="110" spans="1:20">
      <c r="A110" s="14">
        <v>44581</v>
      </c>
      <c r="B110" s="10">
        <v>914.1266479492188</v>
      </c>
      <c r="C110" s="10">
        <v>81.55902099609375</v>
      </c>
      <c r="D110" s="10">
        <v>480.5276184082031</v>
      </c>
      <c r="E110" s="10">
        <v>17757</v>
      </c>
      <c r="F110" s="10">
        <v>503.0499877929687</v>
      </c>
      <c r="I110" s="15">
        <f>LN(B110/B109)</f>
        <v>-0.015215906052066524</v>
      </c>
      <c r="J110" s="15">
        <f>LN(C110/C109)</f>
        <v>0.04851708905406452</v>
      </c>
      <c r="K110" s="15">
        <f>LN(D110/D109)</f>
        <v>-0.0279041251855004</v>
      </c>
      <c r="L110" s="15">
        <f>LN(E110/E109)</f>
        <v>-0.010163883876396832</v>
      </c>
      <c r="M110" s="15">
        <f>LN(F110/F109)</f>
        <v>0.0022886599719518556</v>
      </c>
      <c r="O110" s="14">
        <v>44582</v>
      </c>
      <c r="P110" s="15">
        <f>I111</f>
        <v>-0.0038000136504529637</v>
      </c>
      <c r="Q110" s="15">
        <f>J111</f>
        <v>0.006656589437882772</v>
      </c>
      <c r="R110" s="15">
        <f>K111</f>
        <v>-0.012679364598091446</v>
      </c>
      <c r="S110" s="15">
        <f>L111</f>
        <v>-0.00790692279190989</v>
      </c>
      <c r="T110" s="15">
        <f>M111</f>
        <v>-0.023838142787639145</v>
      </c>
    </row>
    <row r="111" spans="1:20">
      <c r="A111" s="14">
        <v>44582</v>
      </c>
      <c r="B111" s="10">
        <v>910.6595458984376</v>
      </c>
      <c r="C111" s="10">
        <v>82.10373687744141</v>
      </c>
      <c r="D111" s="10">
        <v>474.4732971191406</v>
      </c>
      <c r="E111" s="10">
        <v>17617.150390625</v>
      </c>
      <c r="F111" s="10">
        <v>491.2000122070313</v>
      </c>
      <c r="I111" s="15">
        <f>LN(B111/B110)</f>
        <v>-0.0038000136504529637</v>
      </c>
      <c r="J111" s="15">
        <f>LN(C111/C110)</f>
        <v>0.006656589437882772</v>
      </c>
      <c r="K111" s="15">
        <f>LN(D111/D110)</f>
        <v>-0.012679364598091446</v>
      </c>
      <c r="L111" s="15">
        <f>LN(E111/E110)</f>
        <v>-0.00790692279190989</v>
      </c>
      <c r="M111" s="15">
        <f>LN(F111/F110)</f>
        <v>-0.023838142787639145</v>
      </c>
      <c r="O111" s="14">
        <v>44585</v>
      </c>
      <c r="P111" s="15">
        <f>I112</f>
        <v>-0.042447797126747566</v>
      </c>
      <c r="Q111" s="15">
        <f>J112</f>
        <v>-0.05008776717555144</v>
      </c>
      <c r="R111" s="15">
        <f>K112</f>
        <v>-0.04180966661927536</v>
      </c>
      <c r="S111" s="15">
        <f>L112</f>
        <v>-0.02692721026213864</v>
      </c>
      <c r="T111" s="15">
        <f>M112</f>
        <v>-0.06085367743338798</v>
      </c>
    </row>
    <row r="112" spans="1:20">
      <c r="A112" s="14">
        <v>44585</v>
      </c>
      <c r="B112" s="10">
        <v>872.81298828125</v>
      </c>
      <c r="C112" s="10">
        <v>78.09263610839844</v>
      </c>
      <c r="D112" s="10">
        <v>455.0447082519531</v>
      </c>
      <c r="E112" s="10">
        <v>17149.099609375</v>
      </c>
      <c r="F112" s="10">
        <v>462.2000122070313</v>
      </c>
      <c r="I112" s="15">
        <f>LN(B112/B111)</f>
        <v>-0.042447797126747566</v>
      </c>
      <c r="J112" s="15">
        <f>LN(C112/C111)</f>
        <v>-0.05008776717555144</v>
      </c>
      <c r="K112" s="15">
        <f>LN(D112/D111)</f>
        <v>-0.04180966661927536</v>
      </c>
      <c r="L112" s="15">
        <f>LN(E112/E111)</f>
        <v>-0.02692721026213864</v>
      </c>
      <c r="M112" s="15">
        <f>LN(F112/F111)</f>
        <v>-0.06085367743338798</v>
      </c>
      <c r="O112" s="14">
        <v>44586</v>
      </c>
      <c r="P112" s="15">
        <f>I113</f>
        <v>0.00907862705597479</v>
      </c>
      <c r="Q112" s="15">
        <f>J113</f>
        <v>0.01322856932024856</v>
      </c>
      <c r="R112" s="15">
        <f>K113</f>
        <v>0.03498794878683714</v>
      </c>
      <c r="S112" s="15">
        <f>L113</f>
        <v>0.0074854055398087425</v>
      </c>
      <c r="T112" s="15">
        <f>M113</f>
        <v>0.01801076501191601</v>
      </c>
    </row>
    <row r="113" spans="1:20">
      <c r="A113" s="14">
        <v>44586</v>
      </c>
      <c r="B113" s="10">
        <v>880.7730102539062</v>
      </c>
      <c r="C113" s="10">
        <v>79.13255310058594</v>
      </c>
      <c r="D113" s="10">
        <v>471.2475891113281</v>
      </c>
      <c r="E113" s="10">
        <v>17277.94921875</v>
      </c>
      <c r="F113" s="10">
        <v>470.6000061035156</v>
      </c>
      <c r="I113" s="15">
        <f>LN(B113/B112)</f>
        <v>0.00907862705597479</v>
      </c>
      <c r="J113" s="15">
        <f>LN(C113/C112)</f>
        <v>0.01322856932024856</v>
      </c>
      <c r="K113" s="15">
        <f>LN(D113/D112)</f>
        <v>0.03498794878683714</v>
      </c>
      <c r="L113" s="15">
        <f>LN(E113/E112)</f>
        <v>0.0074854055398087425</v>
      </c>
      <c r="M113" s="15">
        <f>LN(F113/F112)</f>
        <v>0.01801076501191601</v>
      </c>
      <c r="O113" s="14">
        <v>44588</v>
      </c>
      <c r="P113" s="15">
        <f>I114</f>
        <v>-0.017111620422245188</v>
      </c>
      <c r="Q113" s="15">
        <f>J114</f>
        <v>0.04526773616826679</v>
      </c>
      <c r="R113" s="15">
        <f>K114</f>
        <v>-0.006338463286298212</v>
      </c>
      <c r="S113" s="15">
        <f>L114</f>
        <v>-0.009759199363728934</v>
      </c>
      <c r="T113" s="15">
        <f>M114</f>
        <v>-0.018227158178474003</v>
      </c>
    </row>
    <row r="114" spans="1:20">
      <c r="A114" s="14">
        <v>44588</v>
      </c>
      <c r="B114" s="10">
        <v>865.8297729492188</v>
      </c>
      <c r="C114" s="10">
        <v>82.79701995849609</v>
      </c>
      <c r="D114" s="10">
        <v>468.2700500488281</v>
      </c>
      <c r="E114" s="10">
        <v>17110.150390625</v>
      </c>
      <c r="F114" s="10">
        <v>462.1000061035156</v>
      </c>
      <c r="I114" s="15">
        <f>LN(B114/B113)</f>
        <v>-0.017111620422245188</v>
      </c>
      <c r="J114" s="15">
        <f>LN(C114/C113)</f>
        <v>0.04526773616826679</v>
      </c>
      <c r="K114" s="15">
        <f>LN(D114/D113)</f>
        <v>-0.006338463286298212</v>
      </c>
      <c r="L114" s="15">
        <f>LN(E114/E113)</f>
        <v>-0.009759199363728934</v>
      </c>
      <c r="M114" s="15">
        <f>LN(F114/F113)</f>
        <v>-0.018227158178474003</v>
      </c>
      <c r="O114" s="14">
        <v>44589</v>
      </c>
      <c r="P114" s="15">
        <f>I115</f>
        <v>0.008088865274864682</v>
      </c>
      <c r="Q114" s="15">
        <f>J115</f>
        <v>-0.027897596816062017</v>
      </c>
      <c r="R114" s="15">
        <f>K115</f>
        <v>0.01043707573671144</v>
      </c>
      <c r="S114" s="15">
        <f>L115</f>
        <v>-0.0004794310858279706</v>
      </c>
      <c r="T114" s="15">
        <f>M115</f>
        <v>0.007652934775714628</v>
      </c>
    </row>
    <row r="115" spans="1:20">
      <c r="A115" s="14">
        <v>44589</v>
      </c>
      <c r="B115" s="10">
        <v>872.8617553710938</v>
      </c>
      <c r="C115" s="10">
        <v>80.51910400390625</v>
      </c>
      <c r="D115" s="10">
        <v>473.1830139160156</v>
      </c>
      <c r="E115" s="10">
        <v>17101.94921875</v>
      </c>
      <c r="F115" s="10">
        <v>465.6499938964844</v>
      </c>
      <c r="I115" s="15">
        <f>LN(B115/B114)</f>
        <v>0.008088865274864682</v>
      </c>
      <c r="J115" s="15">
        <f>LN(C115/C114)</f>
        <v>-0.027897596816062017</v>
      </c>
      <c r="K115" s="15">
        <f>LN(D115/D114)</f>
        <v>0.01043707573671144</v>
      </c>
      <c r="L115" s="15">
        <f>LN(E115/E114)</f>
        <v>-0.0004794310858279706</v>
      </c>
      <c r="M115" s="15">
        <f>LN(F115/F114)</f>
        <v>0.007652934775714628</v>
      </c>
      <c r="O115" s="14">
        <v>44592</v>
      </c>
      <c r="P115" s="15">
        <f>I116</f>
        <v>0.024427872611675536</v>
      </c>
      <c r="Q115" s="15">
        <f>J116</f>
        <v>0.003070476921497584</v>
      </c>
      <c r="R115" s="15">
        <f>K116</f>
        <v>0.04350754470535676</v>
      </c>
      <c r="S115" s="15">
        <f>L116</f>
        <v>0.01381485185545943</v>
      </c>
      <c r="T115" s="15">
        <f>M116</f>
        <v>0.030872535788517085</v>
      </c>
    </row>
    <row r="116" spans="1:20">
      <c r="A116" s="14">
        <v>44592</v>
      </c>
      <c r="B116" s="10">
        <v>894.4464721679688</v>
      </c>
      <c r="C116" s="10">
        <v>80.76671600341797</v>
      </c>
      <c r="D116" s="10">
        <v>494.2244567871094</v>
      </c>
      <c r="E116" s="10">
        <v>17339.849609375</v>
      </c>
      <c r="F116" s="10">
        <v>480.25</v>
      </c>
      <c r="I116" s="15">
        <f>LN(B116/B115)</f>
        <v>0.024427872611675536</v>
      </c>
      <c r="J116" s="15">
        <f>LN(C116/C115)</f>
        <v>0.003070476921497584</v>
      </c>
      <c r="K116" s="15">
        <f>LN(D116/D115)</f>
        <v>0.04350754470535676</v>
      </c>
      <c r="L116" s="15">
        <f>LN(E116/E115)</f>
        <v>0.01381485185545943</v>
      </c>
      <c r="M116" s="15">
        <f>LN(F116/F115)</f>
        <v>0.030872535788517085</v>
      </c>
      <c r="O116" s="14">
        <v>44593</v>
      </c>
      <c r="P116" s="15">
        <f>I117</f>
        <v>0.05615712038741606</v>
      </c>
      <c r="Q116" s="15">
        <f>J117</f>
        <v>-0.017940577297186136</v>
      </c>
      <c r="R116" s="15">
        <f>K117</f>
        <v>0.0016552775665414114</v>
      </c>
      <c r="S116" s="15">
        <f>L117</f>
        <v>0.013575374822651254</v>
      </c>
      <c r="T116" s="15">
        <f>M117</f>
        <v>0.01733967264561163</v>
      </c>
    </row>
    <row r="117" spans="1:20">
      <c r="A117" s="14">
        <v>44593</v>
      </c>
      <c r="B117" s="10">
        <v>946.1131591796876</v>
      </c>
      <c r="C117" s="10">
        <v>79.33063507080078</v>
      </c>
      <c r="D117" s="10">
        <v>495.043212890625</v>
      </c>
      <c r="E117" s="10">
        <v>17576.849609375</v>
      </c>
      <c r="F117" s="10">
        <v>488.6499938964844</v>
      </c>
      <c r="I117" s="15">
        <f>LN(B117/B116)</f>
        <v>0.05615712038741606</v>
      </c>
      <c r="J117" s="15">
        <f>LN(C117/C116)</f>
        <v>-0.017940577297186136</v>
      </c>
      <c r="K117" s="15">
        <f>LN(D117/D116)</f>
        <v>0.0016552775665414114</v>
      </c>
      <c r="L117" s="15">
        <f>LN(E117/E116)</f>
        <v>0.013575374822651254</v>
      </c>
      <c r="M117" s="15">
        <f>LN(F117/F116)</f>
        <v>0.01733967264561163</v>
      </c>
      <c r="O117" s="14">
        <v>44594</v>
      </c>
      <c r="P117" s="15">
        <f>I118</f>
        <v>-0.014348322296637584</v>
      </c>
      <c r="Q117" s="15">
        <f>J118</f>
        <v>0.002493708432585641</v>
      </c>
      <c r="R117" s="15">
        <f>K118</f>
        <v>0.014134504013215886</v>
      </c>
      <c r="S117" s="15">
        <f>L118</f>
        <v>0.01149155699474709</v>
      </c>
      <c r="T117" s="15">
        <f>M118</f>
        <v>0.013920879475765228</v>
      </c>
    </row>
    <row r="118" spans="1:20">
      <c r="A118" s="14">
        <v>44594</v>
      </c>
      <c r="B118" s="10">
        <v>932.6349487304688</v>
      </c>
      <c r="C118" s="10">
        <v>79.52870941162109</v>
      </c>
      <c r="D118" s="10">
        <v>502.090087890625</v>
      </c>
      <c r="E118" s="10">
        <v>17780</v>
      </c>
      <c r="F118" s="10">
        <v>495.5</v>
      </c>
      <c r="I118" s="15">
        <f>LN(B118/B117)</f>
        <v>-0.014348322296637584</v>
      </c>
      <c r="J118" s="15">
        <f>LN(C118/C117)</f>
        <v>0.002493708432585641</v>
      </c>
      <c r="K118" s="15">
        <f>LN(D118/D117)</f>
        <v>0.014134504013215886</v>
      </c>
      <c r="L118" s="15">
        <f>LN(E118/E117)</f>
        <v>0.01149155699474709</v>
      </c>
      <c r="M118" s="15">
        <f>LN(F118/F117)</f>
        <v>0.013920879475765228</v>
      </c>
      <c r="O118" s="14">
        <v>44595</v>
      </c>
      <c r="P118" s="15">
        <f>I119</f>
        <v>-0.0055131670024707105</v>
      </c>
      <c r="Q118" s="15">
        <f>J119</f>
        <v>-0.020761843188993413</v>
      </c>
      <c r="R118" s="15">
        <f>K119</f>
        <v>-0.030456660948654384</v>
      </c>
      <c r="S118" s="15">
        <f>L119</f>
        <v>-0.01243929691182117</v>
      </c>
      <c r="T118" s="15">
        <f>M119</f>
        <v>-0.017508603116847817</v>
      </c>
    </row>
    <row r="119" spans="1:20">
      <c r="A119" s="14">
        <v>44595</v>
      </c>
      <c r="B119" s="10">
        <v>927.50732421875</v>
      </c>
      <c r="C119" s="10">
        <v>77.89456939697266</v>
      </c>
      <c r="D119" s="10">
        <v>487.0286254882813</v>
      </c>
      <c r="E119" s="10">
        <v>17560.19921875</v>
      </c>
      <c r="F119" s="10">
        <v>486.8999938964844</v>
      </c>
      <c r="I119" s="15">
        <f>LN(B119/B118)</f>
        <v>-0.0055131670024707105</v>
      </c>
      <c r="J119" s="15">
        <f>LN(C119/C118)</f>
        <v>-0.020761843188993413</v>
      </c>
      <c r="K119" s="15">
        <f>LN(D119/D118)</f>
        <v>-0.030456660948654384</v>
      </c>
      <c r="L119" s="15">
        <f>LN(E119/E118)</f>
        <v>-0.01243929691182117</v>
      </c>
      <c r="M119" s="15">
        <f>LN(F119/F118)</f>
        <v>-0.017508603116847817</v>
      </c>
      <c r="O119" s="14">
        <v>44596</v>
      </c>
      <c r="P119" s="15">
        <f>I120</f>
        <v>-0.003798263670167695</v>
      </c>
      <c r="Q119" s="15">
        <f>J120</f>
        <v>-0.012152431124670992</v>
      </c>
      <c r="R119" s="15">
        <f>K120</f>
        <v>0.016673047702639086</v>
      </c>
      <c r="S119" s="15">
        <f>L120</f>
        <v>-0.002503012582150695</v>
      </c>
      <c r="T119" s="15">
        <f>M120</f>
        <v>-0.028012414440538293</v>
      </c>
    </row>
    <row r="120" spans="1:20">
      <c r="A120" s="14">
        <v>44596</v>
      </c>
      <c r="B120" s="10">
        <v>923.9910888671876</v>
      </c>
      <c r="C120" s="10">
        <v>76.95368957519531</v>
      </c>
      <c r="D120" s="10">
        <v>495.2169494628906</v>
      </c>
      <c r="E120" s="10">
        <v>17516.30078125</v>
      </c>
      <c r="F120" s="10">
        <v>473.4500122070313</v>
      </c>
      <c r="I120" s="15">
        <f>LN(B120/B119)</f>
        <v>-0.003798263670167695</v>
      </c>
      <c r="J120" s="15">
        <f>LN(C120/C119)</f>
        <v>-0.012152431124670992</v>
      </c>
      <c r="K120" s="15">
        <f>LN(D120/D119)</f>
        <v>0.016673047702639086</v>
      </c>
      <c r="L120" s="15">
        <f>LN(E120/E119)</f>
        <v>-0.002503012582150695</v>
      </c>
      <c r="M120" s="15">
        <f>LN(F120/F119)</f>
        <v>-0.028012414440538293</v>
      </c>
      <c r="O120" s="14">
        <v>44599</v>
      </c>
      <c r="P120" s="15">
        <f>I121</f>
        <v>-0.03129689637403506</v>
      </c>
      <c r="Q120" s="15">
        <f>J121</f>
        <v>-0.00516127984827594</v>
      </c>
      <c r="R120" s="15">
        <f>K121</f>
        <v>-0.0279963623432462</v>
      </c>
      <c r="S120" s="15">
        <f>L121</f>
        <v>-0.017432174227495423</v>
      </c>
      <c r="T120" s="15">
        <f>M121</f>
        <v>-0.01115075508358826</v>
      </c>
    </row>
    <row r="121" spans="1:20">
      <c r="A121" s="14">
        <v>44599</v>
      </c>
      <c r="B121" s="10">
        <v>895.5208740234375</v>
      </c>
      <c r="C121" s="10">
        <v>76.55753326416016</v>
      </c>
      <c r="D121" s="10">
        <v>481.5449523925781</v>
      </c>
      <c r="E121" s="10">
        <v>17213.599609375</v>
      </c>
      <c r="F121" s="10">
        <v>468.2000122070313</v>
      </c>
      <c r="I121" s="15">
        <f>LN(B121/B120)</f>
        <v>-0.03129689637403506</v>
      </c>
      <c r="J121" s="15">
        <f>LN(C121/C120)</f>
        <v>-0.00516127984827594</v>
      </c>
      <c r="K121" s="15">
        <f>LN(D121/D120)</f>
        <v>-0.0279963623432462</v>
      </c>
      <c r="L121" s="15">
        <f>LN(E121/E120)</f>
        <v>-0.017432174227495423</v>
      </c>
      <c r="M121" s="15">
        <f>LN(F121/F120)</f>
        <v>-0.01115075508358826</v>
      </c>
      <c r="O121" s="14">
        <v>44600</v>
      </c>
      <c r="P121" s="15">
        <f>I122</f>
        <v>-0.00782856856212262</v>
      </c>
      <c r="Q121" s="15">
        <f>J122</f>
        <v>-0.03220794970906582</v>
      </c>
      <c r="R121" s="15">
        <f>K122</f>
        <v>-0.02869647680738202</v>
      </c>
      <c r="S121" s="15">
        <f>L122</f>
        <v>0.003082940476216172</v>
      </c>
      <c r="T121" s="15">
        <f>M122</f>
        <v>-0.008472380896253115</v>
      </c>
    </row>
    <row r="122" spans="1:20">
      <c r="A122" s="14">
        <v>44600</v>
      </c>
      <c r="B122" s="10">
        <v>888.53759765625</v>
      </c>
      <c r="C122" s="10">
        <v>74.13105773925781</v>
      </c>
      <c r="D122" s="10">
        <v>467.9226989746094</v>
      </c>
      <c r="E122" s="10">
        <v>17266.75</v>
      </c>
      <c r="F122" s="10">
        <v>464.25</v>
      </c>
      <c r="I122" s="15">
        <f>LN(B122/B121)</f>
        <v>-0.00782856856212262</v>
      </c>
      <c r="J122" s="15">
        <f>LN(C122/C121)</f>
        <v>-0.03220794970906582</v>
      </c>
      <c r="K122" s="15">
        <f>LN(D122/D121)</f>
        <v>-0.02869647680738202</v>
      </c>
      <c r="L122" s="15">
        <f>LN(E122/E121)</f>
        <v>0.003082940476216172</v>
      </c>
      <c r="M122" s="15">
        <f>LN(F122/F121)</f>
        <v>-0.008472380896253115</v>
      </c>
      <c r="O122" s="14">
        <v>44601</v>
      </c>
      <c r="P122" s="15">
        <f>I123</f>
        <v>0.030633483056057842</v>
      </c>
      <c r="Q122" s="15">
        <f>J123</f>
        <v>-0.009396029026624304</v>
      </c>
      <c r="R122" s="15">
        <f>K123</f>
        <v>0.034963214207617735</v>
      </c>
      <c r="S122" s="15">
        <f>L123</f>
        <v>0.0113475249468573</v>
      </c>
      <c r="T122" s="15">
        <f>M123</f>
        <v>0.005906057436082075</v>
      </c>
    </row>
    <row r="123" spans="1:20">
      <c r="A123" s="14">
        <v>44601</v>
      </c>
      <c r="B123" s="10">
        <v>916.1777954101562</v>
      </c>
      <c r="C123" s="10">
        <v>73.43778228759766</v>
      </c>
      <c r="D123" s="10">
        <v>484.5721435546875</v>
      </c>
      <c r="E123" s="10">
        <v>17463.80078125</v>
      </c>
      <c r="F123" s="10">
        <v>467</v>
      </c>
      <c r="I123" s="15">
        <f>LN(B123/B122)</f>
        <v>0.030633483056057842</v>
      </c>
      <c r="J123" s="15">
        <f>LN(C123/C122)</f>
        <v>-0.009396029026624304</v>
      </c>
      <c r="K123" s="15">
        <f>LN(D123/D122)</f>
        <v>0.034963214207617735</v>
      </c>
      <c r="L123" s="15">
        <f>LN(E123/E122)</f>
        <v>0.0113475249468573</v>
      </c>
      <c r="M123" s="15">
        <f>LN(F123/F122)</f>
        <v>0.005906057436082075</v>
      </c>
      <c r="O123" s="14">
        <v>44602</v>
      </c>
      <c r="P123" s="15">
        <f>I124</f>
        <v>0.0012251781809040651</v>
      </c>
      <c r="Q123" s="15">
        <f>J124</f>
        <v>-0.004731278064721934</v>
      </c>
      <c r="R123" s="15">
        <f>K124</f>
        <v>0.001483991981597189</v>
      </c>
      <c r="S123" s="15">
        <f>L124</f>
        <v>0.00810099920504003</v>
      </c>
      <c r="T123" s="15">
        <f>M124</f>
        <v>0.008953400574742629</v>
      </c>
    </row>
    <row r="124" spans="1:20">
      <c r="A124" s="14">
        <v>44602</v>
      </c>
      <c r="B124" s="10">
        <v>917.3009643554688</v>
      </c>
      <c r="C124" s="10">
        <v>73.09114837646484</v>
      </c>
      <c r="D124" s="10">
        <v>485.2917785644531</v>
      </c>
      <c r="E124" s="10">
        <v>17605.849609375</v>
      </c>
      <c r="F124" s="10">
        <v>471.2000122070313</v>
      </c>
      <c r="I124" s="15">
        <f>LN(B124/B123)</f>
        <v>0.0012251781809040651</v>
      </c>
      <c r="J124" s="15">
        <f>LN(C124/C123)</f>
        <v>-0.004731278064721934</v>
      </c>
      <c r="K124" s="15">
        <f>LN(D124/D123)</f>
        <v>0.001483991981597189</v>
      </c>
      <c r="L124" s="15">
        <f>LN(E124/E123)</f>
        <v>0.00810099920504003</v>
      </c>
      <c r="M124" s="15">
        <f>LN(F124/F123)</f>
        <v>0.008953400574742629</v>
      </c>
      <c r="O124" s="14">
        <v>44603</v>
      </c>
      <c r="P124" s="15">
        <f>I125</f>
        <v>-0.0292789775669881</v>
      </c>
      <c r="Q124" s="15">
        <f>J125</f>
        <v>-0.030263689129345687</v>
      </c>
      <c r="R124" s="15">
        <f>K125</f>
        <v>-0.008833304715459251</v>
      </c>
      <c r="S124" s="15">
        <f>L125</f>
        <v>-0.013213208134273142</v>
      </c>
      <c r="T124" s="15">
        <f>M125</f>
        <v>-0.0200424819896575</v>
      </c>
    </row>
    <row r="125" spans="1:20">
      <c r="A125" s="14">
        <v>44603</v>
      </c>
      <c r="B125" s="10">
        <v>890.8327026367188</v>
      </c>
      <c r="C125" s="10">
        <v>70.91227722167969</v>
      </c>
      <c r="D125" s="10">
        <v>481.02392578125</v>
      </c>
      <c r="E125" s="10">
        <v>17374.75</v>
      </c>
      <c r="F125" s="10">
        <v>461.8500061035156</v>
      </c>
      <c r="I125" s="15">
        <f>LN(B125/B124)</f>
        <v>-0.0292789775669881</v>
      </c>
      <c r="J125" s="15">
        <f>LN(C125/C124)</f>
        <v>-0.030263689129345687</v>
      </c>
      <c r="K125" s="15">
        <f>LN(D125/D124)</f>
        <v>-0.008833304715459251</v>
      </c>
      <c r="L125" s="15">
        <f>LN(E125/E124)</f>
        <v>-0.013213208134273142</v>
      </c>
      <c r="M125" s="15">
        <f>LN(F125/F124)</f>
        <v>-0.0200424819896575</v>
      </c>
      <c r="O125" s="14">
        <v>44606</v>
      </c>
      <c r="P125" s="15">
        <f>I126</f>
        <v>-0.051345139740911136</v>
      </c>
      <c r="Q125" s="15">
        <f>J126</f>
        <v>-0.07014086130695654</v>
      </c>
      <c r="R125" s="15">
        <f>K126</f>
        <v>-0.03988534917804393</v>
      </c>
      <c r="S125" s="15">
        <f>L126</f>
        <v>-0.031094690696753635</v>
      </c>
      <c r="T125" s="15">
        <f>M126</f>
        <v>-0.05439208196539749</v>
      </c>
    </row>
    <row r="126" spans="1:20">
      <c r="A126" s="14">
        <v>44606</v>
      </c>
      <c r="B126" s="10">
        <v>846.2471923828125</v>
      </c>
      <c r="C126" s="10">
        <v>66.10885620117188</v>
      </c>
      <c r="D126" s="10">
        <v>462.2156982421875</v>
      </c>
      <c r="E126" s="10">
        <v>16842.80078125</v>
      </c>
      <c r="F126" s="10">
        <v>437.3999938964844</v>
      </c>
      <c r="I126" s="15">
        <f>LN(B126/B125)</f>
        <v>-0.051345139740911136</v>
      </c>
      <c r="J126" s="15">
        <f>LN(C126/C125)</f>
        <v>-0.07014086130695654</v>
      </c>
      <c r="K126" s="15">
        <f>LN(D126/D125)</f>
        <v>-0.03988534917804393</v>
      </c>
      <c r="L126" s="15">
        <f>LN(E126/E125)</f>
        <v>-0.031094690696753635</v>
      </c>
      <c r="M126" s="15">
        <f>LN(F126/F125)</f>
        <v>-0.05439208196539749</v>
      </c>
      <c r="O126" s="14">
        <v>44607</v>
      </c>
      <c r="P126" s="15">
        <f>I127</f>
        <v>0.03915638435162941</v>
      </c>
      <c r="Q126" s="15">
        <f>J127</f>
        <v>0.0949696725375532</v>
      </c>
      <c r="R126" s="15">
        <f>K127</f>
        <v>0.01724357950216225</v>
      </c>
      <c r="S126" s="15">
        <f>L127</f>
        <v>0.02981034961442144</v>
      </c>
      <c r="T126" s="15">
        <f>M127</f>
        <v>0.02995386249262189</v>
      </c>
    </row>
    <row r="127" spans="1:20">
      <c r="A127" s="14">
        <v>44607</v>
      </c>
      <c r="B127" s="10">
        <v>880.0404663085938</v>
      </c>
      <c r="C127" s="10">
        <v>72.69498443603516</v>
      </c>
      <c r="D127" s="10">
        <v>470.2550659179687</v>
      </c>
      <c r="E127" s="10">
        <v>17352.44921875</v>
      </c>
      <c r="F127" s="10">
        <v>450.7000122070313</v>
      </c>
      <c r="I127" s="15">
        <f>LN(B127/B126)</f>
        <v>0.03915638435162941</v>
      </c>
      <c r="J127" s="15">
        <f>LN(C127/C126)</f>
        <v>0.0949696725375532</v>
      </c>
      <c r="K127" s="15">
        <f>LN(D127/D126)</f>
        <v>0.01724357950216225</v>
      </c>
      <c r="L127" s="15">
        <f>LN(E127/E126)</f>
        <v>0.02981034961442144</v>
      </c>
      <c r="M127" s="15">
        <f>LN(F127/F126)</f>
        <v>0.02995386249262189</v>
      </c>
      <c r="O127" s="14">
        <v>44608</v>
      </c>
      <c r="P127" s="15">
        <f>I128</f>
        <v>0.003711085173750249</v>
      </c>
      <c r="Q127" s="15">
        <f>J128</f>
        <v>0.0235623018689162</v>
      </c>
      <c r="R127" s="15">
        <f>K128</f>
        <v>0.02475447061876455</v>
      </c>
      <c r="S127" s="15">
        <f>L128</f>
        <v>-0.001744791023833279</v>
      </c>
      <c r="T127" s="15">
        <f>M128</f>
        <v>0.011252133248824849</v>
      </c>
    </row>
    <row r="128" spans="1:20">
      <c r="A128" s="14">
        <v>44608</v>
      </c>
      <c r="B128" s="10">
        <v>883.3124389648438</v>
      </c>
      <c r="C128" s="10">
        <v>74.42818450927734</v>
      </c>
      <c r="D128" s="10">
        <v>482.041259765625</v>
      </c>
      <c r="E128" s="10">
        <v>17322.19921875</v>
      </c>
      <c r="F128" s="10">
        <v>455.7999877929687</v>
      </c>
      <c r="I128" s="15">
        <f>LN(B128/B127)</f>
        <v>0.003711085173750249</v>
      </c>
      <c r="J128" s="15">
        <f>LN(C128/C127)</f>
        <v>0.0235623018689162</v>
      </c>
      <c r="K128" s="15">
        <f>LN(D128/D127)</f>
        <v>0.02475447061876455</v>
      </c>
      <c r="L128" s="15">
        <f>LN(E128/E127)</f>
        <v>-0.001744791023833279</v>
      </c>
      <c r="M128" s="15">
        <f>LN(F128/F127)</f>
        <v>0.011252133248824849</v>
      </c>
      <c r="O128" s="14">
        <v>44609</v>
      </c>
      <c r="P128" s="15">
        <f>I129</f>
        <v>-0.007157299138866899</v>
      </c>
      <c r="Q128" s="15">
        <f>J129</f>
        <v>0.0019940228949971842</v>
      </c>
      <c r="R128" s="15">
        <f>K129</f>
        <v>0.006362472406869585</v>
      </c>
      <c r="S128" s="15">
        <f>L129</f>
        <v>-0.001016531212017758</v>
      </c>
      <c r="T128" s="15">
        <f>M129</f>
        <v>-0.002416202352726152</v>
      </c>
    </row>
    <row r="129" spans="1:20">
      <c r="A129" s="14">
        <v>44609</v>
      </c>
      <c r="B129" s="10">
        <v>877.0128784179688</v>
      </c>
      <c r="C129" s="10">
        <v>74.57674407958984</v>
      </c>
      <c r="D129" s="10">
        <v>485.1180114746094</v>
      </c>
      <c r="E129" s="10">
        <v>17304.599609375</v>
      </c>
      <c r="F129" s="10">
        <v>454.7000122070313</v>
      </c>
      <c r="I129" s="15">
        <f>LN(B129/B128)</f>
        <v>-0.007157299138866899</v>
      </c>
      <c r="J129" s="15">
        <f>LN(C129/C128)</f>
        <v>0.0019940228949971842</v>
      </c>
      <c r="K129" s="15">
        <f>LN(D129/D128)</f>
        <v>0.006362472406869585</v>
      </c>
      <c r="L129" s="15">
        <f>LN(E129/E128)</f>
        <v>-0.001016531212017758</v>
      </c>
      <c r="M129" s="15">
        <f>LN(F129/F128)</f>
        <v>-0.002416202352726152</v>
      </c>
      <c r="O129" s="14">
        <v>44610</v>
      </c>
      <c r="P129" s="15">
        <f>I130</f>
        <v>-0.007377354973068168</v>
      </c>
      <c r="Q129" s="15">
        <f>J130</f>
        <v>-0.029651902960798174</v>
      </c>
      <c r="R129" s="15">
        <f>K130</f>
        <v>-0.004613949670825405</v>
      </c>
      <c r="S129" s="15">
        <f>L130</f>
        <v>-0.0016366742405402451</v>
      </c>
      <c r="T129" s="15">
        <f>M130</f>
        <v>-0.012614999935051332</v>
      </c>
    </row>
    <row r="130" spans="1:20">
      <c r="A130" s="14">
        <v>44610</v>
      </c>
      <c r="B130" s="10">
        <v>870.566650390625</v>
      </c>
      <c r="C130" s="10">
        <v>72.39786529541016</v>
      </c>
      <c r="D130" s="10">
        <v>482.8848571777344</v>
      </c>
      <c r="E130" s="10">
        <v>17276.30078125</v>
      </c>
      <c r="F130" s="10">
        <v>449</v>
      </c>
      <c r="I130" s="15">
        <f>LN(B130/B129)</f>
        <v>-0.007377354973068168</v>
      </c>
      <c r="J130" s="15">
        <f>LN(C130/C129)</f>
        <v>-0.029651902960798174</v>
      </c>
      <c r="K130" s="15">
        <f>LN(D130/D129)</f>
        <v>-0.004613949670825405</v>
      </c>
      <c r="L130" s="15">
        <f>LN(E130/E129)</f>
        <v>-0.0016366742405402451</v>
      </c>
      <c r="M130" s="15">
        <f>LN(F130/F129)</f>
        <v>-0.012614999935051332</v>
      </c>
      <c r="O130" s="14">
        <v>44613</v>
      </c>
      <c r="P130" s="15">
        <f>I131</f>
        <v>0.0013453408521781824</v>
      </c>
      <c r="Q130" s="15">
        <f>J131</f>
        <v>-0.01169592446345585</v>
      </c>
      <c r="R130" s="15">
        <f>K131</f>
        <v>0.0031808332231133235</v>
      </c>
      <c r="S130" s="15">
        <f>L131</f>
        <v>-0.004039705592356217</v>
      </c>
      <c r="T130" s="15">
        <f>M131</f>
        <v>-0.013678890593900353</v>
      </c>
    </row>
    <row r="131" spans="1:20">
      <c r="A131" s="14">
        <v>44613</v>
      </c>
      <c r="B131" s="10">
        <v>871.7386474609375</v>
      </c>
      <c r="C131" s="10">
        <v>71.55603790283203</v>
      </c>
      <c r="D131" s="10">
        <v>484.4232788085938</v>
      </c>
      <c r="E131" s="10">
        <v>17206.650390625</v>
      </c>
      <c r="F131" s="10">
        <v>442.8999938964844</v>
      </c>
      <c r="I131" s="15">
        <f>LN(B131/B130)</f>
        <v>0.0013453408521781824</v>
      </c>
      <c r="J131" s="15">
        <f>LN(C131/C130)</f>
        <v>-0.01169592446345585</v>
      </c>
      <c r="K131" s="15">
        <f>LN(D131/D130)</f>
        <v>0.0031808332231133235</v>
      </c>
      <c r="L131" s="15">
        <f>LN(E131/E130)</f>
        <v>-0.004039705592356217</v>
      </c>
      <c r="M131" s="15">
        <f>LN(F131/F130)</f>
        <v>-0.013678890593900353</v>
      </c>
      <c r="O131" s="14">
        <v>44614</v>
      </c>
      <c r="P131" s="15">
        <f>I132</f>
        <v>-0.0006164657908598641</v>
      </c>
      <c r="Q131" s="15">
        <f>J132</f>
        <v>-0.04024554851007058</v>
      </c>
      <c r="R131" s="15">
        <f>K132</f>
        <v>-0.017203973986476273</v>
      </c>
      <c r="S131" s="15">
        <f>L132</f>
        <v>-0.00667378632095619</v>
      </c>
      <c r="T131" s="15">
        <f>M132</f>
        <v>-0.02955878846074587</v>
      </c>
    </row>
    <row r="132" spans="1:20">
      <c r="A132" s="14">
        <v>44614</v>
      </c>
      <c r="B132" s="10">
        <v>871.201416015625</v>
      </c>
      <c r="C132" s="10">
        <v>68.73340606689453</v>
      </c>
      <c r="D132" s="10">
        <v>476.1605529785156</v>
      </c>
      <c r="E132" s="10">
        <v>17092.19921875</v>
      </c>
      <c r="F132" s="10">
        <v>430</v>
      </c>
      <c r="I132" s="15">
        <f>LN(B132/B131)</f>
        <v>-0.0006164657908598641</v>
      </c>
      <c r="J132" s="15">
        <f>LN(C132/C131)</f>
        <v>-0.04024554851007058</v>
      </c>
      <c r="K132" s="15">
        <f>LN(D132/D131)</f>
        <v>-0.017203973986476273</v>
      </c>
      <c r="L132" s="15">
        <f>LN(E132/E131)</f>
        <v>-0.00667378632095619</v>
      </c>
      <c r="M132" s="15">
        <f>LN(F132/F131)</f>
        <v>-0.02955878846074587</v>
      </c>
      <c r="O132" s="14">
        <v>44615</v>
      </c>
      <c r="P132" s="15">
        <f>I133</f>
        <v>0.04477849907466467</v>
      </c>
      <c r="Q132" s="15">
        <f>J133</f>
        <v>0.0</v>
      </c>
      <c r="R132" s="15">
        <f>K133</f>
        <v>-0.009424169870720962</v>
      </c>
      <c r="S132" s="15">
        <f>L133</f>
        <v>-0.0016951453630000418</v>
      </c>
      <c r="T132" s="15">
        <f>M133</f>
        <v>0.03102529875778049</v>
      </c>
    </row>
    <row r="133" spans="1:20">
      <c r="A133" s="14">
        <v>44615</v>
      </c>
      <c r="B133" s="10">
        <v>911.09912109375</v>
      </c>
      <c r="C133" s="10">
        <v>68.73340606689453</v>
      </c>
      <c r="D133" s="10">
        <v>471.6942138671875</v>
      </c>
      <c r="E133" s="10">
        <v>17063.25</v>
      </c>
      <c r="F133" s="10">
        <v>443.5499877929687</v>
      </c>
      <c r="I133" s="15">
        <f>LN(B133/B132)</f>
        <v>0.04477849907466467</v>
      </c>
      <c r="J133" s="15">
        <f>LN(C133/C132)</f>
        <v>0.0</v>
      </c>
      <c r="K133" s="15">
        <f>LN(D133/D132)</f>
        <v>-0.009424169870720962</v>
      </c>
      <c r="L133" s="15">
        <f>LN(E133/E132)</f>
        <v>-0.0016951453630000418</v>
      </c>
      <c r="M133" s="15">
        <f>LN(F133/F132)</f>
        <v>0.03102529875778049</v>
      </c>
      <c r="O133" s="14">
        <v>44616</v>
      </c>
      <c r="P133" s="15">
        <f>I134</f>
        <v>-0.08299977376480155</v>
      </c>
      <c r="Q133" s="15">
        <f>J134</f>
        <v>-0.06703928160079915</v>
      </c>
      <c r="R133" s="15">
        <f>K134</f>
        <v>-0.002791916088230643</v>
      </c>
      <c r="S133" s="15">
        <f>L134</f>
        <v>-0.04896026903082192</v>
      </c>
      <c r="T133" s="15">
        <f>M134</f>
        <v>-0.07439413838763892</v>
      </c>
    </row>
    <row r="134" spans="1:20">
      <c r="A134" s="14">
        <v>44616</v>
      </c>
      <c r="B134" s="10">
        <v>838.5313110351562</v>
      </c>
      <c r="C134" s="10">
        <v>64.27662658691406</v>
      </c>
      <c r="D134" s="10">
        <v>470.3791198730469</v>
      </c>
      <c r="E134" s="10">
        <v>16247.9501953125</v>
      </c>
      <c r="F134" s="10">
        <v>411.75</v>
      </c>
      <c r="I134" s="15">
        <f>LN(B134/B133)</f>
        <v>-0.08299977376480155</v>
      </c>
      <c r="J134" s="15">
        <f>LN(C134/C133)</f>
        <v>-0.06703928160079915</v>
      </c>
      <c r="K134" s="15">
        <f>LN(D134/D133)</f>
        <v>-0.002791916088230643</v>
      </c>
      <c r="L134" s="15">
        <f>LN(E134/E133)</f>
        <v>-0.04896026903082192</v>
      </c>
      <c r="M134" s="15">
        <f>LN(F134/F133)</f>
        <v>-0.07439413838763892</v>
      </c>
      <c r="O134" s="14">
        <v>44617</v>
      </c>
      <c r="P134" s="15">
        <f>I135</f>
        <v>0.04626053517220693</v>
      </c>
      <c r="Q134" s="15">
        <f>J135</f>
        <v>0.09194286631656924</v>
      </c>
      <c r="R134" s="15">
        <f>K135</f>
        <v>0.001791899919451005</v>
      </c>
      <c r="S134" s="15">
        <f>L135</f>
        <v>0.024947858168202962</v>
      </c>
      <c r="T134" s="15">
        <f>M135</f>
        <v>0.05205196220331921</v>
      </c>
    </row>
    <row r="135" spans="1:20">
      <c r="A135" s="14">
        <v>44617</v>
      </c>
      <c r="B135" s="10">
        <v>878.2334594726562</v>
      </c>
      <c r="C135" s="10">
        <v>70.46660614013672</v>
      </c>
      <c r="D135" s="10">
        <v>471.2227478027344</v>
      </c>
      <c r="E135" s="10">
        <v>16658.400390625</v>
      </c>
      <c r="F135" s="10">
        <v>433.75</v>
      </c>
      <c r="I135" s="15">
        <f>LN(B135/B134)</f>
        <v>0.04626053517220693</v>
      </c>
      <c r="J135" s="15">
        <f>LN(C135/C134)</f>
        <v>0.09194286631656924</v>
      </c>
      <c r="K135" s="15">
        <f>LN(D135/D134)</f>
        <v>0.001791899919451005</v>
      </c>
      <c r="L135" s="15">
        <f>LN(E135/E134)</f>
        <v>0.024947858168202962</v>
      </c>
      <c r="M135" s="15">
        <f>LN(F135/F134)</f>
        <v>0.05205196220331921</v>
      </c>
      <c r="O135" s="14">
        <v>44620</v>
      </c>
      <c r="P135" s="15">
        <f>I136</f>
        <v>0.008857673603482196</v>
      </c>
      <c r="Q135" s="15">
        <f>J136</f>
        <v>0.028404910509330496</v>
      </c>
      <c r="R135" s="15">
        <f>K136</f>
        <v>0.00995518674882663</v>
      </c>
      <c r="S135" s="15">
        <f>L136</f>
        <v>0.008101131335537446</v>
      </c>
      <c r="T135" s="15">
        <f>M136</f>
        <v>0.006090908711788816</v>
      </c>
    </row>
    <row r="136" spans="1:20">
      <c r="A136" s="14">
        <v>44620</v>
      </c>
      <c r="B136" s="10">
        <v>886.047119140625</v>
      </c>
      <c r="C136" s="10">
        <v>72.49690246582031</v>
      </c>
      <c r="D136" s="10">
        <v>475.9372863769531</v>
      </c>
      <c r="E136" s="10">
        <v>16793.900390625</v>
      </c>
      <c r="F136" s="10">
        <v>436.3999938964844</v>
      </c>
      <c r="I136" s="15">
        <f>LN(B136/B135)</f>
        <v>0.008857673603482196</v>
      </c>
      <c r="J136" s="15">
        <f>LN(C136/C135)</f>
        <v>0.028404910509330496</v>
      </c>
      <c r="K136" s="15">
        <f>LN(D136/D135)</f>
        <v>0.00995518674882663</v>
      </c>
      <c r="L136" s="15">
        <f>LN(E136/E135)</f>
        <v>0.008101131335537446</v>
      </c>
      <c r="M136" s="15">
        <f>LN(F136/F135)</f>
        <v>0.006090908711788816</v>
      </c>
      <c r="O136" s="14">
        <v>44622</v>
      </c>
      <c r="P136" s="15">
        <f>I137</f>
        <v>-0.017850255444373617</v>
      </c>
      <c r="Q136" s="15">
        <f>J137</f>
        <v>-0.0475612664596612</v>
      </c>
      <c r="R136" s="15">
        <f>K137</f>
        <v>-0.010113090267125884</v>
      </c>
      <c r="S136" s="15">
        <f>L137</f>
        <v>-0.011254730666993663</v>
      </c>
      <c r="T136" s="15">
        <f>M137</f>
        <v>-0.011871271627288378</v>
      </c>
    </row>
    <row r="137" spans="1:20">
      <c r="A137" s="14">
        <v>44622</v>
      </c>
      <c r="B137" s="10">
        <v>870.3712768554688</v>
      </c>
      <c r="C137" s="10">
        <v>69.12957000732422</v>
      </c>
      <c r="D137" s="10">
        <v>471.1483459472656</v>
      </c>
      <c r="E137" s="10">
        <v>16605.94921875</v>
      </c>
      <c r="F137" s="10">
        <v>431.25</v>
      </c>
      <c r="I137" s="15">
        <f>LN(B137/B136)</f>
        <v>-0.017850255444373617</v>
      </c>
      <c r="J137" s="15">
        <f>LN(C137/C136)</f>
        <v>-0.0475612664596612</v>
      </c>
      <c r="K137" s="15">
        <f>LN(D137/D136)</f>
        <v>-0.010113090267125884</v>
      </c>
      <c r="L137" s="15">
        <f>LN(E137/E136)</f>
        <v>-0.011254730666993663</v>
      </c>
      <c r="M137" s="15">
        <f>LN(F137/F136)</f>
        <v>-0.011871271627288378</v>
      </c>
      <c r="O137" s="14">
        <v>44623</v>
      </c>
      <c r="P137" s="15">
        <f>I138</f>
        <v>-0.02378980476184824</v>
      </c>
      <c r="Q137" s="15">
        <f>J138</f>
        <v>-0.007910956099550255</v>
      </c>
      <c r="R137" s="15">
        <f>K138</f>
        <v>0.003732228377245037</v>
      </c>
      <c r="S137" s="15">
        <f>L138</f>
        <v>-0.006518778370608893</v>
      </c>
      <c r="T137" s="15">
        <f>M138</f>
        <v>-0.005231049417552556</v>
      </c>
    </row>
    <row r="138" spans="1:20">
      <c r="A138" s="14">
        <v>44623</v>
      </c>
      <c r="B138" s="10">
        <v>849.90966796875</v>
      </c>
      <c r="C138" s="10">
        <v>68.58484649658203</v>
      </c>
      <c r="D138" s="10">
        <v>472.9100646972656</v>
      </c>
      <c r="E138" s="10">
        <v>16498.05078125</v>
      </c>
      <c r="F138" s="10">
        <v>429</v>
      </c>
      <c r="I138" s="15">
        <f>LN(B138/B137)</f>
        <v>-0.02378980476184824</v>
      </c>
      <c r="J138" s="15">
        <f>LN(C138/C137)</f>
        <v>-0.007910956099550255</v>
      </c>
      <c r="K138" s="15">
        <f>LN(D138/D137)</f>
        <v>0.003732228377245037</v>
      </c>
      <c r="L138" s="15">
        <f>LN(E138/E137)</f>
        <v>-0.006518778370608893</v>
      </c>
      <c r="M138" s="15">
        <f>LN(F138/F137)</f>
        <v>-0.005231049417552556</v>
      </c>
      <c r="O138" s="14">
        <v>44624</v>
      </c>
      <c r="P138" s="15">
        <f>I139</f>
        <v>-0.029031312504676998</v>
      </c>
      <c r="Q138" s="15">
        <f>J139</f>
        <v>-0.02116084700238869</v>
      </c>
      <c r="R138" s="15">
        <f>K139</f>
        <v>-0.014640491411021117</v>
      </c>
      <c r="S138" s="15">
        <f>L139</f>
        <v>-0.015435549523985674</v>
      </c>
      <c r="T138" s="15">
        <f>M139</f>
        <v>-0.029690483234550508</v>
      </c>
    </row>
    <row r="139" spans="1:20">
      <c r="A139" s="14">
        <v>44624</v>
      </c>
      <c r="B139" s="10">
        <v>825.5903930664062</v>
      </c>
      <c r="C139" s="10">
        <v>67.14878082275391</v>
      </c>
      <c r="D139" s="10">
        <v>466.036865234375</v>
      </c>
      <c r="E139" s="10">
        <v>16245.349609375</v>
      </c>
      <c r="F139" s="10">
        <v>416.4500122070313</v>
      </c>
      <c r="I139" s="15">
        <f>LN(B139/B138)</f>
        <v>-0.029031312504676998</v>
      </c>
      <c r="J139" s="15">
        <f>LN(C139/C138)</f>
        <v>-0.02116084700238869</v>
      </c>
      <c r="K139" s="15">
        <f>LN(D139/D138)</f>
        <v>-0.014640491411021117</v>
      </c>
      <c r="L139" s="15">
        <f>LN(E139/E138)</f>
        <v>-0.015435549523985674</v>
      </c>
      <c r="M139" s="15">
        <f>LN(F139/F138)</f>
        <v>-0.029690483234550508</v>
      </c>
      <c r="O139" s="14">
        <v>44627</v>
      </c>
      <c r="P139" s="15">
        <f>I140</f>
        <v>-0.0583978724504447</v>
      </c>
      <c r="Q139" s="15">
        <f>J140</f>
        <v>-0.04294466516106956</v>
      </c>
      <c r="R139" s="15">
        <f>K140</f>
        <v>-0.0413612274698227</v>
      </c>
      <c r="S139" s="15">
        <f>L140</f>
        <v>-0.023807855961420165</v>
      </c>
      <c r="T139" s="15">
        <f>M140</f>
        <v>-0.05630426156792026</v>
      </c>
    </row>
    <row r="140" spans="1:20">
      <c r="A140" s="14">
        <v>44627</v>
      </c>
      <c r="B140" s="10">
        <v>778.7584228515625</v>
      </c>
      <c r="C140" s="10">
        <v>64.32614135742188</v>
      </c>
      <c r="D140" s="10">
        <v>447.1542053222656</v>
      </c>
      <c r="E140" s="10">
        <v>15863.150390625</v>
      </c>
      <c r="F140" s="10">
        <v>393.6499938964844</v>
      </c>
      <c r="I140" s="15">
        <f>LN(B140/B139)</f>
        <v>-0.0583978724504447</v>
      </c>
      <c r="J140" s="15">
        <f>LN(C140/C139)</f>
        <v>-0.04294466516106956</v>
      </c>
      <c r="K140" s="15">
        <f>LN(D140/D139)</f>
        <v>-0.0413612274698227</v>
      </c>
      <c r="L140" s="15">
        <f>LN(E140/E139)</f>
        <v>-0.023807855961420165</v>
      </c>
      <c r="M140" s="15">
        <f>LN(F140/F139)</f>
        <v>-0.05630426156792026</v>
      </c>
      <c r="O140" s="14">
        <v>44628</v>
      </c>
      <c r="P140" s="15">
        <f>I141</f>
        <v>0.04307947097057509</v>
      </c>
      <c r="Q140" s="15">
        <f>J141</f>
        <v>0.02958140830720869</v>
      </c>
      <c r="R140" s="15">
        <f>K141</f>
        <v>-0.006904658620998976</v>
      </c>
      <c r="S140" s="15">
        <f>L141</f>
        <v>0.009430172336242727</v>
      </c>
      <c r="T140" s="15">
        <f>M141</f>
        <v>0.031998776100325955</v>
      </c>
    </row>
    <row r="141" spans="1:20">
      <c r="A141" s="14">
        <v>44628</v>
      </c>
      <c r="B141" s="10">
        <v>813.0400390625</v>
      </c>
      <c r="C141" s="10">
        <v>66.25742340087891</v>
      </c>
      <c r="D141" s="10">
        <v>444.077392578125</v>
      </c>
      <c r="E141" s="10">
        <v>16013.4501953125</v>
      </c>
      <c r="F141" s="10">
        <v>406.4500122070313</v>
      </c>
      <c r="I141" s="15">
        <f>LN(B141/B140)</f>
        <v>0.04307947097057509</v>
      </c>
      <c r="J141" s="15">
        <f>LN(C141/C140)</f>
        <v>0.02958140830720869</v>
      </c>
      <c r="K141" s="15">
        <f>LN(D141/D140)</f>
        <v>-0.006904658620998976</v>
      </c>
      <c r="L141" s="15">
        <f>LN(E141/E140)</f>
        <v>0.009430172336242727</v>
      </c>
      <c r="M141" s="15">
        <f>LN(F141/F140)</f>
        <v>0.031998776100325955</v>
      </c>
      <c r="O141" s="14">
        <v>44629</v>
      </c>
      <c r="P141" s="15">
        <f>I142</f>
        <v>0.05047879163036493</v>
      </c>
      <c r="Q141" s="15">
        <f>J142</f>
        <v>0.03524601482990133</v>
      </c>
      <c r="R141" s="15">
        <f>K142</f>
        <v>0.0044600850495171325</v>
      </c>
      <c r="S141" s="15">
        <f>L142</f>
        <v>0.020514423015661167</v>
      </c>
      <c r="T141" s="15">
        <f>M142</f>
        <v>0.030051924946025974</v>
      </c>
    </row>
    <row r="142" spans="1:20">
      <c r="A142" s="14">
        <v>44629</v>
      </c>
      <c r="B142" s="10">
        <v>855.1348266601562</v>
      </c>
      <c r="C142" s="10">
        <v>68.63437652587891</v>
      </c>
      <c r="D142" s="10">
        <v>446.0624389648438</v>
      </c>
      <c r="E142" s="10">
        <v>16345.349609375</v>
      </c>
      <c r="F142" s="10">
        <v>418.8500061035156</v>
      </c>
      <c r="I142" s="15">
        <f>LN(B142/B141)</f>
        <v>0.05047879163036493</v>
      </c>
      <c r="J142" s="15">
        <f>LN(C142/C141)</f>
        <v>0.03524601482990133</v>
      </c>
      <c r="K142" s="15">
        <f>LN(D142/D141)</f>
        <v>0.0044600850495171325</v>
      </c>
      <c r="L142" s="15">
        <f>LN(E142/E141)</f>
        <v>0.020514423015661167</v>
      </c>
      <c r="M142" s="15">
        <f>LN(F142/F141)</f>
        <v>0.030051924946025974</v>
      </c>
      <c r="O142" s="14">
        <v>44630</v>
      </c>
      <c r="P142" s="15">
        <f>I143</f>
        <v>0.0322538402636761</v>
      </c>
      <c r="Q142" s="15">
        <f>J143</f>
        <v>-0.009423719171032153</v>
      </c>
      <c r="R142" s="15">
        <f>K143</f>
        <v>0.03277730050387152</v>
      </c>
      <c r="S142" s="15">
        <f>L143</f>
        <v>0.015152013456311012</v>
      </c>
      <c r="T142" s="15">
        <f>M143</f>
        <v>0.022077529491463667</v>
      </c>
    </row>
    <row r="143" spans="1:20">
      <c r="A143" s="14">
        <v>44630</v>
      </c>
      <c r="B143" s="10">
        <v>883.1658325195312</v>
      </c>
      <c r="C143" s="10">
        <v>67.99062347412109</v>
      </c>
      <c r="D143" s="10">
        <v>460.9254150390625</v>
      </c>
      <c r="E143" s="10">
        <v>16594.900390625</v>
      </c>
      <c r="F143" s="10">
        <v>428.2000122070313</v>
      </c>
      <c r="I143" s="15">
        <f>LN(B143/B142)</f>
        <v>0.0322538402636761</v>
      </c>
      <c r="J143" s="15">
        <f>LN(C143/C142)</f>
        <v>-0.009423719171032153</v>
      </c>
      <c r="K143" s="15">
        <f>LN(D143/D142)</f>
        <v>0.03277730050387152</v>
      </c>
      <c r="L143" s="15">
        <f>LN(E143/E142)</f>
        <v>0.015152013456311012</v>
      </c>
      <c r="M143" s="15">
        <f>LN(F143/F142)</f>
        <v>0.022077529491463667</v>
      </c>
      <c r="O143" s="14">
        <v>44631</v>
      </c>
      <c r="P143" s="15">
        <f>I144</f>
        <v>0.013401766628893405</v>
      </c>
      <c r="Q143" s="15">
        <f>J144</f>
        <v>-0.014673883921181756</v>
      </c>
      <c r="R143" s="15">
        <f>K144</f>
        <v>0.027451374841835637</v>
      </c>
      <c r="S143" s="15">
        <f>L144</f>
        <v>0.0021398626113986923</v>
      </c>
      <c r="T143" s="15">
        <f>M144</f>
        <v>0.004659840545514574</v>
      </c>
    </row>
    <row r="144" spans="1:20">
      <c r="A144" s="14">
        <v>44631</v>
      </c>
      <c r="B144" s="10">
        <v>895.0814819335938</v>
      </c>
      <c r="C144" s="10">
        <v>67.00022125244141</v>
      </c>
      <c r="D144" s="10">
        <v>473.7537231445313</v>
      </c>
      <c r="E144" s="10">
        <v>16630.44921875</v>
      </c>
      <c r="F144" s="10">
        <v>430.2000122070313</v>
      </c>
      <c r="I144" s="15">
        <f>LN(B144/B143)</f>
        <v>0.013401766628893405</v>
      </c>
      <c r="J144" s="15">
        <f>LN(C144/C143)</f>
        <v>-0.014673883921181756</v>
      </c>
      <c r="K144" s="15">
        <f>LN(D144/D143)</f>
        <v>0.027451374841835637</v>
      </c>
      <c r="L144" s="15">
        <f>LN(E144/E143)</f>
        <v>0.0021398626113986923</v>
      </c>
      <c r="M144" s="15">
        <f>LN(F144/F143)</f>
        <v>0.004659840545514574</v>
      </c>
      <c r="O144" s="14">
        <v>44634</v>
      </c>
      <c r="P144" s="15">
        <f>I145</f>
        <v>-0.02044889474611493</v>
      </c>
      <c r="Q144" s="15">
        <f>J145</f>
        <v>-0.0059304253692228776</v>
      </c>
      <c r="R144" s="15">
        <f>K145</f>
        <v>-0.004830197475706741</v>
      </c>
      <c r="S144" s="15">
        <f>L145</f>
        <v>0.014378694372337426</v>
      </c>
      <c r="T144" s="15">
        <f>M145</f>
        <v>-0.016996247597211637</v>
      </c>
    </row>
    <row r="145" spans="1:20">
      <c r="A145" s="14">
        <v>44634</v>
      </c>
      <c r="B145" s="10">
        <v>876.9639282226562</v>
      </c>
      <c r="C145" s="10">
        <v>66.60405731201172</v>
      </c>
      <c r="D145" s="10">
        <v>471.4709167480469</v>
      </c>
      <c r="E145" s="10">
        <v>16871.30078125</v>
      </c>
      <c r="F145" s="10">
        <v>422.9500122070313</v>
      </c>
      <c r="I145" s="15">
        <f>LN(B145/B144)</f>
        <v>-0.02044889474611493</v>
      </c>
      <c r="J145" s="15">
        <f>LN(C145/C144)</f>
        <v>-0.0059304253692228776</v>
      </c>
      <c r="K145" s="15">
        <f>LN(D145/D144)</f>
        <v>-0.004830197475706741</v>
      </c>
      <c r="L145" s="15">
        <f>LN(E145/E144)</f>
        <v>0.014378694372337426</v>
      </c>
      <c r="M145" s="15">
        <f>LN(F145/F144)</f>
        <v>-0.016996247597211637</v>
      </c>
      <c r="O145" s="14">
        <v>44635</v>
      </c>
      <c r="P145" s="15">
        <f>I146</f>
        <v>-0.009230553585724463</v>
      </c>
      <c r="Q145" s="15">
        <f>J146</f>
        <v>-0.02865960461676767</v>
      </c>
      <c r="R145" s="15">
        <f>K146</f>
        <v>0.0057201668233605</v>
      </c>
      <c r="S145" s="15">
        <f>L146</f>
        <v>-0.012423307208470636</v>
      </c>
      <c r="T145" s="15">
        <f>M146</f>
        <v>-0.0029598079119578504</v>
      </c>
    </row>
    <row r="146" spans="1:20">
      <c r="A146" s="14">
        <v>44635</v>
      </c>
      <c r="B146" s="10">
        <v>868.9063110351562</v>
      </c>
      <c r="C146" s="10">
        <v>64.72230529785156</v>
      </c>
      <c r="D146" s="10">
        <v>474.175537109375</v>
      </c>
      <c r="E146" s="10">
        <v>16663</v>
      </c>
      <c r="F146" s="10">
        <v>421.7000122070313</v>
      </c>
      <c r="I146" s="15">
        <f>LN(B146/B145)</f>
        <v>-0.009230553585724463</v>
      </c>
      <c r="J146" s="15">
        <f>LN(C146/C145)</f>
        <v>-0.02865960461676767</v>
      </c>
      <c r="K146" s="15">
        <f>LN(D146/D145)</f>
        <v>0.0057201668233605</v>
      </c>
      <c r="L146" s="15">
        <f>LN(E146/E145)</f>
        <v>-0.012423307208470636</v>
      </c>
      <c r="M146" s="15">
        <f>LN(F146/F145)</f>
        <v>-0.0029598079119578504</v>
      </c>
      <c r="O146" s="14">
        <v>44636</v>
      </c>
      <c r="P146" s="15">
        <f>I147</f>
        <v>0.040639746201430536</v>
      </c>
      <c r="Q146" s="15">
        <f>J147</f>
        <v>0.018947218805474474</v>
      </c>
      <c r="R146" s="15">
        <f>K147</f>
        <v>0.03678240402852919</v>
      </c>
      <c r="S146" s="15">
        <f>L147</f>
        <v>0.018571576221107083</v>
      </c>
      <c r="T146" s="15">
        <f>M147</f>
        <v>0.035753387396275337</v>
      </c>
    </row>
    <row r="147" spans="1:20">
      <c r="A147" s="14">
        <v>44636</v>
      </c>
      <c r="B147" s="10">
        <v>904.94580078125</v>
      </c>
      <c r="C147" s="10">
        <v>65.96030426025391</v>
      </c>
      <c r="D147" s="10">
        <v>491.9415893554687</v>
      </c>
      <c r="E147" s="10">
        <v>16975.349609375</v>
      </c>
      <c r="F147" s="10">
        <v>437.0499877929687</v>
      </c>
      <c r="I147" s="15">
        <f>LN(B147/B146)</f>
        <v>0.040639746201430536</v>
      </c>
      <c r="J147" s="15">
        <f>LN(C147/C146)</f>
        <v>0.018947218805474474</v>
      </c>
      <c r="K147" s="15">
        <f>LN(D147/D146)</f>
        <v>0.03678240402852919</v>
      </c>
      <c r="L147" s="15">
        <f>LN(E147/E146)</f>
        <v>0.018571576221107083</v>
      </c>
      <c r="M147" s="15">
        <f>LN(F147/F146)</f>
        <v>0.035753387396275337</v>
      </c>
      <c r="O147" s="14">
        <v>44637</v>
      </c>
      <c r="P147" s="15">
        <f>I148</f>
        <v>-0.014841597526811664</v>
      </c>
      <c r="Q147" s="15">
        <f>J148</f>
        <v>-0.0030075663550378448</v>
      </c>
      <c r="R147" s="15">
        <f>K148</f>
        <v>0.016656656704417287</v>
      </c>
      <c r="S147" s="15">
        <f>L148</f>
        <v>0.01819544269851146</v>
      </c>
      <c r="T147" s="15">
        <f>M148</f>
        <v>0.030865284987444543</v>
      </c>
    </row>
    <row r="148" spans="1:20">
      <c r="A148" s="14">
        <v>44637</v>
      </c>
      <c r="B148" s="10">
        <v>891.6141357421875</v>
      </c>
      <c r="C148" s="10">
        <v>65.76222229003906</v>
      </c>
      <c r="D148" s="10">
        <v>500.2043151855469</v>
      </c>
      <c r="E148" s="10">
        <v>17287.05078125</v>
      </c>
      <c r="F148" s="10">
        <v>450.75</v>
      </c>
      <c r="I148" s="15">
        <f>LN(B148/B147)</f>
        <v>-0.014841597526811664</v>
      </c>
      <c r="J148" s="15">
        <f>LN(C148/C147)</f>
        <v>-0.0030075663550378448</v>
      </c>
      <c r="K148" s="15">
        <f>LN(D148/D147)</f>
        <v>0.016656656704417287</v>
      </c>
      <c r="L148" s="15">
        <f>LN(E148/E147)</f>
        <v>0.01819544269851146</v>
      </c>
      <c r="M148" s="15">
        <f>LN(F148/F147)</f>
        <v>0.030865284987444543</v>
      </c>
      <c r="O148" s="14">
        <v>44641</v>
      </c>
      <c r="P148" s="15">
        <f>I149</f>
        <v>-0.0021930895862902347</v>
      </c>
      <c r="Q148" s="15">
        <f>J149</f>
        <v>-0.01747101045738587</v>
      </c>
      <c r="R148" s="15">
        <f>K149</f>
        <v>0.0254677446252446</v>
      </c>
      <c r="S148" s="15">
        <f>L149</f>
        <v>-0.009850560325581039</v>
      </c>
      <c r="T148" s="15">
        <f>M149</f>
        <v>-0.007012872009562723</v>
      </c>
    </row>
    <row r="149" spans="1:20">
      <c r="A149" s="14">
        <v>44641</v>
      </c>
      <c r="B149" s="10">
        <v>889.660888671875</v>
      </c>
      <c r="C149" s="10">
        <v>64.62326812744141</v>
      </c>
      <c r="D149" s="10">
        <v>513.1069946289062</v>
      </c>
      <c r="E149" s="10">
        <v>17117.599609375</v>
      </c>
      <c r="F149" s="10">
        <v>447.6000061035156</v>
      </c>
      <c r="I149" s="15">
        <f>LN(B149/B148)</f>
        <v>-0.0021930895862902347</v>
      </c>
      <c r="J149" s="15">
        <f>LN(C149/C148)</f>
        <v>-0.01747101045738587</v>
      </c>
      <c r="K149" s="15">
        <f>LN(D149/D148)</f>
        <v>0.0254677446252446</v>
      </c>
      <c r="L149" s="15">
        <f>LN(E149/E148)</f>
        <v>-0.009850560325581039</v>
      </c>
      <c r="M149" s="15">
        <f>LN(F149/F148)</f>
        <v>-0.007012872009562723</v>
      </c>
      <c r="O149" s="14">
        <v>44642</v>
      </c>
      <c r="P149" s="15">
        <f>I150</f>
        <v>0.0029049017214893475</v>
      </c>
      <c r="Q149" s="15">
        <f>J150</f>
        <v>0.010670817833860093</v>
      </c>
      <c r="R149" s="15">
        <f>K150</f>
        <v>-0.021853084456434056</v>
      </c>
      <c r="S149" s="15">
        <f>L150</f>
        <v>0.011494902983443505</v>
      </c>
      <c r="T149" s="15">
        <f>M150</f>
        <v>-0.010104498093842038</v>
      </c>
    </row>
    <row r="150" spans="1:20">
      <c r="A150" s="14">
        <v>44642</v>
      </c>
      <c r="B150" s="10">
        <v>892.2490234375</v>
      </c>
      <c r="C150" s="10">
        <v>65.31654357910156</v>
      </c>
      <c r="D150" s="10">
        <v>502.0156555175781</v>
      </c>
      <c r="E150" s="10">
        <v>17315.5</v>
      </c>
      <c r="F150" s="10">
        <v>443.1000061035156</v>
      </c>
      <c r="I150" s="15">
        <f>LN(B150/B149)</f>
        <v>0.0029049017214893475</v>
      </c>
      <c r="J150" s="15">
        <f>LN(C150/C149)</f>
        <v>0.010670817833860093</v>
      </c>
      <c r="K150" s="15">
        <f>LN(D150/D149)</f>
        <v>-0.021853084456434056</v>
      </c>
      <c r="L150" s="15">
        <f>LN(E150/E149)</f>
        <v>0.011494902983443505</v>
      </c>
      <c r="M150" s="15">
        <f>LN(F150/F149)</f>
        <v>-0.010104498093842038</v>
      </c>
      <c r="O150" s="14">
        <v>44643</v>
      </c>
      <c r="P150" s="15">
        <f>I151</f>
        <v>0.010128571432429411</v>
      </c>
      <c r="Q150" s="15">
        <f>J151</f>
        <v>-0.008374482639939975</v>
      </c>
      <c r="R150" s="15">
        <f>K151</f>
        <v>0.005569611415413317</v>
      </c>
      <c r="S150" s="15">
        <f>L151</f>
        <v>-0.004042093720190609</v>
      </c>
      <c r="T150" s="15">
        <f>M151</f>
        <v>-0.0035042557110752932</v>
      </c>
    </row>
    <row r="151" spans="1:20">
      <c r="A151" s="14">
        <v>44643</v>
      </c>
      <c r="B151" s="10">
        <v>901.3321533203124</v>
      </c>
      <c r="C151" s="10">
        <v>64.77183532714844</v>
      </c>
      <c r="D151" s="10">
        <v>504.8194885253906</v>
      </c>
      <c r="E151" s="10">
        <v>17245.650390625</v>
      </c>
      <c r="F151" s="10">
        <v>441.5499877929687</v>
      </c>
      <c r="I151" s="15">
        <f>LN(B151/B150)</f>
        <v>0.010128571432429411</v>
      </c>
      <c r="J151" s="15">
        <f>LN(C151/C150)</f>
        <v>-0.008374482639939975</v>
      </c>
      <c r="K151" s="15">
        <f>LN(D151/D150)</f>
        <v>0.005569611415413317</v>
      </c>
      <c r="L151" s="15">
        <f>LN(E151/E150)</f>
        <v>-0.004042093720190609</v>
      </c>
      <c r="M151" s="15">
        <f>LN(F151/F150)</f>
        <v>-0.0035042557110752932</v>
      </c>
      <c r="O151" s="14">
        <v>44644</v>
      </c>
      <c r="P151" s="15">
        <f>I152</f>
        <v>0.008362809190556658</v>
      </c>
      <c r="Q151" s="15">
        <f>J152</f>
        <v>-0.009988737795628932</v>
      </c>
      <c r="R151" s="15">
        <f>K152</f>
        <v>0.010949975035952932</v>
      </c>
      <c r="S151" s="15">
        <f>L152</f>
        <v>-0.0013287761390126268</v>
      </c>
      <c r="T151" s="15">
        <f>M152</f>
        <v>0.004970104520678804</v>
      </c>
    </row>
    <row r="152" spans="1:20">
      <c r="A152" s="14">
        <v>44644</v>
      </c>
      <c r="B152" s="10">
        <v>908.9014282226562</v>
      </c>
      <c r="C152" s="10">
        <v>64.12806701660156</v>
      </c>
      <c r="D152" s="10">
        <v>510.3776245117187</v>
      </c>
      <c r="E152" s="10">
        <v>17222.75</v>
      </c>
      <c r="F152" s="10">
        <v>443.75</v>
      </c>
      <c r="I152" s="15">
        <f>LN(B152/B151)</f>
        <v>0.008362809190556658</v>
      </c>
      <c r="J152" s="15">
        <f>LN(C152/C151)</f>
        <v>-0.009988737795628932</v>
      </c>
      <c r="K152" s="15">
        <f>LN(D152/D151)</f>
        <v>0.010949975035952932</v>
      </c>
      <c r="L152" s="15">
        <f>LN(E152/E151)</f>
        <v>-0.0013287761390126268</v>
      </c>
      <c r="M152" s="15">
        <f>LN(F152/F151)</f>
        <v>0.004970104520678804</v>
      </c>
      <c r="O152" s="14">
        <v>44645</v>
      </c>
      <c r="P152" s="15">
        <f>I153</f>
        <v>-0.01053249902697635</v>
      </c>
      <c r="Q152" s="15">
        <f>J153</f>
        <v>-0.010869537012791228</v>
      </c>
      <c r="R152" s="15">
        <f>K153</f>
        <v>0.009965336103227005</v>
      </c>
      <c r="S152" s="15">
        <f>L153</f>
        <v>-0.004058098847076208</v>
      </c>
      <c r="T152" s="15">
        <f>M153</f>
        <v>0.012095553296553721</v>
      </c>
    </row>
    <row r="153" spans="1:20">
      <c r="A153" s="14">
        <v>44645</v>
      </c>
      <c r="B153" s="10">
        <v>899.378662109375</v>
      </c>
      <c r="C153" s="10">
        <v>63.43479919433594</v>
      </c>
      <c r="D153" s="10">
        <v>515.4891357421875</v>
      </c>
      <c r="E153" s="10">
        <v>17153</v>
      </c>
      <c r="F153" s="10">
        <v>449.1499938964844</v>
      </c>
      <c r="I153" s="15">
        <f>LN(B153/B152)</f>
        <v>-0.01053249902697635</v>
      </c>
      <c r="J153" s="15">
        <f>LN(C153/C152)</f>
        <v>-0.010869537012791228</v>
      </c>
      <c r="K153" s="15">
        <f>LN(D153/D152)</f>
        <v>0.009965336103227005</v>
      </c>
      <c r="L153" s="15">
        <f>LN(E153/E152)</f>
        <v>-0.004058098847076208</v>
      </c>
      <c r="M153" s="15">
        <f>LN(F153/F152)</f>
        <v>0.012095553296553721</v>
      </c>
      <c r="O153" s="14">
        <v>44648</v>
      </c>
      <c r="P153" s="15">
        <f>I154</f>
        <v>0.024246300959140977</v>
      </c>
      <c r="Q153" s="15">
        <f>J154</f>
        <v>-0.029309134270188948</v>
      </c>
      <c r="R153" s="15">
        <f>K154</f>
        <v>-0.00033703004848323543</v>
      </c>
      <c r="S153" s="15">
        <f>L154</f>
        <v>0.004014550846285441</v>
      </c>
      <c r="T153" s="15">
        <f>M154</f>
        <v>0.0041104454164989585</v>
      </c>
    </row>
    <row r="154" spans="1:20">
      <c r="A154" s="14">
        <v>44648</v>
      </c>
      <c r="B154" s="10">
        <v>921.4517822265624</v>
      </c>
      <c r="C154" s="10">
        <v>61.60256195068359</v>
      </c>
      <c r="D154" s="10">
        <v>515.3154296875</v>
      </c>
      <c r="E154" s="10">
        <v>17222</v>
      </c>
      <c r="F154" s="10">
        <v>451</v>
      </c>
      <c r="I154" s="15">
        <f>LN(B154/B153)</f>
        <v>0.024246300959140977</v>
      </c>
      <c r="J154" s="15">
        <f>LN(C154/C153)</f>
        <v>-0.029309134270188948</v>
      </c>
      <c r="K154" s="15">
        <f>LN(D154/D153)</f>
        <v>-0.00033703004848323543</v>
      </c>
      <c r="L154" s="15">
        <f>LN(E154/E153)</f>
        <v>0.004014550846285441</v>
      </c>
      <c r="M154" s="15">
        <f>LN(F154/F153)</f>
        <v>0.0041104454164989585</v>
      </c>
      <c r="O154" s="14">
        <v>44649</v>
      </c>
      <c r="P154" s="15">
        <f>I155</f>
        <v>-0.002068897890860826</v>
      </c>
      <c r="Q154" s="15">
        <f>J155</f>
        <v>0.022258439833508607</v>
      </c>
      <c r="R154" s="15">
        <f>K155</f>
        <v>0.018793668021599402</v>
      </c>
      <c r="S154" s="15">
        <f>L155</f>
        <v>0.00598026976240216</v>
      </c>
      <c r="T154" s="15">
        <f>M155</f>
        <v>0.009708800724423237</v>
      </c>
    </row>
    <row r="155" spans="1:20">
      <c r="A155" s="14">
        <v>44649</v>
      </c>
      <c r="B155" s="10">
        <v>919.54736328125</v>
      </c>
      <c r="C155" s="10">
        <v>62.98911285400391</v>
      </c>
      <c r="D155" s="10">
        <v>525.0916748046875</v>
      </c>
      <c r="E155" s="10">
        <v>17325.30078125</v>
      </c>
      <c r="F155" s="10">
        <v>455.3999938964844</v>
      </c>
      <c r="I155" s="15">
        <f>LN(B155/B154)</f>
        <v>-0.002068897890860826</v>
      </c>
      <c r="J155" s="15">
        <f>LN(C155/C154)</f>
        <v>0.022258439833508607</v>
      </c>
      <c r="K155" s="15">
        <f>LN(D155/D154)</f>
        <v>0.018793668021599402</v>
      </c>
      <c r="L155" s="15">
        <f>LN(E155/E154)</f>
        <v>0.00598026976240216</v>
      </c>
      <c r="M155" s="15">
        <f>LN(F155/F154)</f>
        <v>0.009708800724423237</v>
      </c>
      <c r="O155" s="14">
        <v>44650</v>
      </c>
      <c r="P155" s="15">
        <f>I156</f>
        <v>-0.006553612362466426</v>
      </c>
      <c r="Q155" s="15">
        <f>J156</f>
        <v>0.00783095159082164</v>
      </c>
      <c r="R155" s="15">
        <f>K156</f>
        <v>0.014402871788834634</v>
      </c>
      <c r="S155" s="15">
        <f>L156</f>
        <v>0.009932969892759297</v>
      </c>
      <c r="T155" s="15">
        <f>M156</f>
        <v>0.015146052997618053</v>
      </c>
    </row>
    <row r="156" spans="1:20">
      <c r="A156" s="14">
        <v>44650</v>
      </c>
      <c r="B156" s="10">
        <v>913.5407104492188</v>
      </c>
      <c r="C156" s="10">
        <v>63.48431396484375</v>
      </c>
      <c r="D156" s="10">
        <v>532.709228515625</v>
      </c>
      <c r="E156" s="10">
        <v>17498.25</v>
      </c>
      <c r="F156" s="10">
        <v>462.3500061035156</v>
      </c>
      <c r="I156" s="15">
        <f>LN(B156/B155)</f>
        <v>-0.006553612362466426</v>
      </c>
      <c r="J156" s="15">
        <f>LN(C156/C155)</f>
        <v>0.00783095159082164</v>
      </c>
      <c r="K156" s="15">
        <f>LN(D156/D155)</f>
        <v>0.014402871788834634</v>
      </c>
      <c r="L156" s="15">
        <f>LN(E156/E155)</f>
        <v>0.009932969892759297</v>
      </c>
      <c r="M156" s="15">
        <f>LN(F156/F155)</f>
        <v>0.015146052997618053</v>
      </c>
      <c r="O156" s="14">
        <v>44651</v>
      </c>
      <c r="P156" s="15">
        <f>I157</f>
        <v>0.004799503569602998</v>
      </c>
      <c r="Q156" s="15">
        <f>J157</f>
        <v>0.02769402196092851</v>
      </c>
      <c r="R156" s="15">
        <f>K157</f>
        <v>0.02438710340622135</v>
      </c>
      <c r="S156" s="15">
        <f>L157</f>
        <v>-0.001916312115762529</v>
      </c>
      <c r="T156" s="15">
        <f>M157</f>
        <v>0.0025920344944752424</v>
      </c>
    </row>
    <row r="157" spans="1:20">
      <c r="A157" s="14">
        <v>44651</v>
      </c>
      <c r="B157" s="10">
        <v>917.935791015625</v>
      </c>
      <c r="C157" s="10">
        <v>65.26702117919922</v>
      </c>
      <c r="D157" s="10">
        <v>545.8601684570312</v>
      </c>
      <c r="E157" s="10">
        <v>17464.75</v>
      </c>
      <c r="F157" s="10">
        <v>463.5499877929687</v>
      </c>
      <c r="I157" s="15">
        <f>LN(B157/B156)</f>
        <v>0.004799503569602998</v>
      </c>
      <c r="J157" s="15">
        <f>LN(C157/C156)</f>
        <v>0.02769402196092851</v>
      </c>
      <c r="K157" s="15">
        <f>LN(D157/D156)</f>
        <v>0.02438710340622135</v>
      </c>
      <c r="L157" s="15">
        <f>LN(E157/E156)</f>
        <v>-0.001916312115762529</v>
      </c>
      <c r="M157" s="15">
        <f>LN(F157/F156)</f>
        <v>0.0025920344944752424</v>
      </c>
      <c r="O157" s="14">
        <v>44652</v>
      </c>
      <c r="P157" s="15">
        <f>I158</f>
        <v>0.047479544877944084</v>
      </c>
      <c r="Q157" s="15">
        <f>J158</f>
        <v>-0.0007589370755258475</v>
      </c>
      <c r="R157" s="15">
        <f>K158</f>
        <v>-0.02396784683132614</v>
      </c>
      <c r="S157" s="15">
        <f>L158</f>
        <v>0.01170914487476482</v>
      </c>
      <c r="T157" s="15">
        <f>M158</f>
        <v>0.023452733133923313</v>
      </c>
    </row>
    <row r="158" spans="1:20">
      <c r="A158" s="14">
        <v>44652</v>
      </c>
      <c r="B158" s="10">
        <v>962.5701904296876</v>
      </c>
      <c r="C158" s="10">
        <v>65.21750640869141</v>
      </c>
      <c r="D158" s="10">
        <v>532.9326171875</v>
      </c>
      <c r="E158" s="10">
        <v>17670.44921875</v>
      </c>
      <c r="F158" s="10">
        <v>474.5499877929687</v>
      </c>
      <c r="I158" s="15">
        <f>LN(B158/B157)</f>
        <v>0.047479544877944084</v>
      </c>
      <c r="J158" s="15">
        <f>LN(C158/C157)</f>
        <v>-0.0007589370755258475</v>
      </c>
      <c r="K158" s="15">
        <f>LN(D158/D157)</f>
        <v>-0.02396784683132614</v>
      </c>
      <c r="L158" s="15">
        <f>LN(E158/E157)</f>
        <v>0.01170914487476482</v>
      </c>
      <c r="M158" s="15">
        <f>LN(F158/F157)</f>
        <v>0.023452733133923313</v>
      </c>
      <c r="O158" s="14">
        <v>44655</v>
      </c>
      <c r="P158" s="15">
        <f>I159</f>
        <v>-0.0068725705538867565</v>
      </c>
      <c r="Q158" s="15">
        <f>J159</f>
        <v>-0.004566228152089376</v>
      </c>
      <c r="R158" s="15">
        <f>K159</f>
        <v>0.003810601398778771</v>
      </c>
      <c r="S158" s="15">
        <f>L159</f>
        <v>0.0214403456403388</v>
      </c>
      <c r="T158" s="15">
        <f>M159</f>
        <v>0.0033659569684645566</v>
      </c>
    </row>
    <row r="159" spans="1:20">
      <c r="A159" s="14">
        <v>44655</v>
      </c>
      <c r="B159" s="10">
        <v>955.9775390625</v>
      </c>
      <c r="C159" s="10">
        <v>64.92038726806641</v>
      </c>
      <c r="D159" s="10">
        <v>534.96728515625</v>
      </c>
      <c r="E159" s="10">
        <v>18053.400390625</v>
      </c>
      <c r="F159" s="10">
        <v>476.1499938964844</v>
      </c>
      <c r="I159" s="15">
        <f>LN(B159/B158)</f>
        <v>-0.0068725705538867565</v>
      </c>
      <c r="J159" s="15">
        <f>LN(C159/C158)</f>
        <v>-0.004566228152089376</v>
      </c>
      <c r="K159" s="15">
        <f>LN(D159/D158)</f>
        <v>0.003810601398778771</v>
      </c>
      <c r="L159" s="15">
        <f>LN(E159/E158)</f>
        <v>0.0214403456403388</v>
      </c>
      <c r="M159" s="15">
        <f>LN(F159/F158)</f>
        <v>0.0033659569684645566</v>
      </c>
      <c r="O159" s="14">
        <v>44656</v>
      </c>
      <c r="P159" s="15">
        <f>I160</f>
        <v>-0.0009710552604341535</v>
      </c>
      <c r="Q159" s="15">
        <f>J160</f>
        <v>0.018141011805516354</v>
      </c>
      <c r="R159" s="15">
        <f>K160</f>
        <v>-0.002786910883073332</v>
      </c>
      <c r="S159" s="15">
        <f>L160</f>
        <v>-0.005331746328175393</v>
      </c>
      <c r="T159" s="15">
        <f>M160</f>
        <v>-0.0026286751187187965</v>
      </c>
    </row>
    <row r="160" spans="1:20">
      <c r="A160" s="14">
        <v>44656</v>
      </c>
      <c r="B160" s="10">
        <v>955.0496826171876</v>
      </c>
      <c r="C160" s="10">
        <v>66.10885620117188</v>
      </c>
      <c r="D160" s="10">
        <v>533.4784545898438</v>
      </c>
      <c r="E160" s="10">
        <v>17957.400390625</v>
      </c>
      <c r="F160" s="10">
        <v>474.8999938964844</v>
      </c>
      <c r="I160" s="15">
        <f>LN(B160/B159)</f>
        <v>-0.0009710552604341535</v>
      </c>
      <c r="J160" s="15">
        <f>LN(C160/C159)</f>
        <v>0.018141011805516354</v>
      </c>
      <c r="K160" s="15">
        <f>LN(D160/D159)</f>
        <v>-0.002786910883073332</v>
      </c>
      <c r="L160" s="15">
        <f>LN(E160/E159)</f>
        <v>-0.005331746328175393</v>
      </c>
      <c r="M160" s="15">
        <f>LN(F160/F159)</f>
        <v>-0.0026286751187187965</v>
      </c>
      <c r="O160" s="14">
        <v>44657</v>
      </c>
      <c r="P160" s="15">
        <f>I161</f>
        <v>0.010933563520662746</v>
      </c>
      <c r="Q160" s="15">
        <f>J161</f>
        <v>0.004484437664710467</v>
      </c>
      <c r="R160" s="15">
        <f>K161</f>
        <v>-0.018732429814437464</v>
      </c>
      <c r="S160" s="15">
        <f>L161</f>
        <v>-0.008374145812508964</v>
      </c>
      <c r="T160" s="15">
        <f>M161</f>
        <v>-0.0025300070036175493</v>
      </c>
    </row>
    <row r="161" spans="1:20">
      <c r="A161" s="14">
        <v>44657</v>
      </c>
      <c r="B161" s="10">
        <v>965.549072265625</v>
      </c>
      <c r="C161" s="10">
        <v>66.40598297119141</v>
      </c>
      <c r="D161" s="10">
        <v>523.578125</v>
      </c>
      <c r="E161" s="10">
        <v>17807.650390625</v>
      </c>
      <c r="F161" s="10">
        <v>473.7000122070313</v>
      </c>
      <c r="I161" s="15">
        <f>LN(B161/B160)</f>
        <v>0.010933563520662746</v>
      </c>
      <c r="J161" s="15">
        <f>LN(C161/C160)</f>
        <v>0.004484437664710467</v>
      </c>
      <c r="K161" s="15">
        <f>LN(D161/D160)</f>
        <v>-0.018732429814437464</v>
      </c>
      <c r="L161" s="15">
        <f>LN(E161/E160)</f>
        <v>-0.008374145812508964</v>
      </c>
      <c r="M161" s="15">
        <f>LN(F161/F160)</f>
        <v>-0.0025300070036175493</v>
      </c>
      <c r="O161" s="14">
        <v>44658</v>
      </c>
      <c r="P161" s="15">
        <f>I162</f>
        <v>-0.00858426138337311</v>
      </c>
      <c r="Q161" s="15">
        <f>J162</f>
        <v>0.020664686546057593</v>
      </c>
      <c r="R161" s="15">
        <f>K162</f>
        <v>0.015844794749844147</v>
      </c>
      <c r="S161" s="15">
        <f>L162</f>
        <v>-0.009484577848941177</v>
      </c>
      <c r="T161" s="15">
        <f>M162</f>
        <v>0.00031659309764895527</v>
      </c>
    </row>
    <row r="162" spans="1:20">
      <c r="A162" s="14">
        <v>44658</v>
      </c>
      <c r="B162" s="10">
        <v>957.2960205078124</v>
      </c>
      <c r="C162" s="10">
        <v>67.79251861572266</v>
      </c>
      <c r="D162" s="10">
        <v>531.940185546875</v>
      </c>
      <c r="E162" s="10">
        <v>17639.55078125</v>
      </c>
      <c r="F162" s="10">
        <v>473.8500061035156</v>
      </c>
      <c r="I162" s="15">
        <f>LN(B162/B161)</f>
        <v>-0.00858426138337311</v>
      </c>
      <c r="J162" s="15">
        <f>LN(C162/C161)</f>
        <v>0.020664686546057593</v>
      </c>
      <c r="K162" s="15">
        <f>LN(D162/D161)</f>
        <v>0.015844794749844147</v>
      </c>
      <c r="L162" s="15">
        <f>LN(E162/E161)</f>
        <v>-0.009484577848941177</v>
      </c>
      <c r="M162" s="15">
        <f>LN(F162/F161)</f>
        <v>0.00031659309764895527</v>
      </c>
      <c r="O162" s="14">
        <v>44659</v>
      </c>
      <c r="P162" s="15">
        <f>I163</f>
        <v>-0.022962037477126038</v>
      </c>
      <c r="Q162" s="15">
        <f>J163</f>
        <v>-0.009541077180125817</v>
      </c>
      <c r="R162" s="15">
        <f>K163</f>
        <v>0.0227360005528639</v>
      </c>
      <c r="S162" s="15">
        <f>L163</f>
        <v>0.008175250776633796</v>
      </c>
      <c r="T162" s="15">
        <f>M163</f>
        <v>0.0013707892530873673</v>
      </c>
    </row>
    <row r="163" spans="1:20">
      <c r="A163" s="14">
        <v>44659</v>
      </c>
      <c r="B163" s="10">
        <v>935.5650024414062</v>
      </c>
      <c r="C163" s="10">
        <v>67.14878082275391</v>
      </c>
      <c r="D163" s="10">
        <v>544.1729125976562</v>
      </c>
      <c r="E163" s="10">
        <v>17784.349609375</v>
      </c>
      <c r="F163" s="10">
        <v>474.5</v>
      </c>
      <c r="I163" s="15">
        <f>LN(B163/B162)</f>
        <v>-0.022962037477126038</v>
      </c>
      <c r="J163" s="15">
        <f>LN(C163/C162)</f>
        <v>-0.009541077180125817</v>
      </c>
      <c r="K163" s="15">
        <f>LN(D163/D162)</f>
        <v>0.0227360005528639</v>
      </c>
      <c r="L163" s="15">
        <f>LN(E163/E162)</f>
        <v>0.008175250776633796</v>
      </c>
      <c r="M163" s="15">
        <f>LN(F163/F162)</f>
        <v>0.0013707892530873673</v>
      </c>
      <c r="O163" s="14">
        <v>44662</v>
      </c>
      <c r="P163" s="15">
        <f>I164</f>
        <v>0.04421112434434586</v>
      </c>
      <c r="Q163" s="15">
        <f>J164</f>
        <v>-0.012616111863026533</v>
      </c>
      <c r="R163" s="15">
        <f>K164</f>
        <v>0.004957782603408254</v>
      </c>
      <c r="S163" s="15">
        <f>L164</f>
        <v>-0.006170496392137639</v>
      </c>
      <c r="T163" s="15">
        <f>M164</f>
        <v>0.01121194973328652</v>
      </c>
    </row>
    <row r="164" spans="1:20">
      <c r="A164" s="14">
        <v>44662</v>
      </c>
      <c r="B164" s="10">
        <v>977.8553466796876</v>
      </c>
      <c r="C164" s="10">
        <v>66.30694580078125</v>
      </c>
      <c r="D164" s="10">
        <v>546.8775024414062</v>
      </c>
      <c r="E164" s="10">
        <v>17674.94921875</v>
      </c>
      <c r="F164" s="10">
        <v>479.8500061035156</v>
      </c>
      <c r="I164" s="15">
        <f>LN(B164/B163)</f>
        <v>0.04421112434434586</v>
      </c>
      <c r="J164" s="15">
        <f>LN(C164/C163)</f>
        <v>-0.012616111863026533</v>
      </c>
      <c r="K164" s="15">
        <f>LN(D164/D163)</f>
        <v>0.004957782603408254</v>
      </c>
      <c r="L164" s="15">
        <f>LN(E164/E163)</f>
        <v>-0.006170496392137639</v>
      </c>
      <c r="M164" s="15">
        <f>LN(F164/F163)</f>
        <v>0.01121194973328652</v>
      </c>
      <c r="O164" s="14">
        <v>44663</v>
      </c>
      <c r="P164" s="15">
        <f>I165</f>
        <v>-0.004705463537423114</v>
      </c>
      <c r="Q164" s="15">
        <f>J165</f>
        <v>-0.02113294697313219</v>
      </c>
      <c r="R164" s="15">
        <f>K165</f>
        <v>-0.0291879039803146</v>
      </c>
      <c r="S164" s="15">
        <f>L165</f>
        <v>-0.008217481851263662</v>
      </c>
      <c r="T164" s="15">
        <f>M165</f>
        <v>-0.028001195115108783</v>
      </c>
    </row>
    <row r="165" spans="1:20">
      <c r="A165" s="14">
        <v>44663</v>
      </c>
      <c r="B165" s="10">
        <v>973.264892578125</v>
      </c>
      <c r="C165" s="10">
        <v>64.92038726806641</v>
      </c>
      <c r="D165" s="10">
        <v>531.14599609375</v>
      </c>
      <c r="E165" s="10">
        <v>17530.30078125</v>
      </c>
      <c r="F165" s="10">
        <v>466.6000061035156</v>
      </c>
      <c r="I165" s="15">
        <f>LN(B165/B164)</f>
        <v>-0.004705463537423114</v>
      </c>
      <c r="J165" s="15">
        <f>LN(C165/C164)</f>
        <v>-0.02113294697313219</v>
      </c>
      <c r="K165" s="15">
        <f>LN(D165/D164)</f>
        <v>-0.0291879039803146</v>
      </c>
      <c r="L165" s="15">
        <f>LN(E165/E164)</f>
        <v>-0.008217481851263662</v>
      </c>
      <c r="M165" s="15">
        <f>LN(F165/F164)</f>
        <v>-0.028001195115108783</v>
      </c>
      <c r="O165" s="14">
        <v>44664</v>
      </c>
      <c r="P165" s="15">
        <f>I166</f>
        <v>0.0010029477825217368</v>
      </c>
      <c r="Q165" s="15">
        <f>J166</f>
        <v>-0.015373147398286382</v>
      </c>
      <c r="R165" s="15">
        <f>K166</f>
        <v>-0.005527702903473274</v>
      </c>
      <c r="S165" s="15">
        <f>L166</f>
        <v>-0.0031223510971550208</v>
      </c>
      <c r="T165" s="15">
        <f>M166</f>
        <v>-0.00537231326973602</v>
      </c>
    </row>
    <row r="166" spans="1:20">
      <c r="A166" s="14">
        <v>44664</v>
      </c>
      <c r="B166" s="10">
        <v>974.2415161132812</v>
      </c>
      <c r="C166" s="10">
        <v>63.92998886108398</v>
      </c>
      <c r="D166" s="10">
        <v>528.2180786132812</v>
      </c>
      <c r="E166" s="10">
        <v>17475.650390625</v>
      </c>
      <c r="F166" s="10">
        <v>464.1000061035156</v>
      </c>
      <c r="I166" s="15">
        <f>LN(B166/B165)</f>
        <v>0.0010029477825217368</v>
      </c>
      <c r="J166" s="15">
        <f>LN(C166/C165)</f>
        <v>-0.015373147398286382</v>
      </c>
      <c r="K166" s="15">
        <f>LN(D166/D165)</f>
        <v>-0.005527702903473274</v>
      </c>
      <c r="L166" s="15">
        <f>LN(E166/E165)</f>
        <v>-0.0031223510971550208</v>
      </c>
      <c r="M166" s="15">
        <f>LN(F166/F165)</f>
        <v>-0.00537231326973602</v>
      </c>
      <c r="O166" s="14">
        <v>44669</v>
      </c>
      <c r="P166" s="15">
        <f>I167</f>
        <v>-0.0005013168130780973</v>
      </c>
      <c r="Q166" s="15">
        <f>J167</f>
        <v>-0.024305365659796175</v>
      </c>
      <c r="R166" s="15">
        <f>K167</f>
        <v>-0.044571181881440734</v>
      </c>
      <c r="S166" s="15">
        <f>L167</f>
        <v>-0.017432250630348714</v>
      </c>
      <c r="T166" s="15">
        <f>M167</f>
        <v>-0.012794262737756393</v>
      </c>
    </row>
    <row r="167" spans="1:20">
      <c r="A167" s="14">
        <v>44669</v>
      </c>
      <c r="B167" s="10">
        <v>973.7532348632812</v>
      </c>
      <c r="C167" s="10">
        <v>62.39487838745117</v>
      </c>
      <c r="D167" s="10">
        <v>505.1917419433594</v>
      </c>
      <c r="E167" s="10">
        <v>17173.650390625</v>
      </c>
      <c r="F167" s="10">
        <v>458.2000122070313</v>
      </c>
      <c r="I167" s="15">
        <f>LN(B167/B166)</f>
        <v>-0.0005013168130780973</v>
      </c>
      <c r="J167" s="15">
        <f>LN(C167/C166)</f>
        <v>-0.024305365659796175</v>
      </c>
      <c r="K167" s="15">
        <f>LN(D167/D166)</f>
        <v>-0.044571181881440734</v>
      </c>
      <c r="L167" s="15">
        <f>LN(E167/E166)</f>
        <v>-0.017432250630348714</v>
      </c>
      <c r="M167" s="15">
        <f>LN(F167/F166)</f>
        <v>-0.012794262737756393</v>
      </c>
      <c r="O167" s="14">
        <v>44670</v>
      </c>
      <c r="P167" s="15">
        <f>I168</f>
        <v>-0.03578820723488112</v>
      </c>
      <c r="Q167" s="15">
        <f>J168</f>
        <v>-0.011173222973493055</v>
      </c>
      <c r="R167" s="15">
        <f>K168</f>
        <v>-0.029963195358402243</v>
      </c>
      <c r="S167" s="15">
        <f>L168</f>
        <v>-0.012598203971631295</v>
      </c>
      <c r="T167" s="15">
        <f>M168</f>
        <v>-0.024970954378714796</v>
      </c>
    </row>
    <row r="168" spans="1:20">
      <c r="A168" s="14">
        <v>44670</v>
      </c>
      <c r="B168" s="10">
        <v>939.5205688476562</v>
      </c>
      <c r="C168" s="10">
        <v>61.70160675048828</v>
      </c>
      <c r="D168" s="10">
        <v>490.2791137695313</v>
      </c>
      <c r="E168" s="10">
        <v>16958.650390625</v>
      </c>
      <c r="F168" s="10">
        <v>446.8999938964844</v>
      </c>
      <c r="I168" s="15">
        <f>LN(B168/B167)</f>
        <v>-0.03578820723488112</v>
      </c>
      <c r="J168" s="15">
        <f>LN(C168/C167)</f>
        <v>-0.011173222973493055</v>
      </c>
      <c r="K168" s="15">
        <f>LN(D168/D167)</f>
        <v>-0.029963195358402243</v>
      </c>
      <c r="L168" s="15">
        <f>LN(E168/E167)</f>
        <v>-0.012598203971631295</v>
      </c>
      <c r="M168" s="15">
        <f>LN(F168/F167)</f>
        <v>-0.024970954378714796</v>
      </c>
      <c r="O168" s="14">
        <v>44671</v>
      </c>
      <c r="P168" s="15">
        <f>I169</f>
        <v>0.0022324030611212777</v>
      </c>
      <c r="Q168" s="15">
        <f>J169</f>
        <v>-0.027666636371815184</v>
      </c>
      <c r="R168" s="15">
        <f>K169</f>
        <v>0.05561362042986698</v>
      </c>
      <c r="S168" s="15">
        <f>L169</f>
        <v>0.010435603778864927</v>
      </c>
      <c r="T168" s="15">
        <f>M169</f>
        <v>0.005467265405417354</v>
      </c>
    </row>
    <row r="169" spans="1:20">
      <c r="A169" s="14">
        <v>44671</v>
      </c>
      <c r="B169" s="10">
        <v>941.6203002929688</v>
      </c>
      <c r="C169" s="10">
        <v>60.01792907714844</v>
      </c>
      <c r="D169" s="10">
        <v>518.3177490234375</v>
      </c>
      <c r="E169" s="10">
        <v>17136.55078125</v>
      </c>
      <c r="F169" s="10">
        <v>449.3500061035156</v>
      </c>
      <c r="I169" s="15">
        <f>LN(B169/B168)</f>
        <v>0.0022324030611212777</v>
      </c>
      <c r="J169" s="15">
        <f>LN(C169/C168)</f>
        <v>-0.027666636371815184</v>
      </c>
      <c r="K169" s="15">
        <f>LN(D169/D168)</f>
        <v>0.05561362042986698</v>
      </c>
      <c r="L169" s="15">
        <f>LN(E169/E168)</f>
        <v>0.010435603778864927</v>
      </c>
      <c r="M169" s="15">
        <f>LN(F169/F168)</f>
        <v>0.005467265405417354</v>
      </c>
      <c r="O169" s="14">
        <v>44672</v>
      </c>
      <c r="P169" s="15">
        <f>I170</f>
        <v>0.01829462416215504</v>
      </c>
      <c r="Q169" s="15">
        <f>J170</f>
        <v>0.021225417635726225</v>
      </c>
      <c r="R169" s="15">
        <f>K170</f>
        <v>-0.02983407593865775</v>
      </c>
      <c r="S169" s="15">
        <f>L170</f>
        <v>0.014831150992767859</v>
      </c>
      <c r="T169" s="15">
        <f>M170</f>
        <v>0.01117574628753863</v>
      </c>
    </row>
    <row r="170" spans="1:20">
      <c r="A170" s="14">
        <v>44672</v>
      </c>
      <c r="B170" s="10">
        <v>959.0054321289062</v>
      </c>
      <c r="C170" s="10">
        <v>61.30545043945312</v>
      </c>
      <c r="D170" s="10">
        <v>503.0826110839844</v>
      </c>
      <c r="E170" s="10">
        <v>17392.599609375</v>
      </c>
      <c r="F170" s="10">
        <v>454.3999938964844</v>
      </c>
      <c r="I170" s="15">
        <f>LN(B170/B169)</f>
        <v>0.01829462416215504</v>
      </c>
      <c r="J170" s="15">
        <f>LN(C170/C169)</f>
        <v>0.021225417635726225</v>
      </c>
      <c r="K170" s="15">
        <f>LN(D170/D169)</f>
        <v>-0.02983407593865775</v>
      </c>
      <c r="L170" s="15">
        <f>LN(E170/E169)</f>
        <v>0.014831150992767859</v>
      </c>
      <c r="M170" s="15">
        <f>LN(F170/F169)</f>
        <v>0.01117574628753863</v>
      </c>
      <c r="O170" s="14">
        <v>44673</v>
      </c>
      <c r="P170" s="15">
        <f>I171</f>
        <v>-0.01596358953565104</v>
      </c>
      <c r="Q170" s="15">
        <f>J171</f>
        <v>-0.015466399514763767</v>
      </c>
      <c r="R170" s="15">
        <f>K171</f>
        <v>0.005312701605650898</v>
      </c>
      <c r="S170" s="15">
        <f>L171</f>
        <v>-0.012767612798961313</v>
      </c>
      <c r="T170" s="15">
        <f>M171</f>
        <v>-0.013961418561933251</v>
      </c>
    </row>
    <row r="171" spans="1:20">
      <c r="A171" s="14">
        <v>44673</v>
      </c>
      <c r="B171" s="10">
        <v>943.8178100585938</v>
      </c>
      <c r="C171" s="10">
        <v>60.36457061767578</v>
      </c>
      <c r="D171" s="10">
        <v>505.762451171875</v>
      </c>
      <c r="E171" s="10">
        <v>17171.94921875</v>
      </c>
      <c r="F171" s="10">
        <v>448.1000061035156</v>
      </c>
      <c r="I171" s="15">
        <f>LN(B171/B170)</f>
        <v>-0.01596358953565104</v>
      </c>
      <c r="J171" s="15">
        <f>LN(C171/C170)</f>
        <v>-0.015466399514763767</v>
      </c>
      <c r="K171" s="15">
        <f>LN(D171/D170)</f>
        <v>0.005312701605650898</v>
      </c>
      <c r="L171" s="15">
        <f>LN(E171/E170)</f>
        <v>-0.012767612798961313</v>
      </c>
      <c r="M171" s="15">
        <f>LN(F171/F170)</f>
        <v>-0.013961418561933251</v>
      </c>
      <c r="O171" s="14">
        <v>44676</v>
      </c>
      <c r="P171" s="15">
        <f>I172</f>
        <v>-0.05269113826960446</v>
      </c>
      <c r="Q171" s="15">
        <f>J172</f>
        <v>-0.03591206083159964</v>
      </c>
      <c r="R171" s="15">
        <f>K172</f>
        <v>-0.007238058851205047</v>
      </c>
      <c r="S171" s="15">
        <f>L172</f>
        <v>-0.012776394201003337</v>
      </c>
      <c r="T171" s="15">
        <f>M172</f>
        <v>-0.03832846706740618</v>
      </c>
    </row>
    <row r="172" spans="1:20">
      <c r="A172" s="14">
        <v>44676</v>
      </c>
      <c r="B172" s="10">
        <v>895.3744506835938</v>
      </c>
      <c r="C172" s="10">
        <v>58.2352180480957</v>
      </c>
      <c r="D172" s="10">
        <v>502.1149291992187</v>
      </c>
      <c r="E172" s="10">
        <v>16953.94921875</v>
      </c>
      <c r="F172" s="10">
        <v>431.25</v>
      </c>
      <c r="I172" s="15">
        <f>LN(B172/B171)</f>
        <v>-0.05269113826960446</v>
      </c>
      <c r="J172" s="15">
        <f>LN(C172/C171)</f>
        <v>-0.03591206083159964</v>
      </c>
      <c r="K172" s="15">
        <f>LN(D172/D171)</f>
        <v>-0.007238058851205047</v>
      </c>
      <c r="L172" s="15">
        <f>LN(E172/E171)</f>
        <v>-0.012776394201003337</v>
      </c>
      <c r="M172" s="15">
        <f>LN(F172/F171)</f>
        <v>-0.03832846706740618</v>
      </c>
      <c r="O172" s="14">
        <v>44677</v>
      </c>
      <c r="P172" s="15">
        <f>I173</f>
        <v>0.041504613992970424</v>
      </c>
      <c r="Q172" s="15">
        <f>J173</f>
        <v>-0.007682447843144417</v>
      </c>
      <c r="R172" s="15">
        <f>K173</f>
        <v>0.035868092961259646</v>
      </c>
      <c r="S172" s="15">
        <f>L173</f>
        <v>0.014455140840464372</v>
      </c>
      <c r="T172" s="15">
        <f>M173</f>
        <v>0.035087308137181354</v>
      </c>
    </row>
    <row r="173" spans="1:20">
      <c r="A173" s="14">
        <v>44677</v>
      </c>
      <c r="B173" s="10">
        <v>933.318603515625</v>
      </c>
      <c r="C173" s="10">
        <v>57.78954315185547</v>
      </c>
      <c r="D173" s="10">
        <v>520.4517211914062</v>
      </c>
      <c r="E173" s="10">
        <v>17200.80078125</v>
      </c>
      <c r="F173" s="10">
        <v>446.6499938964844</v>
      </c>
      <c r="I173" s="15">
        <f>LN(B173/B172)</f>
        <v>0.041504613992970424</v>
      </c>
      <c r="J173" s="15">
        <f>LN(C173/C172)</f>
        <v>-0.007682447843144417</v>
      </c>
      <c r="K173" s="15">
        <f>LN(D173/D172)</f>
        <v>0.035868092961259646</v>
      </c>
      <c r="L173" s="15">
        <f>LN(E173/E172)</f>
        <v>0.014455140840464372</v>
      </c>
      <c r="M173" s="15">
        <f>LN(F173/F172)</f>
        <v>0.035087308137181354</v>
      </c>
      <c r="O173" s="14">
        <v>44678</v>
      </c>
      <c r="P173" s="15">
        <f>I174</f>
        <v>0.014956494295549691</v>
      </c>
      <c r="Q173" s="15">
        <f>J174</f>
        <v>0.051764486034285025</v>
      </c>
      <c r="R173" s="15">
        <f>K174</f>
        <v>0.002666172138039242</v>
      </c>
      <c r="S173" s="15">
        <f>L174</f>
        <v>-0.00948629657994312</v>
      </c>
      <c r="T173" s="15">
        <f>M174</f>
        <v>-0.003027091568144913</v>
      </c>
    </row>
    <row r="174" spans="1:20">
      <c r="A174" s="14">
        <v>44678</v>
      </c>
      <c r="B174" s="10">
        <v>947.3826904296876</v>
      </c>
      <c r="C174" s="10">
        <v>60.85976791381836</v>
      </c>
      <c r="D174" s="10">
        <v>521.8411865234375</v>
      </c>
      <c r="E174" s="10">
        <v>17038.400390625</v>
      </c>
      <c r="F174" s="10">
        <v>445.2999877929687</v>
      </c>
      <c r="I174" s="15">
        <f>LN(B174/B173)</f>
        <v>0.014956494295549691</v>
      </c>
      <c r="J174" s="15">
        <f>LN(C174/C173)</f>
        <v>0.051764486034285025</v>
      </c>
      <c r="K174" s="15">
        <f>LN(D174/D173)</f>
        <v>0.002666172138039242</v>
      </c>
      <c r="L174" s="15">
        <f>LN(E174/E173)</f>
        <v>-0.00948629657994312</v>
      </c>
      <c r="M174" s="15">
        <f>LN(F174/F173)</f>
        <v>-0.003027091568144913</v>
      </c>
      <c r="O174" s="14">
        <v>44679</v>
      </c>
      <c r="P174" s="15">
        <f>I175</f>
        <v>-0.005167977502228235</v>
      </c>
      <c r="Q174" s="15">
        <f>J175</f>
        <v>0.03360317488931287</v>
      </c>
      <c r="R174" s="15">
        <f>K175</f>
        <v>0.0355454535336518</v>
      </c>
      <c r="S174" s="15">
        <f>L175</f>
        <v>0.012055547873445796</v>
      </c>
      <c r="T174" s="15">
        <f>M175</f>
        <v>0.008497408769635489</v>
      </c>
    </row>
    <row r="175" spans="1:20">
      <c r="A175" s="14">
        <v>44679</v>
      </c>
      <c r="B175" s="10">
        <v>942.499267578125</v>
      </c>
      <c r="C175" s="10">
        <v>62.93959808349609</v>
      </c>
      <c r="D175" s="10">
        <v>540.723876953125</v>
      </c>
      <c r="E175" s="10">
        <v>17245.05078125</v>
      </c>
      <c r="F175" s="10">
        <v>449.1000061035156</v>
      </c>
      <c r="I175" s="15">
        <f>LN(B175/B174)</f>
        <v>-0.005167977502228235</v>
      </c>
      <c r="J175" s="15">
        <f>LN(C175/C174)</f>
        <v>0.03360317488931287</v>
      </c>
      <c r="K175" s="15">
        <f>LN(D175/D174)</f>
        <v>0.0355454535336518</v>
      </c>
      <c r="L175" s="15">
        <f>LN(E175/E174)</f>
        <v>0.012055547873445796</v>
      </c>
      <c r="M175" s="15">
        <f>LN(F175/F174)</f>
        <v>0.008497408769635489</v>
      </c>
      <c r="O175" s="14">
        <v>44680</v>
      </c>
      <c r="P175" s="15">
        <f>I176</f>
        <v>-0.004934343541647772</v>
      </c>
      <c r="Q175" s="15">
        <f>J176</f>
        <v>-0.007898993574382005</v>
      </c>
      <c r="R175" s="15">
        <f>K176</f>
        <v>-0.0028951864439311324</v>
      </c>
      <c r="S175" s="15">
        <f>L176</f>
        <v>-0.008297570200330234</v>
      </c>
      <c r="T175" s="15">
        <f>M176</f>
        <v>-0.011984252894615875</v>
      </c>
    </row>
    <row r="176" spans="1:20">
      <c r="A176" s="14">
        <v>44680</v>
      </c>
      <c r="B176" s="10">
        <v>937.860107421875</v>
      </c>
      <c r="C176" s="10">
        <v>62.44439697265625</v>
      </c>
      <c r="D176" s="10">
        <v>539.16064453125</v>
      </c>
      <c r="E176" s="10">
        <v>17102.55078125</v>
      </c>
      <c r="F176" s="10">
        <v>443.75</v>
      </c>
      <c r="I176" s="15">
        <f>LN(B176/B175)</f>
        <v>-0.004934343541647772</v>
      </c>
      <c r="J176" s="15">
        <f>LN(C176/C175)</f>
        <v>-0.007898993574382005</v>
      </c>
      <c r="K176" s="15">
        <f>LN(D176/D175)</f>
        <v>-0.0028951864439311324</v>
      </c>
      <c r="L176" s="15">
        <f>LN(E176/E175)</f>
        <v>-0.008297570200330234</v>
      </c>
      <c r="M176" s="15">
        <f>LN(F176/F175)</f>
        <v>-0.011984252894615875</v>
      </c>
      <c r="O176" s="14">
        <v>44683</v>
      </c>
      <c r="P176" s="15">
        <f>I177</f>
        <v>-0.011837467563089992</v>
      </c>
      <c r="Q176" s="15">
        <f>J177</f>
        <v>-0.04875049954085598</v>
      </c>
      <c r="R176" s="15">
        <f>K177</f>
        <v>0.00160948418770212</v>
      </c>
      <c r="S176" s="15">
        <f>L177</f>
        <v>-0.0019578324241160947</v>
      </c>
      <c r="T176" s="15">
        <f>M177</f>
        <v>0.002138584177061597</v>
      </c>
    </row>
    <row r="177" spans="1:20">
      <c r="A177" s="14">
        <v>44683</v>
      </c>
      <c r="B177" s="10">
        <v>926.8236694335938</v>
      </c>
      <c r="C177" s="10">
        <v>59.47321319580078</v>
      </c>
      <c r="D177" s="10">
        <v>540.0291137695312</v>
      </c>
      <c r="E177" s="10">
        <v>17069.099609375</v>
      </c>
      <c r="F177" s="10">
        <v>444.7000122070313</v>
      </c>
      <c r="I177" s="15">
        <f>LN(B177/B176)</f>
        <v>-0.011837467563089992</v>
      </c>
      <c r="J177" s="15">
        <f>LN(C177/C176)</f>
        <v>-0.04875049954085598</v>
      </c>
      <c r="K177" s="15">
        <f>LN(D177/D176)</f>
        <v>0.00160948418770212</v>
      </c>
      <c r="L177" s="15">
        <f>LN(E177/E176)</f>
        <v>-0.0019578324241160947</v>
      </c>
      <c r="M177" s="15">
        <f>LN(F177/F176)</f>
        <v>0.002138584177061597</v>
      </c>
      <c r="O177" s="14">
        <v>44685</v>
      </c>
      <c r="P177" s="15">
        <f>I178</f>
        <v>-0.03512150732468688</v>
      </c>
      <c r="Q177" s="15">
        <f>J178</f>
        <v>-0.02018569558272597</v>
      </c>
      <c r="R177" s="15">
        <f>K178</f>
        <v>-0.004651483632797621</v>
      </c>
      <c r="S177" s="15">
        <f>L178</f>
        <v>-0.023203310190181764</v>
      </c>
      <c r="T177" s="15">
        <f>M178</f>
        <v>-0.03326595408860265</v>
      </c>
    </row>
    <row r="178" spans="1:20">
      <c r="A178" s="14">
        <v>44685</v>
      </c>
      <c r="B178" s="10">
        <v>894.8372192382812</v>
      </c>
      <c r="C178" s="10">
        <v>58.28474044799805</v>
      </c>
      <c r="D178" s="10">
        <v>537.5230102539062</v>
      </c>
      <c r="E178" s="10">
        <v>16677.599609375</v>
      </c>
      <c r="F178" s="10">
        <v>430.1499938964844</v>
      </c>
      <c r="I178" s="15">
        <f>LN(B178/B177)</f>
        <v>-0.03512150732468688</v>
      </c>
      <c r="J178" s="15">
        <f>LN(C178/C177)</f>
        <v>-0.02018569558272597</v>
      </c>
      <c r="K178" s="15">
        <f>LN(D178/D177)</f>
        <v>-0.004651483632797621</v>
      </c>
      <c r="L178" s="15">
        <f>LN(E178/E177)</f>
        <v>-0.023203310190181764</v>
      </c>
      <c r="M178" s="15">
        <f>LN(F178/F177)</f>
        <v>-0.03326595408860265</v>
      </c>
      <c r="O178" s="14">
        <v>44686</v>
      </c>
      <c r="P178" s="15">
        <f>I179</f>
        <v>-0.012962847756667284</v>
      </c>
      <c r="Q178" s="15">
        <f>J179</f>
        <v>-0.01454881181907716</v>
      </c>
      <c r="R178" s="15">
        <f>K179</f>
        <v>0.020921733461657935</v>
      </c>
      <c r="S178" s="15">
        <f>L179</f>
        <v>0.00030280236440618743</v>
      </c>
      <c r="T178" s="15">
        <f>M179</f>
        <v>-0.016289061489403272</v>
      </c>
    </row>
    <row r="179" spans="1:20">
      <c r="A179" s="14">
        <v>44686</v>
      </c>
      <c r="B179" s="10">
        <v>883.3124389648438</v>
      </c>
      <c r="C179" s="10">
        <v>57.44290542602539</v>
      </c>
      <c r="D179" s="10">
        <v>548.8873901367188</v>
      </c>
      <c r="E179" s="10">
        <v>16682.650390625</v>
      </c>
      <c r="F179" s="10">
        <v>423.2000122070313</v>
      </c>
      <c r="I179" s="15">
        <f>LN(B179/B178)</f>
        <v>-0.012962847756667284</v>
      </c>
      <c r="J179" s="15">
        <f>LN(C179/C178)</f>
        <v>-0.01454881181907716</v>
      </c>
      <c r="K179" s="15">
        <f>LN(D179/D178)</f>
        <v>0.020921733461657935</v>
      </c>
      <c r="L179" s="15">
        <f>LN(E179/E178)</f>
        <v>0.00030280236440618743</v>
      </c>
      <c r="M179" s="15">
        <f>LN(F179/F178)</f>
        <v>-0.016289061489403272</v>
      </c>
      <c r="O179" s="14">
        <v>44687</v>
      </c>
      <c r="P179" s="15">
        <f>I180</f>
        <v>-0.03247664355382707</v>
      </c>
      <c r="Q179" s="15">
        <f>J180</f>
        <v>-0.019147622379642973</v>
      </c>
      <c r="R179" s="15">
        <f>K180</f>
        <v>-0.051624186457618015</v>
      </c>
      <c r="S179" s="15">
        <f>L180</f>
        <v>-0.016402205362178027</v>
      </c>
      <c r="T179" s="15">
        <f>M180</f>
        <v>-0.03621017044541552</v>
      </c>
    </row>
    <row r="180" spans="1:20">
      <c r="A180" s="14">
        <v>44687</v>
      </c>
      <c r="B180" s="10">
        <v>855.0862426757812</v>
      </c>
      <c r="C180" s="10">
        <v>56.35347366333008</v>
      </c>
      <c r="D180" s="10">
        <v>521.2705078125</v>
      </c>
      <c r="E180" s="10">
        <v>16411.25</v>
      </c>
      <c r="F180" s="10">
        <v>408.1499938964844</v>
      </c>
      <c r="I180" s="15">
        <f>LN(B180/B179)</f>
        <v>-0.03247664355382707</v>
      </c>
      <c r="J180" s="15">
        <f>LN(C180/C179)</f>
        <v>-0.019147622379642973</v>
      </c>
      <c r="K180" s="15">
        <f>LN(D180/D179)</f>
        <v>-0.051624186457618015</v>
      </c>
      <c r="L180" s="15">
        <f>LN(E180/E179)</f>
        <v>-0.016402205362178027</v>
      </c>
      <c r="M180" s="15">
        <f>LN(F180/F179)</f>
        <v>-0.03621017044541552</v>
      </c>
      <c r="O180" s="14">
        <v>44690</v>
      </c>
      <c r="P180" s="15">
        <f>I181</f>
        <v>-0.00837316043421599</v>
      </c>
      <c r="Q180" s="15">
        <f>J181</f>
        <v>-0.0710035159633449</v>
      </c>
      <c r="R180" s="15">
        <f>K181</f>
        <v>0.007209361144035128</v>
      </c>
      <c r="S180" s="15">
        <f>L181</f>
        <v>-0.0066885009232451696</v>
      </c>
      <c r="T180" s="15">
        <f>M181</f>
        <v>-0.012822223878586848</v>
      </c>
    </row>
    <row r="181" spans="1:20">
      <c r="A181" s="14">
        <v>44690</v>
      </c>
      <c r="B181" s="10">
        <v>847.9563598632812</v>
      </c>
      <c r="C181" s="10">
        <v>52.49092864990234</v>
      </c>
      <c r="D181" s="10">
        <v>525.0421142578125</v>
      </c>
      <c r="E181" s="10">
        <v>16301.849609375</v>
      </c>
      <c r="F181" s="10">
        <v>402.9500122070313</v>
      </c>
      <c r="I181" s="15">
        <f>LN(B181/B180)</f>
        <v>-0.00837316043421599</v>
      </c>
      <c r="J181" s="15">
        <f>LN(C181/C180)</f>
        <v>-0.0710035159633449</v>
      </c>
      <c r="K181" s="15">
        <f>LN(D181/D180)</f>
        <v>0.007209361144035128</v>
      </c>
      <c r="L181" s="15">
        <f>LN(E181/E180)</f>
        <v>-0.0066885009232451696</v>
      </c>
      <c r="M181" s="15">
        <f>LN(F181/F180)</f>
        <v>-0.012822223878586848</v>
      </c>
      <c r="O181" s="14">
        <v>44691</v>
      </c>
      <c r="P181" s="15">
        <f>I182</f>
        <v>-0.028565686354926942</v>
      </c>
      <c r="Q181" s="15">
        <f>J182</f>
        <v>-0.025801702931179303</v>
      </c>
      <c r="R181" s="15">
        <f>K182</f>
        <v>-0.039474110347957315</v>
      </c>
      <c r="S181" s="15">
        <f>L182</f>
        <v>-0.003798172823006312</v>
      </c>
      <c r="T181" s="15">
        <f>M182</f>
        <v>-0.029849217697187284</v>
      </c>
    </row>
    <row r="182" spans="1:20">
      <c r="A182" s="14">
        <v>44691</v>
      </c>
      <c r="B182" s="10">
        <v>824.0765991210938</v>
      </c>
      <c r="C182" s="10">
        <v>51.15389633178711</v>
      </c>
      <c r="D182" s="10">
        <v>504.7202758789062</v>
      </c>
      <c r="E182" s="10">
        <v>16240.0498046875</v>
      </c>
      <c r="F182" s="10">
        <v>391.1000061035156</v>
      </c>
      <c r="I182" s="15">
        <f>LN(B182/B181)</f>
        <v>-0.028565686354926942</v>
      </c>
      <c r="J182" s="15">
        <f>LN(C182/C181)</f>
        <v>-0.025801702931179303</v>
      </c>
      <c r="K182" s="15">
        <f>LN(D182/D181)</f>
        <v>-0.039474110347957315</v>
      </c>
      <c r="L182" s="15">
        <f>LN(E182/E181)</f>
        <v>-0.003798172823006312</v>
      </c>
      <c r="M182" s="15">
        <f>LN(F182/F181)</f>
        <v>-0.029849217697187284</v>
      </c>
      <c r="O182" s="14">
        <v>44692</v>
      </c>
      <c r="P182" s="15">
        <f>I183</f>
        <v>0.011372047190358555</v>
      </c>
      <c r="Q182" s="15">
        <f>J183</f>
        <v>-0.01757861775885907</v>
      </c>
      <c r="R182" s="15">
        <f>K183</f>
        <v>0.03672921601058654</v>
      </c>
      <c r="S182" s="15">
        <f>L183</f>
        <v>-0.004502112641840228</v>
      </c>
      <c r="T182" s="15">
        <f>M183</f>
        <v>0.007260731310450368</v>
      </c>
    </row>
    <row r="183" spans="1:20">
      <c r="A183" s="14">
        <v>44692</v>
      </c>
      <c r="B183" s="10">
        <v>833.5015258789062</v>
      </c>
      <c r="C183" s="10">
        <v>50.26253890991211</v>
      </c>
      <c r="D183" s="10">
        <v>523.6029052734375</v>
      </c>
      <c r="E183" s="10">
        <v>16167.099609375</v>
      </c>
      <c r="F183" s="10">
        <v>393.9500122070313</v>
      </c>
      <c r="I183" s="15">
        <f>LN(B183/B182)</f>
        <v>0.011372047190358555</v>
      </c>
      <c r="J183" s="15">
        <f>LN(C183/C182)</f>
        <v>-0.01757861775885907</v>
      </c>
      <c r="K183" s="15">
        <f>LN(D183/D182)</f>
        <v>0.03672921601058654</v>
      </c>
      <c r="L183" s="15">
        <f>LN(E183/E182)</f>
        <v>-0.004502112641840228</v>
      </c>
      <c r="M183" s="15">
        <f>LN(F183/F182)</f>
        <v>0.007260731310450368</v>
      </c>
      <c r="O183" s="14">
        <v>44693</v>
      </c>
      <c r="P183" s="15">
        <f>I184</f>
        <v>-0.03402693243315384</v>
      </c>
      <c r="Q183" s="15">
        <f>J184</f>
        <v>-0.04225967114927993</v>
      </c>
      <c r="R183" s="15">
        <f>K184</f>
        <v>-0.021119825197573765</v>
      </c>
      <c r="S183" s="15">
        <f>L184</f>
        <v>-0.022462147872579268</v>
      </c>
      <c r="T183" s="15">
        <f>M184</f>
        <v>-0.02168283567455761</v>
      </c>
    </row>
    <row r="184" spans="1:20">
      <c r="A184" s="14">
        <v>44693</v>
      </c>
      <c r="B184" s="10">
        <v>805.6171264648438</v>
      </c>
      <c r="C184" s="10">
        <v>48.18271636962891</v>
      </c>
      <c r="D184" s="10">
        <v>512.6604614257812</v>
      </c>
      <c r="E184" s="10">
        <v>15808</v>
      </c>
      <c r="F184" s="10">
        <v>385.5</v>
      </c>
      <c r="I184" s="15">
        <f>LN(B184/B183)</f>
        <v>-0.03402693243315384</v>
      </c>
      <c r="J184" s="15">
        <f>LN(C184/C183)</f>
        <v>-0.04225967114927993</v>
      </c>
      <c r="K184" s="15">
        <f>LN(D184/D183)</f>
        <v>-0.021119825197573765</v>
      </c>
      <c r="L184" s="15">
        <f>LN(E184/E183)</f>
        <v>-0.022462147872579268</v>
      </c>
      <c r="M184" s="15">
        <f>LN(F184/F183)</f>
        <v>-0.02168283567455761</v>
      </c>
      <c r="O184" s="14">
        <v>44694</v>
      </c>
      <c r="P184" s="15">
        <f>I185</f>
        <v>-0.0035220058708403724</v>
      </c>
      <c r="Q184" s="15">
        <f>J185</f>
        <v>0.059838288908138956</v>
      </c>
      <c r="R184" s="15">
        <f>K185</f>
        <v>-0.012762070955016459</v>
      </c>
      <c r="S184" s="15">
        <f>L185</f>
        <v>-0.0016365617019766783</v>
      </c>
      <c r="T184" s="15">
        <f>M185</f>
        <v>-0.0027274197732601816</v>
      </c>
    </row>
    <row r="185" spans="1:20">
      <c r="A185" s="14">
        <v>44694</v>
      </c>
      <c r="B185" s="10">
        <v>802.7847290039062</v>
      </c>
      <c r="C185" s="10">
        <v>51.15389633178711</v>
      </c>
      <c r="D185" s="10">
        <v>506.159423828125</v>
      </c>
      <c r="E185" s="10">
        <v>15782.150390625</v>
      </c>
      <c r="F185" s="10">
        <v>384.4500122070313</v>
      </c>
      <c r="I185" s="15">
        <f>LN(B185/B184)</f>
        <v>-0.0035220058708403724</v>
      </c>
      <c r="J185" s="15">
        <f>LN(C185/C184)</f>
        <v>0.059838288908138956</v>
      </c>
      <c r="K185" s="15">
        <f>LN(D185/D184)</f>
        <v>-0.012762070955016459</v>
      </c>
      <c r="L185" s="15">
        <f>LN(E185/E184)</f>
        <v>-0.0016365617019766783</v>
      </c>
      <c r="M185" s="15">
        <f>LN(F185/F184)</f>
        <v>-0.0027274197732601816</v>
      </c>
      <c r="O185" s="14">
        <v>44697</v>
      </c>
      <c r="P185" s="15">
        <f>I186</f>
        <v>-0.012918272129296606</v>
      </c>
      <c r="Q185" s="15">
        <f>J186</f>
        <v>0.0038647973587728614</v>
      </c>
      <c r="R185" s="15">
        <f>K186</f>
        <v>0.01261681243686701</v>
      </c>
      <c r="S185" s="15">
        <f>L186</f>
        <v>0.003803986233609079</v>
      </c>
      <c r="T185" s="15">
        <f>M186</f>
        <v>0.02580536705580501</v>
      </c>
    </row>
    <row r="186" spans="1:20">
      <c r="A186" s="14">
        <v>44697</v>
      </c>
      <c r="B186" s="10">
        <v>792.4808349609375</v>
      </c>
      <c r="C186" s="10">
        <v>51.35197830200195</v>
      </c>
      <c r="D186" s="10">
        <v>512.5859985351562</v>
      </c>
      <c r="E186" s="10">
        <v>15842.2998046875</v>
      </c>
      <c r="F186" s="10">
        <v>394.5</v>
      </c>
      <c r="I186" s="15">
        <f>LN(B186/B185)</f>
        <v>-0.012918272129296606</v>
      </c>
      <c r="J186" s="15">
        <f>LN(C186/C185)</f>
        <v>0.0038647973587728614</v>
      </c>
      <c r="K186" s="15">
        <f>LN(D186/D185)</f>
        <v>0.01261681243686701</v>
      </c>
      <c r="L186" s="15">
        <f>LN(E186/E185)</f>
        <v>0.003803986233609079</v>
      </c>
      <c r="M186" s="15">
        <f>LN(F186/F185)</f>
        <v>0.02580536705580501</v>
      </c>
      <c r="O186" s="14">
        <v>44698</v>
      </c>
      <c r="P186" s="15">
        <f>I187</f>
        <v>0.027112464279100457</v>
      </c>
      <c r="Q186" s="15">
        <f>J187</f>
        <v>0.03784738388156647</v>
      </c>
      <c r="R186" s="15">
        <f>K187</f>
        <v>-0.007190112171176619</v>
      </c>
      <c r="S186" s="15">
        <f>L187</f>
        <v>0.025981475212963467</v>
      </c>
      <c r="T186" s="15">
        <f>M187</f>
        <v>0.019330367403272007</v>
      </c>
    </row>
    <row r="187" spans="1:20">
      <c r="A187" s="14">
        <v>44698</v>
      </c>
      <c r="B187" s="10">
        <v>814.2608642578125</v>
      </c>
      <c r="C187" s="10">
        <v>53.332763671875</v>
      </c>
      <c r="D187" s="10">
        <v>508.9136657714844</v>
      </c>
      <c r="E187" s="10">
        <v>16259.2998046875</v>
      </c>
      <c r="F187" s="10">
        <v>402.2000122070313</v>
      </c>
      <c r="I187" s="15">
        <f>LN(B187/B186)</f>
        <v>0.027112464279100457</v>
      </c>
      <c r="J187" s="15">
        <f>LN(C187/C186)</f>
        <v>0.03784738388156647</v>
      </c>
      <c r="K187" s="15">
        <f>LN(D187/D186)</f>
        <v>-0.007190112171176619</v>
      </c>
      <c r="L187" s="15">
        <f>LN(E187/E186)</f>
        <v>0.025981475212963467</v>
      </c>
      <c r="M187" s="15">
        <f>LN(F187/F186)</f>
        <v>0.019330367403272007</v>
      </c>
      <c r="O187" s="14">
        <v>44699</v>
      </c>
      <c r="P187" s="15">
        <f>I188</f>
        <v>-0.017606576266484326</v>
      </c>
      <c r="Q187" s="15">
        <f>J188</f>
        <v>0.08538529314673306</v>
      </c>
      <c r="R187" s="15">
        <f>K188</f>
        <v>0.041169078150418724</v>
      </c>
      <c r="S187" s="15">
        <f>L188</f>
        <v>-0.0011692453072036017</v>
      </c>
      <c r="T187" s="15">
        <f>M188</f>
        <v>-0.017684083484289424</v>
      </c>
    </row>
    <row r="188" spans="1:20">
      <c r="A188" s="14">
        <v>44699</v>
      </c>
      <c r="B188" s="10">
        <v>800.0499877929688</v>
      </c>
      <c r="C188" s="10">
        <v>58.08666610717773</v>
      </c>
      <c r="D188" s="10">
        <v>530.3024291992188</v>
      </c>
      <c r="E188" s="10">
        <v>16240.2998046875</v>
      </c>
      <c r="F188" s="10">
        <v>395.1499938964844</v>
      </c>
      <c r="I188" s="15">
        <f>LN(B188/B187)</f>
        <v>-0.017606576266484326</v>
      </c>
      <c r="J188" s="15">
        <f>LN(C188/C187)</f>
        <v>0.08538529314673306</v>
      </c>
      <c r="K188" s="15">
        <f>LN(D188/D187)</f>
        <v>0.041169078150418724</v>
      </c>
      <c r="L188" s="15">
        <f>LN(E188/E187)</f>
        <v>-0.0011692453072036017</v>
      </c>
      <c r="M188" s="15">
        <f>LN(F188/F187)</f>
        <v>-0.017684083484289424</v>
      </c>
      <c r="O188" s="14">
        <v>44700</v>
      </c>
      <c r="P188" s="15">
        <f>I189</f>
        <v>-0.03345307451824928</v>
      </c>
      <c r="Q188" s="15">
        <f>J189</f>
        <v>-0.06062468748894886</v>
      </c>
      <c r="R188" s="15">
        <f>K189</f>
        <v>-0.04541992366046315</v>
      </c>
      <c r="S188" s="15">
        <f>L189</f>
        <v>-0.026891070897403772</v>
      </c>
      <c r="T188" s="15">
        <f>M189</f>
        <v>-0.02641176036511886</v>
      </c>
    </row>
    <row r="189" spans="1:20">
      <c r="A189" s="14">
        <v>44700</v>
      </c>
      <c r="B189" s="10">
        <v>773.7285766601562</v>
      </c>
      <c r="C189" s="10">
        <v>54.6697998046875</v>
      </c>
      <c r="D189" s="10">
        <v>506.7549438476562</v>
      </c>
      <c r="E189" s="10">
        <v>15809.400390625</v>
      </c>
      <c r="F189" s="10">
        <v>384.8500061035156</v>
      </c>
      <c r="I189" s="15">
        <f>LN(B189/B188)</f>
        <v>-0.03345307451824928</v>
      </c>
      <c r="J189" s="15">
        <f>LN(C189/C188)</f>
        <v>-0.06062468748894886</v>
      </c>
      <c r="K189" s="15">
        <f>LN(D189/D188)</f>
        <v>-0.04541992366046315</v>
      </c>
      <c r="L189" s="15">
        <f>LN(E189/E188)</f>
        <v>-0.026891070897403772</v>
      </c>
      <c r="M189" s="15">
        <f>LN(F189/F188)</f>
        <v>-0.02641176036511886</v>
      </c>
      <c r="O189" s="14">
        <v>44701</v>
      </c>
      <c r="P189" s="15">
        <f>I190</f>
        <v>0.008984921456862352</v>
      </c>
      <c r="Q189" s="15">
        <f>J190</f>
        <v>0.03296517292693681</v>
      </c>
      <c r="R189" s="15">
        <f>K190</f>
        <v>0.06927689227829617</v>
      </c>
      <c r="S189" s="15">
        <f>L190</f>
        <v>0.02848156086057151</v>
      </c>
      <c r="T189" s="15">
        <f>M190</f>
        <v>0.041232413535461004</v>
      </c>
    </row>
    <row r="190" spans="1:20">
      <c r="A190" s="14">
        <v>44701</v>
      </c>
      <c r="B190" s="10">
        <v>780.7117919921875</v>
      </c>
      <c r="C190" s="10">
        <v>56.50203323364258</v>
      </c>
      <c r="D190" s="10">
        <v>543.10595703125</v>
      </c>
      <c r="E190" s="10">
        <v>16266.150390625</v>
      </c>
      <c r="F190" s="10">
        <v>401.0499877929687</v>
      </c>
      <c r="I190" s="15">
        <f>LN(B190/B189)</f>
        <v>0.008984921456862352</v>
      </c>
      <c r="J190" s="15">
        <f>LN(C190/C189)</f>
        <v>0.03296517292693681</v>
      </c>
      <c r="K190" s="15">
        <f>LN(D190/D189)</f>
        <v>0.06927689227829617</v>
      </c>
      <c r="L190" s="15">
        <f>LN(E190/E189)</f>
        <v>0.02848156086057151</v>
      </c>
      <c r="M190" s="15">
        <f>LN(F190/F189)</f>
        <v>0.041232413535461004</v>
      </c>
      <c r="O190" s="14">
        <v>44704</v>
      </c>
      <c r="P190" s="15">
        <f>I191</f>
        <v>-0.014491279380105476</v>
      </c>
      <c r="Q190" s="15">
        <f>J191</f>
        <v>-0.0008769230110200909</v>
      </c>
      <c r="R190" s="15">
        <f>K191</f>
        <v>0.007827461462899612</v>
      </c>
      <c r="S190" s="15">
        <f>L191</f>
        <v>-0.0031680351601504043</v>
      </c>
      <c r="T190" s="15">
        <f>M191</f>
        <v>-0.010653732728224294</v>
      </c>
    </row>
    <row r="191" spans="1:20">
      <c r="A191" s="14">
        <v>44704</v>
      </c>
      <c r="B191" s="10">
        <v>769.4798583984375</v>
      </c>
      <c r="C191" s="10">
        <v>56.45250701904297</v>
      </c>
      <c r="D191" s="10">
        <v>547.373779296875</v>
      </c>
      <c r="E191" s="10">
        <v>16214.7001953125</v>
      </c>
      <c r="F191" s="10">
        <v>396.7999877929687</v>
      </c>
      <c r="I191" s="15">
        <f>LN(B191/B190)</f>
        <v>-0.014491279380105476</v>
      </c>
      <c r="J191" s="15">
        <f>LN(C191/C190)</f>
        <v>-0.0008769230110200909</v>
      </c>
      <c r="K191" s="15">
        <f>LN(D191/D190)</f>
        <v>0.007827461462899612</v>
      </c>
      <c r="L191" s="15">
        <f>LN(E191/E190)</f>
        <v>-0.0031680351601504043</v>
      </c>
      <c r="M191" s="15">
        <f>LN(F191/F190)</f>
        <v>-0.010653732728224294</v>
      </c>
      <c r="O191" s="14">
        <v>44705</v>
      </c>
      <c r="P191" s="15">
        <f>I192</f>
        <v>0.00012682466625885399</v>
      </c>
      <c r="Q191" s="15">
        <f>J192</f>
        <v>-0.04576831383755684</v>
      </c>
      <c r="R191" s="15">
        <f>K192</f>
        <v>0.022944060983634704</v>
      </c>
      <c r="S191" s="15">
        <f>L192</f>
        <v>-0.005538061057189644</v>
      </c>
      <c r="T191" s="15">
        <f>M192</f>
        <v>-0.012170504856566977</v>
      </c>
    </row>
    <row r="192" spans="1:20">
      <c r="A192" s="14">
        <v>44705</v>
      </c>
      <c r="B192" s="10">
        <v>769.5774536132812</v>
      </c>
      <c r="C192" s="10">
        <v>53.92700576782227</v>
      </c>
      <c r="D192" s="10">
        <v>560.0779418945312</v>
      </c>
      <c r="E192" s="10">
        <v>16125.150390625</v>
      </c>
      <c r="F192" s="10">
        <v>392</v>
      </c>
      <c r="I192" s="15">
        <f>LN(B192/B191)</f>
        <v>0.00012682466625885399</v>
      </c>
      <c r="J192" s="15">
        <f>LN(C192/C191)</f>
        <v>-0.04576831383755684</v>
      </c>
      <c r="K192" s="15">
        <f>LN(D192/D191)</f>
        <v>0.022944060983634704</v>
      </c>
      <c r="L192" s="15">
        <f>LN(E192/E191)</f>
        <v>-0.005538061057189644</v>
      </c>
      <c r="M192" s="15">
        <f>LN(F192/F191)</f>
        <v>-0.012170504856566977</v>
      </c>
      <c r="O192" s="14">
        <v>44706</v>
      </c>
      <c r="P192" s="15">
        <f>I193</f>
        <v>-0.03197994939877276</v>
      </c>
      <c r="Q192" s="15">
        <f>J193</f>
        <v>-0.06252034785382929</v>
      </c>
      <c r="R192" s="15">
        <f>K193</f>
        <v>-0.024486478143481868</v>
      </c>
      <c r="S192" s="15">
        <f>L193</f>
        <v>-0.006180277818558741</v>
      </c>
      <c r="T192" s="15">
        <f>M193</f>
        <v>-0.02925014433731132</v>
      </c>
    </row>
    <row r="193" spans="1:20">
      <c r="A193" s="14">
        <v>44706</v>
      </c>
      <c r="B193" s="10">
        <v>745.3557739257812</v>
      </c>
      <c r="C193" s="10">
        <v>50.6587028503418</v>
      </c>
      <c r="D193" s="10">
        <v>546.5301513671875</v>
      </c>
      <c r="E193" s="10">
        <v>16025.7998046875</v>
      </c>
      <c r="F193" s="10">
        <v>380.7000122070313</v>
      </c>
      <c r="I193" s="15">
        <f>LN(B193/B192)</f>
        <v>-0.03197994939877276</v>
      </c>
      <c r="J193" s="15">
        <f>LN(C193/C192)</f>
        <v>-0.06252034785382929</v>
      </c>
      <c r="K193" s="15">
        <f>LN(D193/D192)</f>
        <v>-0.024486478143481868</v>
      </c>
      <c r="L193" s="15">
        <f>LN(E193/E192)</f>
        <v>-0.006180277818558741</v>
      </c>
      <c r="M193" s="15">
        <f>LN(F193/F192)</f>
        <v>-0.02925014433731132</v>
      </c>
      <c r="O193" s="14">
        <v>44707</v>
      </c>
      <c r="P193" s="15">
        <f>I194</f>
        <v>0.0069860741920571125</v>
      </c>
      <c r="Q193" s="15">
        <f>J194</f>
        <v>-0.026747644908459274</v>
      </c>
      <c r="R193" s="15">
        <f>K194</f>
        <v>0.0029014136996257443</v>
      </c>
      <c r="S193" s="15">
        <f>L194</f>
        <v>0.008967062770830264</v>
      </c>
      <c r="T193" s="15">
        <f>M194</f>
        <v>0.01382567401167967</v>
      </c>
    </row>
    <row r="194" spans="1:20">
      <c r="A194" s="14">
        <v>44707</v>
      </c>
      <c r="B194" s="10">
        <v>750.5811157226562</v>
      </c>
      <c r="C194" s="10">
        <v>49.32166290283203</v>
      </c>
      <c r="D194" s="10">
        <v>548.1181640625</v>
      </c>
      <c r="E194" s="10">
        <v>16170.150390625</v>
      </c>
      <c r="F194" s="10">
        <v>386</v>
      </c>
      <c r="I194" s="15">
        <f>LN(B194/B193)</f>
        <v>0.0069860741920571125</v>
      </c>
      <c r="J194" s="15">
        <f>LN(C194/C193)</f>
        <v>-0.026747644908459274</v>
      </c>
      <c r="K194" s="15">
        <f>LN(D194/D193)</f>
        <v>0.0029014136996257443</v>
      </c>
      <c r="L194" s="15">
        <f>LN(E194/E193)</f>
        <v>0.008967062770830264</v>
      </c>
      <c r="M194" s="15">
        <f>LN(F194/F193)</f>
        <v>0.01382567401167967</v>
      </c>
      <c r="O194" s="14">
        <v>44708</v>
      </c>
      <c r="P194" s="15">
        <f>I195</f>
        <v>-0.015804138252251788</v>
      </c>
      <c r="Q194" s="15">
        <f>J195</f>
        <v>0.04993706630900673</v>
      </c>
      <c r="R194" s="15">
        <f>K195</f>
        <v>0.012506364679282535</v>
      </c>
      <c r="S194" s="15">
        <f>L195</f>
        <v>0.011210771015034579</v>
      </c>
      <c r="T194" s="15">
        <f>M195</f>
        <v>0.004781313208843765</v>
      </c>
    </row>
    <row r="195" spans="1:20">
      <c r="A195" s="14">
        <v>44708</v>
      </c>
      <c r="B195" s="10">
        <v>738.8120727539062</v>
      </c>
      <c r="C195" s="10">
        <v>51.84717559814453</v>
      </c>
      <c r="D195" s="10">
        <v>555.0161743164062</v>
      </c>
      <c r="E195" s="10">
        <v>16352.4501953125</v>
      </c>
      <c r="F195" s="10">
        <v>387.8500061035156</v>
      </c>
      <c r="I195" s="15">
        <f>LN(B195/B194)</f>
        <v>-0.015804138252251788</v>
      </c>
      <c r="J195" s="15">
        <f>LN(C195/C194)</f>
        <v>0.04993706630900673</v>
      </c>
      <c r="K195" s="15">
        <f>LN(D195/D194)</f>
        <v>0.012506364679282535</v>
      </c>
      <c r="L195" s="15">
        <f>LN(E195/E194)</f>
        <v>0.011210771015034579</v>
      </c>
      <c r="M195" s="15">
        <f>LN(F195/F194)</f>
        <v>0.004781313208843765</v>
      </c>
      <c r="O195" s="14">
        <v>44711</v>
      </c>
      <c r="P195" s="15">
        <f>I196</f>
        <v>0.05020884632936394</v>
      </c>
      <c r="Q195" s="15">
        <f>J196</f>
        <v>0.012339906407977467</v>
      </c>
      <c r="R195" s="15">
        <f>K196</f>
        <v>0.015570110561774913</v>
      </c>
      <c r="S195" s="15">
        <f>L196</f>
        <v>0.018716945110386057</v>
      </c>
      <c r="T195" s="15">
        <f>M196</f>
        <v>0.03980562092846401</v>
      </c>
    </row>
    <row r="196" spans="1:20">
      <c r="A196" s="14">
        <v>44711</v>
      </c>
      <c r="B196" s="10">
        <v>776.85400390625</v>
      </c>
      <c r="C196" s="10">
        <v>52.49092864990234</v>
      </c>
      <c r="D196" s="10">
        <v>563.7254638671875</v>
      </c>
      <c r="E196" s="10">
        <v>16661.400390625</v>
      </c>
      <c r="F196" s="10">
        <v>403.6000061035156</v>
      </c>
      <c r="I196" s="15">
        <f>LN(B196/B195)</f>
        <v>0.05020884632936394</v>
      </c>
      <c r="J196" s="15">
        <f>LN(C196/C195)</f>
        <v>0.012339906407977467</v>
      </c>
      <c r="K196" s="15">
        <f>LN(D196/D195)</f>
        <v>0.015570110561774913</v>
      </c>
      <c r="L196" s="15">
        <f>LN(E196/E195)</f>
        <v>0.018716945110386057</v>
      </c>
      <c r="M196" s="15">
        <f>LN(F196/F195)</f>
        <v>0.03980562092846401</v>
      </c>
      <c r="O196" s="14">
        <v>44712</v>
      </c>
      <c r="P196" s="15">
        <f>I197</f>
        <v>0.012928193451942903</v>
      </c>
      <c r="Q196" s="15">
        <f>J197</f>
        <v>0.012189702767907862</v>
      </c>
      <c r="R196" s="15">
        <f>K197</f>
        <v>0.026881415785244858</v>
      </c>
      <c r="S196" s="15">
        <f>L197</f>
        <v>-0.004623104079880039</v>
      </c>
      <c r="T196" s="15">
        <f>M197</f>
        <v>0.019870654824026654</v>
      </c>
    </row>
    <row r="197" spans="1:20">
      <c r="A197" s="14">
        <v>44712</v>
      </c>
      <c r="B197" s="10">
        <v>786.9625244140625</v>
      </c>
      <c r="C197" s="10">
        <v>53.13469314575195</v>
      </c>
      <c r="D197" s="10">
        <v>579.084716796875</v>
      </c>
      <c r="E197" s="10">
        <v>16584.55078125</v>
      </c>
      <c r="F197" s="10">
        <v>411.7000122070313</v>
      </c>
      <c r="I197" s="15">
        <f>LN(B197/B196)</f>
        <v>0.012928193451942903</v>
      </c>
      <c r="J197" s="15">
        <f>LN(C197/C196)</f>
        <v>0.012189702767907862</v>
      </c>
      <c r="K197" s="15">
        <f>LN(D197/D196)</f>
        <v>0.026881415785244858</v>
      </c>
      <c r="L197" s="15">
        <f>LN(E197/E196)</f>
        <v>-0.004623104079880039</v>
      </c>
      <c r="M197" s="15">
        <f>LN(F197/F196)</f>
        <v>0.019870654824026654</v>
      </c>
      <c r="O197" s="14">
        <v>44713</v>
      </c>
      <c r="P197" s="15">
        <f>I198</f>
        <v>-0.012865341757408996</v>
      </c>
      <c r="Q197" s="15">
        <f>J198</f>
        <v>0.0009314387863876869</v>
      </c>
      <c r="R197" s="15">
        <f>K198</f>
        <v>-0.017244453336620256</v>
      </c>
      <c r="S197" s="15">
        <f>L198</f>
        <v>-0.003733367056413342</v>
      </c>
      <c r="T197" s="15">
        <f>M198</f>
        <v>-0.011236087924563095</v>
      </c>
    </row>
    <row r="198" spans="1:20">
      <c r="A198" s="14">
        <v>44713</v>
      </c>
      <c r="B198" s="10">
        <v>776.90283203125</v>
      </c>
      <c r="C198" s="10">
        <v>53.18420791625977</v>
      </c>
      <c r="D198" s="10">
        <v>569.184326171875</v>
      </c>
      <c r="E198" s="10">
        <v>16522.75</v>
      </c>
      <c r="F198" s="10">
        <v>407.1000061035156</v>
      </c>
      <c r="I198" s="15">
        <f>LN(B198/B197)</f>
        <v>-0.012865341757408996</v>
      </c>
      <c r="J198" s="15">
        <f>LN(C198/C197)</f>
        <v>0.0009314387863876869</v>
      </c>
      <c r="K198" s="15">
        <f>LN(D198/D197)</f>
        <v>-0.017244453336620256</v>
      </c>
      <c r="L198" s="15">
        <f>LN(E198/E197)</f>
        <v>-0.003733367056413342</v>
      </c>
      <c r="M198" s="15">
        <f>LN(F198/F197)</f>
        <v>-0.011236087924563095</v>
      </c>
      <c r="O198" s="14">
        <v>44714</v>
      </c>
      <c r="P198" s="15">
        <f>I199</f>
        <v>-0.01290607595255017</v>
      </c>
      <c r="Q198" s="15">
        <f>J199</f>
        <v>0.01570469833874457</v>
      </c>
      <c r="R198" s="15">
        <f>K199</f>
        <v>0.0003051376257615127</v>
      </c>
      <c r="S198" s="15">
        <f>L199</f>
        <v>0.006349802260260305</v>
      </c>
      <c r="T198" s="15">
        <f>M199</f>
        <v>0.009047577837534359</v>
      </c>
    </row>
    <row r="199" spans="1:20">
      <c r="A199" s="14">
        <v>44714</v>
      </c>
      <c r="B199" s="10">
        <v>766.9404907226562</v>
      </c>
      <c r="C199" s="10">
        <v>54.02604293823242</v>
      </c>
      <c r="D199" s="10">
        <v>569.3580322265625</v>
      </c>
      <c r="E199" s="10">
        <v>16628</v>
      </c>
      <c r="F199" s="10">
        <v>410.7999877929687</v>
      </c>
      <c r="I199" s="15">
        <f>LN(B199/B198)</f>
        <v>-0.01290607595255017</v>
      </c>
      <c r="J199" s="15">
        <f>LN(C199/C198)</f>
        <v>0.01570469833874457</v>
      </c>
      <c r="K199" s="15">
        <f>LN(D199/D198)</f>
        <v>0.0003051376257615127</v>
      </c>
      <c r="L199" s="15">
        <f>LN(E199/E198)</f>
        <v>0.006349802260260305</v>
      </c>
      <c r="M199" s="15">
        <f>LN(F199/F198)</f>
        <v>0.009047577837534359</v>
      </c>
      <c r="O199" s="14">
        <v>44715</v>
      </c>
      <c r="P199" s="15">
        <f>I200</f>
        <v>-0.027434510683152932</v>
      </c>
      <c r="Q199" s="15">
        <f>J200</f>
        <v>-0.01570469833874464</v>
      </c>
      <c r="R199" s="15">
        <f>K200</f>
        <v>-0.0019194337556221125</v>
      </c>
      <c r="S199" s="15">
        <f>L200</f>
        <v>-0.0026315095876877827</v>
      </c>
      <c r="T199" s="15">
        <f>M200</f>
        <v>-0.009661866194588678</v>
      </c>
    </row>
    <row r="200" spans="1:20">
      <c r="A200" s="14">
        <v>44715</v>
      </c>
      <c r="B200" s="10">
        <v>746.1858520507812</v>
      </c>
      <c r="C200" s="10">
        <v>53.18420791625977</v>
      </c>
      <c r="D200" s="10">
        <v>568.2662353515625</v>
      </c>
      <c r="E200" s="10">
        <v>16584.30078125</v>
      </c>
      <c r="F200" s="10">
        <v>406.8500061035156</v>
      </c>
      <c r="I200" s="15">
        <f>LN(B200/B199)</f>
        <v>-0.027434510683152932</v>
      </c>
      <c r="J200" s="15">
        <f>LN(C200/C199)</f>
        <v>-0.01570469833874464</v>
      </c>
      <c r="K200" s="15">
        <f>LN(D200/D199)</f>
        <v>-0.0019194337556221125</v>
      </c>
      <c r="L200" s="15">
        <f>LN(E200/E199)</f>
        <v>-0.0026315095876877827</v>
      </c>
      <c r="M200" s="15">
        <f>LN(F200/F199)</f>
        <v>-0.009661866194588678</v>
      </c>
      <c r="O200" s="14">
        <v>44718</v>
      </c>
      <c r="P200" s="15">
        <f>I201</f>
        <v>-6.527548629687736e-05</v>
      </c>
      <c r="Q200" s="15">
        <f>J201</f>
        <v>0.0</v>
      </c>
      <c r="R200" s="15">
        <f>K201</f>
        <v>-0.031852887481815376</v>
      </c>
      <c r="S200" s="15">
        <f>L201</f>
        <v>-0.0008897910968418909</v>
      </c>
      <c r="T200" s="15">
        <f>M201</f>
        <v>-0.008268094434544454</v>
      </c>
    </row>
    <row r="201" spans="1:20">
      <c r="A201" s="14">
        <v>44718</v>
      </c>
      <c r="B201" s="10">
        <v>746.1371459960938</v>
      </c>
      <c r="C201" s="10">
        <v>53.18420791625977</v>
      </c>
      <c r="D201" s="10">
        <v>550.4505615234375</v>
      </c>
      <c r="E201" s="10">
        <v>16569.55078125</v>
      </c>
      <c r="F201" s="10">
        <v>403.5</v>
      </c>
      <c r="I201" s="15">
        <f>LN(B201/B200)</f>
        <v>-6.527548629687736e-05</v>
      </c>
      <c r="J201" s="15">
        <f>LN(C201/C200)</f>
        <v>0.0</v>
      </c>
      <c r="K201" s="15">
        <f>LN(D201/D200)</f>
        <v>-0.031852887481815376</v>
      </c>
      <c r="L201" s="15">
        <f>LN(E201/E200)</f>
        <v>-0.0008897910968418909</v>
      </c>
      <c r="M201" s="15">
        <f>LN(F201/F200)</f>
        <v>-0.008268094434544454</v>
      </c>
      <c r="O201" s="14">
        <v>44719</v>
      </c>
      <c r="P201" s="15">
        <f>I202</f>
        <v>0.0034627097522187877</v>
      </c>
      <c r="Q201" s="15">
        <f>J202</f>
        <v>0.003717532290619606</v>
      </c>
      <c r="R201" s="15">
        <f>K202</f>
        <v>0.009644993773522008</v>
      </c>
      <c r="S201" s="15">
        <f>L202</f>
        <v>-0.009288955076891798</v>
      </c>
      <c r="T201" s="15">
        <f>M202</f>
        <v>-0.016870128303485034</v>
      </c>
    </row>
    <row r="202" spans="1:20">
      <c r="A202" s="14">
        <v>44719</v>
      </c>
      <c r="B202" s="10">
        <v>748.7252807617188</v>
      </c>
      <c r="C202" s="10">
        <v>53.38228988647461</v>
      </c>
      <c r="D202" s="10">
        <v>555.7853393554688</v>
      </c>
      <c r="E202" s="10">
        <v>16416.349609375</v>
      </c>
      <c r="F202" s="10">
        <v>396.75</v>
      </c>
      <c r="I202" s="15">
        <f>LN(B202/B201)</f>
        <v>0.0034627097522187877</v>
      </c>
      <c r="J202" s="15">
        <f>LN(C202/C201)</f>
        <v>0.003717532290619606</v>
      </c>
      <c r="K202" s="15">
        <f>LN(D202/D201)</f>
        <v>0.009644993773522008</v>
      </c>
      <c r="L202" s="15">
        <f>LN(E202/E201)</f>
        <v>-0.009288955076891798</v>
      </c>
      <c r="M202" s="15">
        <f>LN(F202/F201)</f>
        <v>-0.016870128303485034</v>
      </c>
      <c r="O202" s="14">
        <v>44720</v>
      </c>
      <c r="P202" s="15">
        <f>I203</f>
        <v>0.018546265688026774</v>
      </c>
      <c r="Q202" s="15">
        <f>J203</f>
        <v>-0.009319800330918527</v>
      </c>
      <c r="R202" s="15">
        <f>K203</f>
        <v>0.009331585483820874</v>
      </c>
      <c r="S202" s="15">
        <f>L203</f>
        <v>-0.003667678332650513</v>
      </c>
      <c r="T202" s="15">
        <f>M203</f>
        <v>0.01872713905069773</v>
      </c>
    </row>
    <row r="203" spans="1:20">
      <c r="A203" s="14">
        <v>44720</v>
      </c>
      <c r="B203" s="10">
        <v>762.7409057617188</v>
      </c>
      <c r="C203" s="10">
        <v>52.88708877563477</v>
      </c>
      <c r="D203" s="10">
        <v>560.9959716796875</v>
      </c>
      <c r="E203" s="10">
        <v>16356.25</v>
      </c>
      <c r="F203" s="10">
        <v>404.25</v>
      </c>
      <c r="I203" s="15">
        <f>LN(B203/B202)</f>
        <v>0.018546265688026774</v>
      </c>
      <c r="J203" s="15">
        <f>LN(C203/C202)</f>
        <v>-0.009319800330918527</v>
      </c>
      <c r="K203" s="15">
        <f>LN(D203/D202)</f>
        <v>0.009331585483820874</v>
      </c>
      <c r="L203" s="15">
        <f>LN(E203/E202)</f>
        <v>-0.003667678332650513</v>
      </c>
      <c r="M203" s="15">
        <f>LN(F203/F202)</f>
        <v>0.01872713905069773</v>
      </c>
      <c r="O203" s="14">
        <v>44721</v>
      </c>
      <c r="P203" s="15">
        <f>I204</f>
        <v>0.017642169635141265</v>
      </c>
      <c r="Q203" s="15">
        <f>J204</f>
        <v>0.01579223415591238</v>
      </c>
      <c r="R203" s="15">
        <f>K204</f>
        <v>-0.022996587579831893</v>
      </c>
      <c r="S203" s="15">
        <f>L204</f>
        <v>0.007422115570615706</v>
      </c>
      <c r="T203" s="15">
        <f>M204</f>
        <v>0.0025940050585381877</v>
      </c>
    </row>
    <row r="204" spans="1:20">
      <c r="A204" s="14">
        <v>44721</v>
      </c>
      <c r="B204" s="10">
        <v>776.3167114257812</v>
      </c>
      <c r="C204" s="10">
        <v>53.72892379760742</v>
      </c>
      <c r="D204" s="10">
        <v>548.2421875</v>
      </c>
      <c r="E204" s="10">
        <v>16478.099609375</v>
      </c>
      <c r="F204" s="10">
        <v>405.2999877929687</v>
      </c>
      <c r="I204" s="15">
        <f>LN(B204/B203)</f>
        <v>0.017642169635141265</v>
      </c>
      <c r="J204" s="15">
        <f>LN(C204/C203)</f>
        <v>0.01579223415591238</v>
      </c>
      <c r="K204" s="15">
        <f>LN(D204/D203)</f>
        <v>-0.022996587579831893</v>
      </c>
      <c r="L204" s="15">
        <f>LN(E204/E203)</f>
        <v>0.007422115570615706</v>
      </c>
      <c r="M204" s="15">
        <f>LN(F204/F203)</f>
        <v>0.0025940050585381877</v>
      </c>
      <c r="O204" s="14">
        <v>44722</v>
      </c>
      <c r="P204" s="15">
        <f>I205</f>
        <v>-0.0025195299229447926</v>
      </c>
      <c r="Q204" s="15">
        <f>J205</f>
        <v>-0.0018449757055110057</v>
      </c>
      <c r="R204" s="15">
        <f>K205</f>
        <v>0.013352411616865177</v>
      </c>
      <c r="S204" s="15">
        <f>L205</f>
        <v>-0.01690986774485526</v>
      </c>
      <c r="T204" s="15">
        <f>M205</f>
        <v>-0.012038558262779012</v>
      </c>
    </row>
    <row r="205" spans="1:20">
      <c r="A205" s="14">
        <v>44722</v>
      </c>
      <c r="B205" s="10">
        <v>774.3632202148438</v>
      </c>
      <c r="C205" s="10">
        <v>53.62988662719727</v>
      </c>
      <c r="D205" s="10">
        <v>555.6116333007812</v>
      </c>
      <c r="E205" s="10">
        <v>16201.7998046875</v>
      </c>
      <c r="F205" s="10">
        <v>400.4500122070313</v>
      </c>
      <c r="I205" s="15">
        <f>LN(B205/B204)</f>
        <v>-0.0025195299229447926</v>
      </c>
      <c r="J205" s="15">
        <f>LN(C205/C204)</f>
        <v>-0.0018449757055110057</v>
      </c>
      <c r="K205" s="15">
        <f>LN(D205/D204)</f>
        <v>0.013352411616865177</v>
      </c>
      <c r="L205" s="15">
        <f>LN(E205/E204)</f>
        <v>-0.01690986774485526</v>
      </c>
      <c r="M205" s="15">
        <f>LN(F205/F204)</f>
        <v>-0.012038558262779012</v>
      </c>
      <c r="O205" s="14">
        <v>44725</v>
      </c>
      <c r="P205" s="15">
        <f>I206</f>
        <v>-0.025160732454478373</v>
      </c>
      <c r="Q205" s="15">
        <f>J206</f>
        <v>-0.055042379994377603</v>
      </c>
      <c r="R205" s="15">
        <f>K206</f>
        <v>-0.00771095789645335</v>
      </c>
      <c r="S205" s="15">
        <f>L206</f>
        <v>-0.026733937520215956</v>
      </c>
      <c r="T205" s="15">
        <f>M206</f>
        <v>-0.03197026257930067</v>
      </c>
    </row>
    <row r="206" spans="1:20">
      <c r="A206" s="14">
        <v>44725</v>
      </c>
      <c r="B206" s="10">
        <v>755.1227416992188</v>
      </c>
      <c r="C206" s="10">
        <v>50.75774002075195</v>
      </c>
      <c r="D206" s="10">
        <v>551.3438110351562</v>
      </c>
      <c r="E206" s="10">
        <v>15774.400390625</v>
      </c>
      <c r="F206" s="10">
        <v>387.8500061035156</v>
      </c>
      <c r="I206" s="15">
        <f>LN(B206/B205)</f>
        <v>-0.025160732454478373</v>
      </c>
      <c r="J206" s="15">
        <f>LN(C206/C205)</f>
        <v>-0.055042379994377603</v>
      </c>
      <c r="K206" s="15">
        <f>LN(D206/D205)</f>
        <v>-0.00771095789645335</v>
      </c>
      <c r="L206" s="15">
        <f>LN(E206/E205)</f>
        <v>-0.026733937520215956</v>
      </c>
      <c r="M206" s="15">
        <f>LN(F206/F205)</f>
        <v>-0.03197026257930067</v>
      </c>
      <c r="O206" s="14">
        <v>44726</v>
      </c>
      <c r="P206" s="15">
        <f>I207</f>
        <v>0.02098980891142505</v>
      </c>
      <c r="Q206" s="15">
        <f>J207</f>
        <v>-0.008819283184456985</v>
      </c>
      <c r="R206" s="15">
        <f>K207</f>
        <v>0.008782211744019351</v>
      </c>
      <c r="S206" s="15">
        <f>L207</f>
        <v>-0.0026852114114221596</v>
      </c>
      <c r="T206" s="15">
        <f>M207</f>
        <v>0.008088877311691053</v>
      </c>
    </row>
    <row r="207" spans="1:20">
      <c r="A207" s="14">
        <v>44726</v>
      </c>
      <c r="B207" s="10">
        <v>771.14013671875</v>
      </c>
      <c r="C207" s="10">
        <v>50.31206130981445</v>
      </c>
      <c r="D207" s="10">
        <v>556.2071533203125</v>
      </c>
      <c r="E207" s="10">
        <v>15732.099609375</v>
      </c>
      <c r="F207" s="10">
        <v>391</v>
      </c>
      <c r="I207" s="15">
        <f>LN(B207/B206)</f>
        <v>0.02098980891142505</v>
      </c>
      <c r="J207" s="15">
        <f>LN(C207/C206)</f>
        <v>-0.008819283184456985</v>
      </c>
      <c r="K207" s="15">
        <f>LN(D207/D206)</f>
        <v>0.008782211744019351</v>
      </c>
      <c r="L207" s="15">
        <f>LN(E207/E206)</f>
        <v>-0.0026852114114221596</v>
      </c>
      <c r="M207" s="15">
        <f>LN(F207/F206)</f>
        <v>0.008088877311691053</v>
      </c>
      <c r="O207" s="14">
        <v>44727</v>
      </c>
      <c r="P207" s="15">
        <f>I208</f>
        <v>-0.0063527082347629524</v>
      </c>
      <c r="Q207" s="15">
        <f>J208</f>
        <v>-0.002957130551190147</v>
      </c>
      <c r="R207" s="15">
        <f>K208</f>
        <v>-0.04498318869130044</v>
      </c>
      <c r="S207" s="15">
        <f>L208</f>
        <v>-0.0025425739848417965</v>
      </c>
      <c r="T207" s="15">
        <f>M208</f>
        <v>-0.006157007335604101</v>
      </c>
    </row>
    <row r="208" spans="1:20">
      <c r="A208" s="14">
        <v>44727</v>
      </c>
      <c r="B208" s="10">
        <v>766.2568359375</v>
      </c>
      <c r="C208" s="10">
        <v>50.16350173950195</v>
      </c>
      <c r="D208" s="10">
        <v>531.7415771484375</v>
      </c>
      <c r="E208" s="10">
        <v>15692.150390625</v>
      </c>
      <c r="F208" s="10">
        <v>388.6000061035156</v>
      </c>
      <c r="I208" s="15">
        <f>LN(B208/B207)</f>
        <v>-0.0063527082347629524</v>
      </c>
      <c r="J208" s="15">
        <f>LN(C208/C207)</f>
        <v>-0.002957130551190147</v>
      </c>
      <c r="K208" s="15">
        <f>LN(D208/D207)</f>
        <v>-0.04498318869130044</v>
      </c>
      <c r="L208" s="15">
        <f>LN(E208/E207)</f>
        <v>-0.0025425739848417965</v>
      </c>
      <c r="M208" s="15">
        <f>LN(F208/F207)</f>
        <v>-0.006157007335604101</v>
      </c>
      <c r="O208" s="14">
        <v>44728</v>
      </c>
      <c r="P208" s="15">
        <f>I209</f>
        <v>-0.03258167762950646</v>
      </c>
      <c r="Q208" s="15">
        <f>J209</f>
        <v>-0.04854335547005596</v>
      </c>
      <c r="R208" s="15">
        <f>K209</f>
        <v>-0.0056623155586107525</v>
      </c>
      <c r="S208" s="15">
        <f>L209</f>
        <v>-0.021354848179315097</v>
      </c>
      <c r="T208" s="15">
        <f>M209</f>
        <v>-0.0284502906119671</v>
      </c>
    </row>
    <row r="209" spans="1:20">
      <c r="A209" s="14">
        <v>44728</v>
      </c>
      <c r="B209" s="10">
        <v>741.6932373046875</v>
      </c>
      <c r="C209" s="10">
        <v>47.78655624389648</v>
      </c>
      <c r="D209" s="10">
        <v>528.7391967773438</v>
      </c>
      <c r="E209" s="10">
        <v>15360.599609375</v>
      </c>
      <c r="F209" s="10">
        <v>377.7000122070313</v>
      </c>
      <c r="I209" s="15">
        <f>LN(B209/B208)</f>
        <v>-0.03258167762950646</v>
      </c>
      <c r="J209" s="15">
        <f>LN(C209/C208)</f>
        <v>-0.04854335547005596</v>
      </c>
      <c r="K209" s="15">
        <f>LN(D209/D208)</f>
        <v>-0.0056623155586107525</v>
      </c>
      <c r="L209" s="15">
        <f>LN(E209/E208)</f>
        <v>-0.021354848179315097</v>
      </c>
      <c r="M209" s="15">
        <f>LN(F209/F208)</f>
        <v>-0.0284502906119671</v>
      </c>
      <c r="O209" s="14">
        <v>44729</v>
      </c>
      <c r="P209" s="15">
        <f>I210</f>
        <v>-0.003231542028313928</v>
      </c>
      <c r="Q209" s="15">
        <f>J210</f>
        <v>0.0031039132018970956</v>
      </c>
      <c r="R209" s="15">
        <f>K210</f>
        <v>0.017814116763475565</v>
      </c>
      <c r="S209" s="15">
        <f>L210</f>
        <v>-0.004377862497838008</v>
      </c>
      <c r="T209" s="15">
        <f>M210</f>
        <v>-0.000132437440169139</v>
      </c>
    </row>
    <row r="210" spans="1:20">
      <c r="A210" s="14">
        <v>44729</v>
      </c>
      <c r="B210" s="10">
        <v>739.30029296875</v>
      </c>
      <c r="C210" s="10">
        <v>47.93511199951172</v>
      </c>
      <c r="D210" s="10">
        <v>538.2426147460938</v>
      </c>
      <c r="E210" s="10">
        <v>15293.5</v>
      </c>
      <c r="F210" s="10">
        <v>377.6499938964844</v>
      </c>
      <c r="I210" s="15">
        <f>LN(B210/B209)</f>
        <v>-0.003231542028313928</v>
      </c>
      <c r="J210" s="15">
        <f>LN(C210/C209)</f>
        <v>0.0031039132018970956</v>
      </c>
      <c r="K210" s="15">
        <f>LN(D210/D209)</f>
        <v>0.017814116763475565</v>
      </c>
      <c r="L210" s="15">
        <f>LN(E210/E209)</f>
        <v>-0.004377862497838008</v>
      </c>
      <c r="M210" s="15">
        <f>LN(F210/F209)</f>
        <v>-0.000132437440169139</v>
      </c>
      <c r="O210" s="14">
        <v>44732</v>
      </c>
      <c r="P210" s="15">
        <f>I211</f>
        <v>-0.02129653166958876</v>
      </c>
      <c r="Q210" s="15">
        <f>J211</f>
        <v>-0.1101931393175556</v>
      </c>
      <c r="R210" s="15">
        <f>K211</f>
        <v>-0.00023056289941366195</v>
      </c>
      <c r="S210" s="15">
        <f>L211</f>
        <v>0.0036973698916184226</v>
      </c>
      <c r="T210" s="15">
        <f>M211</f>
        <v>-0.018439843579583934</v>
      </c>
    </row>
    <row r="211" spans="1:20">
      <c r="A211" s="14">
        <v>44732</v>
      </c>
      <c r="B211" s="10">
        <v>723.7222290039062</v>
      </c>
      <c r="C211" s="10">
        <v>42.93361663818359</v>
      </c>
      <c r="D211" s="10">
        <v>538.1185302734375</v>
      </c>
      <c r="E211" s="10">
        <v>15350.150390625</v>
      </c>
      <c r="F211" s="10">
        <v>370.75</v>
      </c>
      <c r="I211" s="15">
        <f>LN(B211/B210)</f>
        <v>-0.02129653166958876</v>
      </c>
      <c r="J211" s="15">
        <f>LN(C211/C210)</f>
        <v>-0.1101931393175556</v>
      </c>
      <c r="K211" s="15">
        <f>LN(D211/D210)</f>
        <v>-0.00023056289941366195</v>
      </c>
      <c r="L211" s="15">
        <f>LN(E211/E210)</f>
        <v>0.0036973698916184226</v>
      </c>
      <c r="M211" s="15">
        <f>LN(F211/F210)</f>
        <v>-0.018439843579583934</v>
      </c>
      <c r="O211" s="14">
        <v>44733</v>
      </c>
      <c r="P211" s="15">
        <f>I212</f>
        <v>0.035463624676103214</v>
      </c>
      <c r="Q211" s="15">
        <f>J212</f>
        <v>0.05606856543280591</v>
      </c>
      <c r="R211" s="15">
        <f>K212</f>
        <v>0.018457247872571185</v>
      </c>
      <c r="S211" s="15">
        <f>L212</f>
        <v>0.018629721921802747</v>
      </c>
      <c r="T211" s="15">
        <f>M212</f>
        <v>0.03589548478842812</v>
      </c>
    </row>
    <row r="212" spans="1:20">
      <c r="A212" s="14">
        <v>44733</v>
      </c>
      <c r="B212" s="10">
        <v>749.8485717773438</v>
      </c>
      <c r="C212" s="10">
        <v>45.40960693359375</v>
      </c>
      <c r="D212" s="10">
        <v>548.1429443359375</v>
      </c>
      <c r="E212" s="10">
        <v>15638.7998046875</v>
      </c>
      <c r="F212" s="10">
        <v>384.2999877929687</v>
      </c>
      <c r="I212" s="15">
        <f>LN(B212/B211)</f>
        <v>0.035463624676103214</v>
      </c>
      <c r="J212" s="15">
        <f>LN(C212/C211)</f>
        <v>0.05606856543280591</v>
      </c>
      <c r="K212" s="15">
        <f>LN(D212/D211)</f>
        <v>0.018457247872571185</v>
      </c>
      <c r="L212" s="15">
        <f>LN(E212/E211)</f>
        <v>0.018629721921802747</v>
      </c>
      <c r="M212" s="15">
        <f>LN(F212/F211)</f>
        <v>0.03589548478842812</v>
      </c>
      <c r="O212" s="14">
        <v>44734</v>
      </c>
      <c r="P212" s="15">
        <f>I213</f>
        <v>-0.013968725799933763</v>
      </c>
      <c r="Q212" s="15">
        <f>J213</f>
        <v>0.023707950052897882</v>
      </c>
      <c r="R212" s="15">
        <f>K213</f>
        <v>0.009281932078423606</v>
      </c>
      <c r="S212" s="15">
        <f>L213</f>
        <v>-0.01452423294963793</v>
      </c>
      <c r="T212" s="15">
        <f>M213</f>
        <v>-0.022100331473410104</v>
      </c>
    </row>
    <row r="213" spans="1:20">
      <c r="A213" s="14">
        <v>44734</v>
      </c>
      <c r="B213" s="10">
        <v>739.4469604492188</v>
      </c>
      <c r="C213" s="10">
        <v>46.49903869628906</v>
      </c>
      <c r="D213" s="10">
        <v>553.2544555664062</v>
      </c>
      <c r="E213" s="10">
        <v>15413.2998046875</v>
      </c>
      <c r="F213" s="10">
        <v>375.8999938964844</v>
      </c>
      <c r="I213" s="15">
        <f>LN(B213/B212)</f>
        <v>-0.013968725799933763</v>
      </c>
      <c r="J213" s="15">
        <f>LN(C213/C212)</f>
        <v>0.023707950052897882</v>
      </c>
      <c r="K213" s="15">
        <f>LN(D213/D212)</f>
        <v>0.009281932078423606</v>
      </c>
      <c r="L213" s="15">
        <f>LN(E213/E212)</f>
        <v>-0.01452423294963793</v>
      </c>
      <c r="M213" s="15">
        <f>LN(F213/F212)</f>
        <v>-0.022100331473410104</v>
      </c>
      <c r="O213" s="14">
        <v>44735</v>
      </c>
      <c r="P213" s="15">
        <f>I214</f>
        <v>-0.009822247655514788</v>
      </c>
      <c r="Q213" s="15">
        <f>J214</f>
        <v>0.067927492137227</v>
      </c>
      <c r="R213" s="15">
        <f>K214</f>
        <v>0.021825559441418608</v>
      </c>
      <c r="S213" s="15">
        <f>L214</f>
        <v>0.009257464658604653</v>
      </c>
      <c r="T213" s="15">
        <f>M214</f>
        <v>0.01649005138431537</v>
      </c>
    </row>
    <row r="214" spans="1:20">
      <c r="A214" s="14">
        <v>44735</v>
      </c>
      <c r="B214" s="10">
        <v>732.219482421875</v>
      </c>
      <c r="C214" s="10">
        <v>49.76734924316406</v>
      </c>
      <c r="D214" s="10">
        <v>565.4622802734375</v>
      </c>
      <c r="E214" s="10">
        <v>15556.650390625</v>
      </c>
      <c r="F214" s="10">
        <v>382.1499938964844</v>
      </c>
      <c r="I214" s="15">
        <f>LN(B214/B213)</f>
        <v>-0.009822247655514788</v>
      </c>
      <c r="J214" s="15">
        <f>LN(C214/C213)</f>
        <v>0.067927492137227</v>
      </c>
      <c r="K214" s="15">
        <f>LN(D214/D213)</f>
        <v>0.021825559441418608</v>
      </c>
      <c r="L214" s="15">
        <f>LN(E214/E213)</f>
        <v>0.009257464658604653</v>
      </c>
      <c r="M214" s="15">
        <f>LN(F214/F213)</f>
        <v>0.01649005138431537</v>
      </c>
      <c r="O214" s="14">
        <v>44736</v>
      </c>
      <c r="P214" s="15">
        <f>I215</f>
        <v>0.011933248695065657</v>
      </c>
      <c r="Q214" s="15">
        <f>J215</f>
        <v>0.01775190791988522</v>
      </c>
      <c r="R214" s="15">
        <f>K215</f>
        <v>-0.011518904229531425</v>
      </c>
      <c r="S214" s="15">
        <f>L215</f>
        <v>0.009124715461734611</v>
      </c>
      <c r="T214" s="15">
        <f>M215</f>
        <v>0.0027438922348398224</v>
      </c>
    </row>
    <row r="215" spans="1:20">
      <c r="A215" s="14">
        <v>44736</v>
      </c>
      <c r="B215" s="10">
        <v>741.0095825195312</v>
      </c>
      <c r="C215" s="10">
        <v>50.6587028503418</v>
      </c>
      <c r="D215" s="10">
        <v>558.9861450195312</v>
      </c>
      <c r="E215" s="10">
        <v>15699.25</v>
      </c>
      <c r="F215" s="10">
        <v>383.2000122070313</v>
      </c>
      <c r="I215" s="15">
        <f>LN(B215/B214)</f>
        <v>0.011933248695065657</v>
      </c>
      <c r="J215" s="15">
        <f>LN(C215/C214)</f>
        <v>0.01775190791988522</v>
      </c>
      <c r="K215" s="15">
        <f>LN(D215/D214)</f>
        <v>-0.011518904229531425</v>
      </c>
      <c r="L215" s="15">
        <f>LN(E215/E214)</f>
        <v>0.009124715461734611</v>
      </c>
      <c r="M215" s="15">
        <f>LN(F215/F214)</f>
        <v>0.0027438922348398224</v>
      </c>
      <c r="O215" s="14">
        <v>44739</v>
      </c>
      <c r="P215" s="15">
        <f>I216</f>
        <v>-0.00634658509976998</v>
      </c>
      <c r="Q215" s="15">
        <f>J216</f>
        <v>0.03647225726092545</v>
      </c>
      <c r="R215" s="15">
        <f>K216</f>
        <v>0.00703318809546477</v>
      </c>
      <c r="S215" s="15">
        <f>L216</f>
        <v>0.008423413606869335</v>
      </c>
      <c r="T215" s="15">
        <f>M216</f>
        <v>0.008574790075261938</v>
      </c>
    </row>
    <row r="216" spans="1:20">
      <c r="A216" s="14">
        <v>44739</v>
      </c>
      <c r="B216" s="10">
        <v>736.3215942382812</v>
      </c>
      <c r="C216" s="10">
        <v>52.54044723510742</v>
      </c>
      <c r="D216" s="10">
        <v>562.9314575195312</v>
      </c>
      <c r="E216" s="10">
        <v>15832.0498046875</v>
      </c>
      <c r="F216" s="10">
        <v>386.5</v>
      </c>
      <c r="I216" s="15">
        <f>LN(B216/B215)</f>
        <v>-0.00634658509976998</v>
      </c>
      <c r="J216" s="15">
        <f>LN(C216/C215)</f>
        <v>0.03647225726092545</v>
      </c>
      <c r="K216" s="15">
        <f>LN(D216/D215)</f>
        <v>0.00703318809546477</v>
      </c>
      <c r="L216" s="15">
        <f>LN(E216/E215)</f>
        <v>0.008423413606869335</v>
      </c>
      <c r="M216" s="15">
        <f>LN(F216/F215)</f>
        <v>0.008574790075261938</v>
      </c>
      <c r="O216" s="14">
        <v>44740</v>
      </c>
      <c r="P216" s="15">
        <f>I217</f>
        <v>-0.008391952182238616</v>
      </c>
      <c r="Q216" s="15">
        <f>J217</f>
        <v>-0.0028314599042520462</v>
      </c>
      <c r="R216" s="15">
        <f>K217</f>
        <v>0.04734724745179819</v>
      </c>
      <c r="S216" s="15">
        <f>L217</f>
        <v>0.0011457767431705531</v>
      </c>
      <c r="T216" s="15">
        <f>M217</f>
        <v>0.006704527649270206</v>
      </c>
    </row>
    <row r="217" spans="1:20">
      <c r="A217" s="14">
        <v>44740</v>
      </c>
      <c r="B217" s="10">
        <v>730.1682739257812</v>
      </c>
      <c r="C217" s="10">
        <v>52.39189147949219</v>
      </c>
      <c r="D217" s="10">
        <v>590.2257690429688</v>
      </c>
      <c r="E217" s="10">
        <v>15850.2001953125</v>
      </c>
      <c r="F217" s="10">
        <v>389.1000061035156</v>
      </c>
      <c r="I217" s="15">
        <f>LN(B217/B216)</f>
        <v>-0.008391952182238616</v>
      </c>
      <c r="J217" s="15">
        <f>LN(C217/C216)</f>
        <v>-0.0028314599042520462</v>
      </c>
      <c r="K217" s="15">
        <f>LN(D217/D216)</f>
        <v>0.04734724745179819</v>
      </c>
      <c r="L217" s="15">
        <f>LN(E217/E216)</f>
        <v>0.0011457767431705531</v>
      </c>
      <c r="M217" s="15">
        <f>LN(F217/F216)</f>
        <v>0.006704527649270206</v>
      </c>
      <c r="O217" s="14">
        <v>44741</v>
      </c>
      <c r="P217" s="15">
        <f>I218</f>
        <v>-0.01028536517090434</v>
      </c>
      <c r="Q217" s="15">
        <f>J218</f>
        <v>0.008470585520741146</v>
      </c>
      <c r="R217" s="15">
        <f>K218</f>
        <v>0.01667606704840011</v>
      </c>
      <c r="S217" s="15">
        <f>L218</f>
        <v>-0.003229179201912245</v>
      </c>
      <c r="T217" s="15">
        <f>M218</f>
        <v>0.0021821614038534374</v>
      </c>
    </row>
    <row r="218" spans="1:20">
      <c r="A218" s="14">
        <v>44741</v>
      </c>
      <c r="B218" s="10">
        <v>722.6967163085938</v>
      </c>
      <c r="C218" s="10">
        <v>52.83756637573242</v>
      </c>
      <c r="D218" s="10">
        <v>600.1509399414062</v>
      </c>
      <c r="E218" s="10">
        <v>15799.099609375</v>
      </c>
      <c r="F218" s="10">
        <v>389.9500122070313</v>
      </c>
      <c r="I218" s="15">
        <f>LN(B218/B217)</f>
        <v>-0.01028536517090434</v>
      </c>
      <c r="J218" s="15">
        <f>LN(C218/C217)</f>
        <v>0.008470585520741146</v>
      </c>
      <c r="K218" s="15">
        <f>LN(D218/D217)</f>
        <v>0.01667606704840011</v>
      </c>
      <c r="L218" s="15">
        <f>LN(E218/E217)</f>
        <v>-0.003229179201912245</v>
      </c>
      <c r="M218" s="15">
        <f>LN(F218/F217)</f>
        <v>0.0021821614038534374</v>
      </c>
      <c r="O218" s="14">
        <v>44742</v>
      </c>
      <c r="P218" s="15">
        <f>I219</f>
        <v>-0.0031129431676343825</v>
      </c>
      <c r="Q218" s="15">
        <f>J219</f>
        <v>-0.04406843554128698</v>
      </c>
      <c r="R218" s="15">
        <f>K219</f>
        <v>-0.02143803559858792</v>
      </c>
      <c r="S218" s="15">
        <f>L219</f>
        <v>-0.0011937935294284723</v>
      </c>
      <c r="T218" s="15">
        <f>M219</f>
        <v>-0.011996337130376377</v>
      </c>
    </row>
    <row r="219" spans="1:20">
      <c r="A219" s="14">
        <v>44742</v>
      </c>
      <c r="B219" s="10">
        <v>720.4505004882812</v>
      </c>
      <c r="C219" s="10">
        <v>50.55965805053711</v>
      </c>
      <c r="D219" s="10">
        <v>587.4218139648438</v>
      </c>
      <c r="E219" s="10">
        <v>15780.25</v>
      </c>
      <c r="F219" s="10">
        <v>385.2999877929687</v>
      </c>
      <c r="I219" s="15">
        <f>LN(B219/B218)</f>
        <v>-0.0031129431676343825</v>
      </c>
      <c r="J219" s="15">
        <f>LN(C219/C218)</f>
        <v>-0.04406843554128698</v>
      </c>
      <c r="K219" s="15">
        <f>LN(D219/D218)</f>
        <v>-0.02143803559858792</v>
      </c>
      <c r="L219" s="15">
        <f>LN(E219/E218)</f>
        <v>-0.0011937935294284723</v>
      </c>
      <c r="M219" s="15">
        <f>LN(F219/F218)</f>
        <v>-0.011996337130376377</v>
      </c>
      <c r="O219" s="14">
        <v>44743</v>
      </c>
      <c r="P219" s="15">
        <f>I220</f>
        <v>0.006014310667956803</v>
      </c>
      <c r="Q219" s="15">
        <f>J220</f>
        <v>0.04922950307714899</v>
      </c>
      <c r="R219" s="15">
        <f>K220</f>
        <v>0.0031630087647198605</v>
      </c>
      <c r="S219" s="15">
        <f>L220</f>
        <v>-0.0017886549985601772</v>
      </c>
      <c r="T219" s="15">
        <f>M220</f>
        <v>0.01570781941769056</v>
      </c>
    </row>
    <row r="220" spans="1:20">
      <c r="A220" s="14">
        <v>44743</v>
      </c>
      <c r="B220" s="10">
        <v>724.7965698242188</v>
      </c>
      <c r="C220" s="10">
        <v>53.11096954345703</v>
      </c>
      <c r="D220" s="10">
        <v>589.2827758789062</v>
      </c>
      <c r="E220" s="10">
        <v>15752.0498046875</v>
      </c>
      <c r="F220" s="10">
        <v>391.3999938964844</v>
      </c>
      <c r="I220" s="15">
        <f>LN(B220/B219)</f>
        <v>0.006014310667956803</v>
      </c>
      <c r="J220" s="15">
        <f>LN(C220/C219)</f>
        <v>0.04922950307714899</v>
      </c>
      <c r="K220" s="15">
        <f>LN(D220/D219)</f>
        <v>0.0031630087647198605</v>
      </c>
      <c r="L220" s="15">
        <f>LN(E220/E219)</f>
        <v>-0.0017886549985601772</v>
      </c>
      <c r="M220" s="15">
        <f>LN(F220/F219)</f>
        <v>0.01570781941769056</v>
      </c>
      <c r="O220" s="14">
        <v>44746</v>
      </c>
      <c r="P220" s="15">
        <f>I221</f>
        <v>0.03326363114395096</v>
      </c>
      <c r="Q220" s="15">
        <f>J221</f>
        <v>0.01576295081102126</v>
      </c>
      <c r="R220" s="15">
        <f>K221</f>
        <v>-0.007947553399990027</v>
      </c>
      <c r="S220" s="15">
        <f>L221</f>
        <v>0.005274254882250374</v>
      </c>
      <c r="T220" s="15">
        <f>M221</f>
        <v>0.003061258020843591</v>
      </c>
    </row>
    <row r="221" spans="1:20">
      <c r="A221" s="14">
        <v>44746</v>
      </c>
      <c r="B221" s="10">
        <v>749.3114013671875</v>
      </c>
      <c r="C221" s="10">
        <v>53.95478820800781</v>
      </c>
      <c r="D221" s="10">
        <v>584.6179809570312</v>
      </c>
      <c r="E221" s="10">
        <v>15835.349609375</v>
      </c>
      <c r="F221" s="10">
        <v>392.6000061035156</v>
      </c>
      <c r="I221" s="15">
        <f>LN(B221/B220)</f>
        <v>0.03326363114395096</v>
      </c>
      <c r="J221" s="15">
        <f>LN(C221/C220)</f>
        <v>0.01576295081102126</v>
      </c>
      <c r="K221" s="15">
        <f>LN(D221/D220)</f>
        <v>-0.007947553399990027</v>
      </c>
      <c r="L221" s="15">
        <f>LN(E221/E220)</f>
        <v>0.005274254882250374</v>
      </c>
      <c r="M221" s="15">
        <f>LN(F221/F220)</f>
        <v>0.003061258020843591</v>
      </c>
      <c r="O221" s="14">
        <v>44747</v>
      </c>
      <c r="P221" s="15">
        <f>I222</f>
        <v>-0.0018265848928884127</v>
      </c>
      <c r="Q221" s="15">
        <f>J222</f>
        <v>0.04760671163496777</v>
      </c>
      <c r="R221" s="15">
        <f>K222</f>
        <v>-0.00012727386549637556</v>
      </c>
      <c r="S221" s="15">
        <f>L222</f>
        <v>-0.0015483695040555473</v>
      </c>
      <c r="T221" s="15">
        <f>M222</f>
        <v>-0.0019121683137312856</v>
      </c>
    </row>
    <row r="222" spans="1:20">
      <c r="A222" s="14">
        <v>44747</v>
      </c>
      <c r="B222" s="10">
        <v>747.9439697265625</v>
      </c>
      <c r="C222" s="10">
        <v>56.58552169799805</v>
      </c>
      <c r="D222" s="10">
        <v>584.5435791015625</v>
      </c>
      <c r="E222" s="10">
        <v>15810.849609375</v>
      </c>
      <c r="F222" s="10">
        <v>391.8500061035156</v>
      </c>
      <c r="I222" s="15">
        <f>LN(B222/B221)</f>
        <v>-0.0018265848928884127</v>
      </c>
      <c r="J222" s="15">
        <f>LN(C222/C221)</f>
        <v>0.04760671163496777</v>
      </c>
      <c r="K222" s="15">
        <f>LN(D222/D221)</f>
        <v>-0.00012727386549637556</v>
      </c>
      <c r="L222" s="15">
        <f>LN(E222/E221)</f>
        <v>-0.0015483695040555473</v>
      </c>
      <c r="M222" s="15">
        <f>LN(F222/F221)</f>
        <v>-0.0019121683137312856</v>
      </c>
      <c r="O222" s="14">
        <v>44748</v>
      </c>
      <c r="P222" s="15">
        <f>I223</f>
        <v>0.023488142183490733</v>
      </c>
      <c r="Q222" s="15">
        <f>J223</f>
        <v>-0.014134494141201655</v>
      </c>
      <c r="R222" s="15">
        <f>K223</f>
        <v>0.0034746326832243066</v>
      </c>
      <c r="S222" s="15">
        <f>L223</f>
        <v>0.01125461822453212</v>
      </c>
      <c r="T222" s="15">
        <f>M223</f>
        <v>0.022458662414635577</v>
      </c>
    </row>
    <row r="223" spans="1:20">
      <c r="A223" s="14">
        <v>44748</v>
      </c>
      <c r="B223" s="10">
        <v>765.7197265625</v>
      </c>
      <c r="C223" s="10">
        <v>55.79133987426758</v>
      </c>
      <c r="D223" s="10">
        <v>586.5781860351562</v>
      </c>
      <c r="E223" s="10">
        <v>15989.7998046875</v>
      </c>
      <c r="F223" s="10">
        <v>400.75</v>
      </c>
      <c r="I223" s="15">
        <f>LN(B223/B222)</f>
        <v>0.023488142183490733</v>
      </c>
      <c r="J223" s="15">
        <f>LN(C223/C222)</f>
        <v>-0.014134494141201655</v>
      </c>
      <c r="K223" s="15">
        <f>LN(D223/D222)</f>
        <v>0.0034746326832243066</v>
      </c>
      <c r="L223" s="15">
        <f>LN(E223/E222)</f>
        <v>0.01125461822453212</v>
      </c>
      <c r="M223" s="15">
        <f>LN(F223/F222)</f>
        <v>0.022458662414635577</v>
      </c>
      <c r="O223" s="14">
        <v>44749</v>
      </c>
      <c r="P223" s="15">
        <f>I224</f>
        <v>0.014995701808189647</v>
      </c>
      <c r="Q223" s="15">
        <f>J224</f>
        <v>0.04777287130159851</v>
      </c>
      <c r="R223" s="15">
        <f>K224</f>
        <v>0.04305302420683179</v>
      </c>
      <c r="S223" s="15">
        <f>L224</f>
        <v>0.00890968266712923</v>
      </c>
      <c r="T223" s="15">
        <f>M224</f>
        <v>0.025863510589919373</v>
      </c>
    </row>
    <row r="224" spans="1:20">
      <c r="A224" s="14">
        <v>44749</v>
      </c>
      <c r="B224" s="10">
        <v>777.2887573242188</v>
      </c>
      <c r="C224" s="10">
        <v>58.52134323120117</v>
      </c>
      <c r="D224" s="10">
        <v>612.3836669921875</v>
      </c>
      <c r="E224" s="10">
        <v>16132.900390625</v>
      </c>
      <c r="F224" s="10">
        <v>411.25</v>
      </c>
      <c r="I224" s="15">
        <f>LN(B224/B223)</f>
        <v>0.014995701808189647</v>
      </c>
      <c r="J224" s="15">
        <f>LN(C224/C223)</f>
        <v>0.04777287130159851</v>
      </c>
      <c r="K224" s="15">
        <f>LN(D224/D223)</f>
        <v>0.04305302420683179</v>
      </c>
      <c r="L224" s="15">
        <f>LN(E224/E223)</f>
        <v>0.00890968266712923</v>
      </c>
      <c r="M224" s="15">
        <f>LN(F224/F223)</f>
        <v>0.025863510589919373</v>
      </c>
      <c r="O224" s="14">
        <v>44750</v>
      </c>
      <c r="P224" s="15">
        <f>I225</f>
        <v>0.013157479487226101</v>
      </c>
      <c r="Q224" s="15">
        <f>J225</f>
        <v>-0.005954980623793578</v>
      </c>
      <c r="R224" s="15">
        <f>K225</f>
        <v>-0.012066071754100674</v>
      </c>
      <c r="S224" s="15">
        <f>L225</f>
        <v>0.005421325887187373</v>
      </c>
      <c r="T224" s="15">
        <f>M225</f>
        <v>-0.0006080875833470577</v>
      </c>
    </row>
    <row r="225" spans="1:20">
      <c r="A225" s="14">
        <v>44750</v>
      </c>
      <c r="B225" s="10">
        <v>787.58349609375</v>
      </c>
      <c r="C225" s="10">
        <v>58.17388534545898</v>
      </c>
      <c r="D225" s="10">
        <v>605.0390014648438</v>
      </c>
      <c r="E225" s="10">
        <v>16220.599609375</v>
      </c>
      <c r="F225" s="10">
        <v>411</v>
      </c>
      <c r="I225" s="15">
        <f>LN(B225/B224)</f>
        <v>0.013157479487226101</v>
      </c>
      <c r="J225" s="15">
        <f>LN(C225/C224)</f>
        <v>-0.005954980623793578</v>
      </c>
      <c r="K225" s="15">
        <f>LN(D225/D224)</f>
        <v>-0.012066071754100674</v>
      </c>
      <c r="L225" s="15">
        <f>LN(E225/E224)</f>
        <v>0.005421325887187373</v>
      </c>
      <c r="M225" s="15">
        <f>LN(F225/F224)</f>
        <v>-0.0006080875833470577</v>
      </c>
      <c r="O225" s="14">
        <v>44753</v>
      </c>
      <c r="P225" s="15">
        <f>I226</f>
        <v>0.02307277620319287</v>
      </c>
      <c r="Q225" s="15">
        <f>J226</f>
        <v>0.05962029852348805</v>
      </c>
      <c r="R225" s="15">
        <f>K226</f>
        <v>0.036046814914369806</v>
      </c>
      <c r="S225" s="15">
        <f>L226</f>
        <v>-0.00028360614005298526</v>
      </c>
      <c r="T225" s="15">
        <f>M226</f>
        <v>0.01461287492143909</v>
      </c>
    </row>
    <row r="226" spans="1:20">
      <c r="A226" s="14">
        <v>44753</v>
      </c>
      <c r="B226" s="10">
        <v>805.9664916992188</v>
      </c>
      <c r="C226" s="10">
        <v>61.74770736694336</v>
      </c>
      <c r="D226" s="10">
        <v>627.24658203125</v>
      </c>
      <c r="E226" s="10">
        <v>16216</v>
      </c>
      <c r="F226" s="10">
        <v>417.0499877929687</v>
      </c>
      <c r="I226" s="15">
        <f>LN(B226/B225)</f>
        <v>0.02307277620319287</v>
      </c>
      <c r="J226" s="15">
        <f>LN(C226/C225)</f>
        <v>0.05962029852348805</v>
      </c>
      <c r="K226" s="15">
        <f>LN(D226/D225)</f>
        <v>0.036046814914369806</v>
      </c>
      <c r="L226" s="15">
        <f>LN(E226/E225)</f>
        <v>-0.00028360614005298526</v>
      </c>
      <c r="M226" s="15">
        <f>LN(F226/F225)</f>
        <v>0.01461287492143909</v>
      </c>
      <c r="O226" s="14">
        <v>44754</v>
      </c>
      <c r="P226" s="15">
        <f>I227</f>
        <v>0.018679787682328988</v>
      </c>
      <c r="Q226" s="15">
        <f>J227</f>
        <v>-0.031852382411732</v>
      </c>
      <c r="R226" s="15">
        <f>K227</f>
        <v>-0.025318786039632186</v>
      </c>
      <c r="S226" s="15">
        <f>L227</f>
        <v>-0.009772571447684876</v>
      </c>
      <c r="T226" s="15">
        <f>M227</f>
        <v>0.0009587164642358765</v>
      </c>
    </row>
    <row r="227" spans="1:20">
      <c r="A227" s="14">
        <v>44754</v>
      </c>
      <c r="B227" s="10">
        <v>821.1632690429688</v>
      </c>
      <c r="C227" s="10">
        <v>59.8118896484375</v>
      </c>
      <c r="D227" s="10">
        <v>611.5648193359375</v>
      </c>
      <c r="E227" s="10">
        <v>16058.2998046875</v>
      </c>
      <c r="F227" s="10">
        <v>417.4500122070313</v>
      </c>
      <c r="I227" s="15">
        <f>LN(B227/B226)</f>
        <v>0.018679787682328988</v>
      </c>
      <c r="J227" s="15">
        <f>LN(C227/C226)</f>
        <v>-0.031852382411732</v>
      </c>
      <c r="K227" s="15">
        <f>LN(D227/D226)</f>
        <v>-0.025318786039632186</v>
      </c>
      <c r="L227" s="15">
        <f>LN(E227/E226)</f>
        <v>-0.009772571447684876</v>
      </c>
      <c r="M227" s="15">
        <f>LN(F227/F226)</f>
        <v>0.0009587164642358765</v>
      </c>
      <c r="O227" s="14">
        <v>44755</v>
      </c>
      <c r="P227" s="15">
        <f>I228</f>
        <v>0.0032781204400875587</v>
      </c>
      <c r="Q227" s="15">
        <f>J228</f>
        <v>0.0024866170972927468</v>
      </c>
      <c r="R227" s="15">
        <f>K228</f>
        <v>-0.006104396616295934</v>
      </c>
      <c r="S227" s="15">
        <f>L228</f>
        <v>-0.0057236413300785416</v>
      </c>
      <c r="T227" s="15">
        <f>M228</f>
        <v>0.00275101871077243</v>
      </c>
    </row>
    <row r="228" spans="1:20">
      <c r="A228" s="14">
        <v>44755</v>
      </c>
      <c r="B228" s="10">
        <v>823.8595581054688</v>
      </c>
      <c r="C228" s="10">
        <v>59.9608039855957</v>
      </c>
      <c r="D228" s="10">
        <v>607.8429565429688</v>
      </c>
      <c r="E228" s="10">
        <v>15966.650390625</v>
      </c>
      <c r="F228" s="10">
        <v>418.6000061035156</v>
      </c>
      <c r="I228" s="15">
        <f>LN(B228/B227)</f>
        <v>0.0032781204400875587</v>
      </c>
      <c r="J228" s="15">
        <f>LN(C228/C227)</f>
        <v>0.0024866170972927468</v>
      </c>
      <c r="K228" s="15">
        <f>LN(D228/D227)</f>
        <v>-0.006104396616295934</v>
      </c>
      <c r="L228" s="15">
        <f>LN(E228/E227)</f>
        <v>-0.0057236413300785416</v>
      </c>
      <c r="M228" s="15">
        <f>LN(F228/F227)</f>
        <v>0.00275101871077243</v>
      </c>
      <c r="O228" s="14">
        <v>44756</v>
      </c>
      <c r="P228" s="15">
        <f>I229</f>
        <v>-0.007465801397828775</v>
      </c>
      <c r="Q228" s="15">
        <f>J229</f>
        <v>-0.011657182263157467</v>
      </c>
      <c r="R228" s="15">
        <f>K229</f>
        <v>-0.0047055485922513195</v>
      </c>
      <c r="S228" s="15">
        <f>L229</f>
        <v>-0.0017551946856914542</v>
      </c>
      <c r="T228" s="15">
        <f>M229</f>
        <v>-0.0022720780047153603</v>
      </c>
    </row>
    <row r="229" spans="1:20">
      <c r="A229" s="14">
        <v>44756</v>
      </c>
      <c r="B229" s="10">
        <v>817.731689453125</v>
      </c>
      <c r="C229" s="10">
        <v>59.26588821411133</v>
      </c>
      <c r="D229" s="10">
        <v>604.9894409179688</v>
      </c>
      <c r="E229" s="10">
        <v>15938.650390625</v>
      </c>
      <c r="F229" s="10">
        <v>417.6499938964844</v>
      </c>
      <c r="I229" s="15">
        <f>LN(B229/B228)</f>
        <v>-0.007465801397828775</v>
      </c>
      <c r="J229" s="15">
        <f>LN(C229/C228)</f>
        <v>-0.011657182263157467</v>
      </c>
      <c r="K229" s="15">
        <f>LN(D229/D228)</f>
        <v>-0.0047055485922513195</v>
      </c>
      <c r="L229" s="15">
        <f>LN(E229/E228)</f>
        <v>-0.0017551946856914542</v>
      </c>
      <c r="M229" s="15">
        <f>LN(F229/F228)</f>
        <v>-0.0022720780047153603</v>
      </c>
      <c r="O229" s="14">
        <v>44757</v>
      </c>
      <c r="P229" s="15">
        <f>I230</f>
        <v>0.016646374021306393</v>
      </c>
      <c r="Q229" s="15">
        <f>J230</f>
        <v>0.015787683708509324</v>
      </c>
      <c r="R229" s="15">
        <f>K230</f>
        <v>-0.010596547983886956</v>
      </c>
      <c r="S229" s="15">
        <f>L230</f>
        <v>0.006912014580365188</v>
      </c>
      <c r="T229" s="15">
        <f>M230</f>
        <v>0.0056109646894473945</v>
      </c>
    </row>
    <row r="230" spans="1:20">
      <c r="A230" s="14">
        <v>44757</v>
      </c>
      <c r="B230" s="10">
        <v>831.4578857421875</v>
      </c>
      <c r="C230" s="10">
        <v>60.208984375</v>
      </c>
      <c r="D230" s="10">
        <v>598.6124877929688</v>
      </c>
      <c r="E230" s="10">
        <v>16049.2001953125</v>
      </c>
      <c r="F230" s="10">
        <v>420</v>
      </c>
      <c r="I230" s="15">
        <f>LN(B230/B229)</f>
        <v>0.016646374021306393</v>
      </c>
      <c r="J230" s="15">
        <f>LN(C230/C229)</f>
        <v>0.015787683708509324</v>
      </c>
      <c r="K230" s="15">
        <f>LN(D230/D229)</f>
        <v>-0.010596547983886956</v>
      </c>
      <c r="L230" s="15">
        <f>LN(E230/E229)</f>
        <v>0.006912014580365188</v>
      </c>
      <c r="M230" s="15">
        <f>LN(F230/F229)</f>
        <v>0.0056109646894473945</v>
      </c>
      <c r="O230" s="14">
        <v>44760</v>
      </c>
      <c r="P230" s="15">
        <f>I231</f>
        <v>0.010556662140603851</v>
      </c>
      <c r="Q230" s="15">
        <f>J231</f>
        <v>0.011475443286435627</v>
      </c>
      <c r="R230" s="15">
        <f>K231</f>
        <v>0.028642910332719086</v>
      </c>
      <c r="S230" s="15">
        <f>L231</f>
        <v>0.014186202470718856</v>
      </c>
      <c r="T230" s="15">
        <f>M231</f>
        <v>0.012069738445165207</v>
      </c>
    </row>
    <row r="231" spans="1:20">
      <c r="A231" s="14">
        <v>44760</v>
      </c>
      <c r="B231" s="10">
        <v>840.2817993164062</v>
      </c>
      <c r="C231" s="10">
        <v>60.90388870239258</v>
      </c>
      <c r="D231" s="10">
        <v>616.0064086914062</v>
      </c>
      <c r="E231" s="10">
        <v>16278.5</v>
      </c>
      <c r="F231" s="10">
        <v>425.1000061035156</v>
      </c>
      <c r="I231" s="15">
        <f>LN(B231/B230)</f>
        <v>0.010556662140603851</v>
      </c>
      <c r="J231" s="15">
        <f>LN(C231/C230)</f>
        <v>0.011475443286435627</v>
      </c>
      <c r="K231" s="15">
        <f>LN(D231/D230)</f>
        <v>0.028642910332719086</v>
      </c>
      <c r="L231" s="15">
        <f>LN(E231/E230)</f>
        <v>0.014186202470718856</v>
      </c>
      <c r="M231" s="15">
        <f>LN(F231/F230)</f>
        <v>0.012069738445165207</v>
      </c>
      <c r="O231" s="14">
        <v>44761</v>
      </c>
      <c r="P231" s="15">
        <f>I232</f>
        <v>0.047564218021446864</v>
      </c>
      <c r="Q231" s="15">
        <f>J232</f>
        <v>0.025745621123409963</v>
      </c>
      <c r="R231" s="15">
        <f>K232</f>
        <v>0.00530285407442514</v>
      </c>
      <c r="S231" s="15">
        <f>L232</f>
        <v>0.003804517906147779</v>
      </c>
      <c r="T231" s="15">
        <f>M232</f>
        <v>0.025203136152233636</v>
      </c>
    </row>
    <row r="232" spans="1:20">
      <c r="A232" s="14">
        <v>44761</v>
      </c>
      <c r="B232" s="10">
        <v>881.2149047851562</v>
      </c>
      <c r="C232" s="10">
        <v>62.49225616455078</v>
      </c>
      <c r="D232" s="10">
        <v>619.2816772460938</v>
      </c>
      <c r="E232" s="10">
        <v>16340.5498046875</v>
      </c>
      <c r="F232" s="10">
        <v>435.9500122070313</v>
      </c>
      <c r="I232" s="15">
        <f>LN(B232/B231)</f>
        <v>0.047564218021446864</v>
      </c>
      <c r="J232" s="15">
        <f>LN(C232/C231)</f>
        <v>0.025745621123409963</v>
      </c>
      <c r="K232" s="15">
        <f>LN(D232/D231)</f>
        <v>0.00530285407442514</v>
      </c>
      <c r="L232" s="15">
        <f>LN(E232/E231)</f>
        <v>0.003804517906147779</v>
      </c>
      <c r="M232" s="15">
        <f>LN(F232/F231)</f>
        <v>0.025203136152233636</v>
      </c>
      <c r="O232" s="14">
        <v>44762</v>
      </c>
      <c r="P232" s="15">
        <f>I233</f>
        <v>-0.00133599619045144</v>
      </c>
      <c r="Q232" s="15">
        <f>J233</f>
        <v>0.11468931708664978</v>
      </c>
      <c r="R232" s="15">
        <f>K233</f>
        <v>-0.03610354728939651</v>
      </c>
      <c r="S232" s="15">
        <f>L233</f>
        <v>0.010973459265845803</v>
      </c>
      <c r="T232" s="15">
        <f>M233</f>
        <v>-0.001721862283835732</v>
      </c>
    </row>
    <row r="233" spans="1:20">
      <c r="A233" s="14">
        <v>44762</v>
      </c>
      <c r="B233" s="10">
        <v>880.0383911132812</v>
      </c>
      <c r="C233" s="10">
        <v>70.08662414550781</v>
      </c>
      <c r="D233" s="10">
        <v>597.3222045898438</v>
      </c>
      <c r="E233" s="10">
        <v>16520.849609375</v>
      </c>
      <c r="F233" s="10">
        <v>435.2000122070313</v>
      </c>
      <c r="I233" s="15">
        <f>LN(B233/B232)</f>
        <v>-0.00133599619045144</v>
      </c>
      <c r="J233" s="15">
        <f>LN(C233/C232)</f>
        <v>0.11468931708664978</v>
      </c>
      <c r="K233" s="15">
        <f>LN(D233/D232)</f>
        <v>-0.03610354728939651</v>
      </c>
      <c r="L233" s="15">
        <f>LN(E233/E232)</f>
        <v>0.010973459265845803</v>
      </c>
      <c r="M233" s="15">
        <f>LN(F233/F232)</f>
        <v>-0.001721862283835732</v>
      </c>
      <c r="O233" s="14">
        <v>44763</v>
      </c>
      <c r="P233" s="15">
        <f>I234</f>
        <v>-0.003962677277139141</v>
      </c>
      <c r="Q233" s="15">
        <f>J234</f>
        <v>0.008462637531260047</v>
      </c>
      <c r="R233" s="15">
        <f>K234</f>
        <v>0.005261752914762705</v>
      </c>
      <c r="S233" s="15">
        <f>L234</f>
        <v>0.005095714512164849</v>
      </c>
      <c r="T233" s="15">
        <f>M234</f>
        <v>0.006413186785468989</v>
      </c>
    </row>
    <row r="234" spans="1:20">
      <c r="A234" s="14">
        <v>44763</v>
      </c>
      <c r="B234" s="10">
        <v>876.5579833984375</v>
      </c>
      <c r="C234" s="10">
        <v>70.68225860595703</v>
      </c>
      <c r="D234" s="10">
        <v>600.4734497070312</v>
      </c>
      <c r="E234" s="10">
        <v>16605.25</v>
      </c>
      <c r="F234" s="10">
        <v>438</v>
      </c>
      <c r="I234" s="15">
        <f>LN(B234/B233)</f>
        <v>-0.003962677277139141</v>
      </c>
      <c r="J234" s="15">
        <f>LN(C234/C233)</f>
        <v>0.008462637531260047</v>
      </c>
      <c r="K234" s="15">
        <f>LN(D234/D233)</f>
        <v>0.005261752914762705</v>
      </c>
      <c r="L234" s="15">
        <f>LN(E234/E233)</f>
        <v>0.005095714512164849</v>
      </c>
      <c r="M234" s="15">
        <f>LN(F234/F233)</f>
        <v>0.006413186785468989</v>
      </c>
      <c r="O234" s="14">
        <v>44764</v>
      </c>
      <c r="P234" s="15">
        <f>I235</f>
        <v>-0.0003916785355497954</v>
      </c>
      <c r="Q234" s="15">
        <f>J235</f>
        <v>0.02701943130072071</v>
      </c>
      <c r="R234" s="15">
        <f>K235</f>
        <v>0.02747046107182573</v>
      </c>
      <c r="S234" s="15">
        <f>L235</f>
        <v>0.006853755230166662</v>
      </c>
      <c r="T234" s="15">
        <f>M235</f>
        <v>0.003418806748785461</v>
      </c>
    </row>
    <row r="235" spans="1:20">
      <c r="A235" s="14">
        <v>44764</v>
      </c>
      <c r="B235" s="10">
        <v>876.2147216796875</v>
      </c>
      <c r="C235" s="10">
        <v>72.61808776855469</v>
      </c>
      <c r="D235" s="10">
        <v>617.1973876953125</v>
      </c>
      <c r="E235" s="10">
        <v>16719.44921875</v>
      </c>
      <c r="F235" s="10">
        <v>439.5</v>
      </c>
      <c r="I235" s="15">
        <f>LN(B235/B234)</f>
        <v>-0.0003916785355497954</v>
      </c>
      <c r="J235" s="15">
        <f>LN(C235/C234)</f>
        <v>0.02701943130072071</v>
      </c>
      <c r="K235" s="15">
        <f>LN(D235/D234)</f>
        <v>0.02747046107182573</v>
      </c>
      <c r="L235" s="15">
        <f>LN(E235/E234)</f>
        <v>0.006853755230166662</v>
      </c>
      <c r="M235" s="15">
        <f>LN(F235/F234)</f>
        <v>0.003418806748785461</v>
      </c>
      <c r="O235" s="14">
        <v>44767</v>
      </c>
      <c r="P235" s="15">
        <f>I236</f>
        <v>-0.01556198564564045</v>
      </c>
      <c r="Q235" s="15">
        <f>J236</f>
        <v>0.055181881677552</v>
      </c>
      <c r="R235" s="15">
        <f>K236</f>
        <v>-0.0008445875005977961</v>
      </c>
      <c r="S235" s="15">
        <f>L236</f>
        <v>-0.005304241963650273</v>
      </c>
      <c r="T235" s="15">
        <f>M236</f>
        <v>-0.004561011327562562</v>
      </c>
    </row>
    <row r="236" spans="1:20">
      <c r="A236" s="14">
        <v>44767</v>
      </c>
      <c r="B236" s="10">
        <v>862.6846313476562</v>
      </c>
      <c r="C236" s="10">
        <v>76.7379150390625</v>
      </c>
      <c r="D236" s="10">
        <v>616.6763305664062</v>
      </c>
      <c r="E236" s="10">
        <v>16631</v>
      </c>
      <c r="F236" s="10">
        <v>437.5</v>
      </c>
      <c r="I236" s="15">
        <f>LN(B236/B235)</f>
        <v>-0.01556198564564045</v>
      </c>
      <c r="J236" s="15">
        <f>LN(C236/C235)</f>
        <v>0.055181881677552</v>
      </c>
      <c r="K236" s="15">
        <f>LN(D236/D235)</f>
        <v>-0.0008445875005977961</v>
      </c>
      <c r="L236" s="15">
        <f>LN(E236/E235)</f>
        <v>-0.005304241963650273</v>
      </c>
      <c r="M236" s="15">
        <f>LN(F236/F235)</f>
        <v>-0.004561011327562562</v>
      </c>
      <c r="O236" s="14">
        <v>44768</v>
      </c>
      <c r="P236" s="15">
        <f>I237</f>
        <v>0.007134625812544375</v>
      </c>
      <c r="Q236" s="15">
        <f>J237</f>
        <v>-0.04836991352360247</v>
      </c>
      <c r="R236" s="15">
        <f>K237</f>
        <v>-0.025882311576453</v>
      </c>
      <c r="S236" s="15">
        <f>L237</f>
        <v>-0.008887333683346772</v>
      </c>
      <c r="T236" s="15">
        <f>M237</f>
        <v>-0.010108043484463829</v>
      </c>
    </row>
    <row r="237" spans="1:20">
      <c r="A237" s="14">
        <v>44768</v>
      </c>
      <c r="B237" s="10">
        <v>868.861572265625</v>
      </c>
      <c r="C237" s="10">
        <v>73.11444854736328</v>
      </c>
      <c r="D237" s="10">
        <v>600.9201049804688</v>
      </c>
      <c r="E237" s="10">
        <v>16483.849609375</v>
      </c>
      <c r="F237" s="10">
        <v>433.1000061035156</v>
      </c>
      <c r="I237" s="15">
        <f>LN(B237/B236)</f>
        <v>0.007134625812544375</v>
      </c>
      <c r="J237" s="15">
        <f>LN(C237/C236)</f>
        <v>-0.04836991352360247</v>
      </c>
      <c r="K237" s="15">
        <f>LN(D237/D236)</f>
        <v>-0.025882311576453</v>
      </c>
      <c r="L237" s="15">
        <f>LN(E237/E236)</f>
        <v>-0.008887333683346772</v>
      </c>
      <c r="M237" s="15">
        <f>LN(F237/F236)</f>
        <v>-0.010108043484463829</v>
      </c>
      <c r="O237" s="14">
        <v>44769</v>
      </c>
      <c r="P237" s="15">
        <f>I238</f>
        <v>0.0007894081808019667</v>
      </c>
      <c r="Q237" s="15">
        <f>J238</f>
        <v>0.023483124424434926</v>
      </c>
      <c r="R237" s="15">
        <f>K238</f>
        <v>0.002968528900218507</v>
      </c>
      <c r="S237" s="15">
        <f>L238</f>
        <v>0.00953655956008488</v>
      </c>
      <c r="T237" s="15">
        <f>M238</f>
        <v>0.010679308852755975</v>
      </c>
    </row>
    <row r="238" spans="1:20">
      <c r="A238" s="14">
        <v>44769</v>
      </c>
      <c r="B238" s="10">
        <v>869.5477294921875</v>
      </c>
      <c r="C238" s="10">
        <v>74.85172271728516</v>
      </c>
      <c r="D238" s="10">
        <v>602.7066040039062</v>
      </c>
      <c r="E238" s="10">
        <v>16641.80078125</v>
      </c>
      <c r="F238" s="10">
        <v>437.75</v>
      </c>
      <c r="I238" s="15">
        <f>LN(B238/B237)</f>
        <v>0.0007894081808019667</v>
      </c>
      <c r="J238" s="15">
        <f>LN(C238/C237)</f>
        <v>0.023483124424434926</v>
      </c>
      <c r="K238" s="15">
        <f>LN(D238/D237)</f>
        <v>0.002968528900218507</v>
      </c>
      <c r="L238" s="15">
        <f>LN(E238/E237)</f>
        <v>0.00953655956008488</v>
      </c>
      <c r="M238" s="15">
        <f>LN(F238/F237)</f>
        <v>0.010679308852755975</v>
      </c>
      <c r="O238" s="14">
        <v>44770</v>
      </c>
      <c r="P238" s="15">
        <f>I239</f>
        <v>0.011880916960416037</v>
      </c>
      <c r="Q238" s="15">
        <f>J239</f>
        <v>-0.023483124424434888</v>
      </c>
      <c r="R238" s="15">
        <f>K239</f>
        <v>0.020819371550952703</v>
      </c>
      <c r="S238" s="15">
        <f>L239</f>
        <v>0.017145896529526243</v>
      </c>
      <c r="T238" s="15">
        <f>M239</f>
        <v>0.020463068708065052</v>
      </c>
    </row>
    <row r="239" spans="1:20">
      <c r="A239" s="14">
        <v>44770</v>
      </c>
      <c r="B239" s="10">
        <v>879.9403686523438</v>
      </c>
      <c r="C239" s="10">
        <v>73.11444854736328</v>
      </c>
      <c r="D239" s="10">
        <v>615.3861083984375</v>
      </c>
      <c r="E239" s="10">
        <v>16929.599609375</v>
      </c>
      <c r="F239" s="10">
        <v>446.7999877929687</v>
      </c>
      <c r="I239" s="15">
        <f>LN(B239/B238)</f>
        <v>0.011880916960416037</v>
      </c>
      <c r="J239" s="15">
        <f>LN(C239/C238)</f>
        <v>-0.023483124424434888</v>
      </c>
      <c r="K239" s="15">
        <f>LN(D239/D238)</f>
        <v>0.020819371550952703</v>
      </c>
      <c r="L239" s="15">
        <f>LN(E239/E238)</f>
        <v>0.017145896529526243</v>
      </c>
      <c r="M239" s="15">
        <f>LN(F239/F238)</f>
        <v>0.020463068708065052</v>
      </c>
      <c r="O239" s="14">
        <v>44771</v>
      </c>
      <c r="P239" s="15">
        <f>I240</f>
        <v>0.013996191638190308</v>
      </c>
      <c r="Q239" s="15">
        <f>J240</f>
        <v>0.0033886096433719455</v>
      </c>
      <c r="R239" s="15">
        <f>K240</f>
        <v>0.011186702185471676</v>
      </c>
      <c r="S239" s="15">
        <f>L240</f>
        <v>0.013415561413115864</v>
      </c>
      <c r="T239" s="15">
        <f>M240</f>
        <v>0.009245455807279814</v>
      </c>
    </row>
    <row r="240" spans="1:20">
      <c r="A240" s="14">
        <v>44771</v>
      </c>
      <c r="B240" s="10">
        <v>892.3427734375</v>
      </c>
      <c r="C240" s="10">
        <v>73.36262512207031</v>
      </c>
      <c r="D240" s="10">
        <v>622.3088989257812</v>
      </c>
      <c r="E240" s="10">
        <v>17158.25</v>
      </c>
      <c r="F240" s="10">
        <v>450.9500122070313</v>
      </c>
      <c r="I240" s="15">
        <f>LN(B240/B239)</f>
        <v>0.013996191638190308</v>
      </c>
      <c r="J240" s="15">
        <f>LN(C240/C239)</f>
        <v>0.0033886096433719455</v>
      </c>
      <c r="K240" s="15">
        <f>LN(D240/D239)</f>
        <v>0.011186702185471676</v>
      </c>
      <c r="L240" s="15">
        <f>LN(E240/E239)</f>
        <v>0.013415561413115864</v>
      </c>
      <c r="M240" s="15">
        <f>LN(F240/F239)</f>
        <v>0.009245455807279814</v>
      </c>
      <c r="O240" s="14">
        <v>44774</v>
      </c>
      <c r="P240" s="15">
        <f>I241</f>
        <v>0.026081071005806263</v>
      </c>
      <c r="Q240" s="15">
        <f>J241</f>
        <v>0.01943115922590638</v>
      </c>
      <c r="R240" s="15">
        <f>K241</f>
        <v>-0.003595050628762805</v>
      </c>
      <c r="S240" s="15">
        <f>L241</f>
        <v>0.010539792401854702</v>
      </c>
      <c r="T240" s="15">
        <f>M241</f>
        <v>0.0037626907561805734</v>
      </c>
    </row>
    <row r="241" spans="1:20">
      <c r="A241" s="14">
        <v>44774</v>
      </c>
      <c r="B241" s="10">
        <v>915.9221801757812</v>
      </c>
      <c r="C241" s="10">
        <v>74.80208587646484</v>
      </c>
      <c r="D241" s="10">
        <v>620.07568359375</v>
      </c>
      <c r="E241" s="10">
        <v>17340.05078125</v>
      </c>
      <c r="F241" s="10">
        <v>452.6499938964844</v>
      </c>
      <c r="I241" s="15">
        <f>LN(B241/B240)</f>
        <v>0.026081071005806263</v>
      </c>
      <c r="J241" s="15">
        <f>LN(C241/C240)</f>
        <v>0.01943115922590638</v>
      </c>
      <c r="K241" s="15">
        <f>LN(D241/D240)</f>
        <v>-0.003595050628762805</v>
      </c>
      <c r="L241" s="15">
        <f>LN(E241/E240)</f>
        <v>0.010539792401854702</v>
      </c>
      <c r="M241" s="15">
        <f>LN(F241/F240)</f>
        <v>0.0037626907561805734</v>
      </c>
      <c r="O241" s="14">
        <v>44775</v>
      </c>
      <c r="P241" s="15">
        <f>I242</f>
        <v>-0.018855463338034582</v>
      </c>
      <c r="Q241" s="15">
        <f>J242</f>
        <v>0.015800229341630785</v>
      </c>
      <c r="R241" s="15">
        <f>K242</f>
        <v>0.015643313970953872</v>
      </c>
      <c r="S241" s="15">
        <f>L242</f>
        <v>0.0003112792114048116</v>
      </c>
      <c r="T241" s="15">
        <f>M242</f>
        <v>-0.017044904271246504</v>
      </c>
    </row>
    <row r="242" spans="1:20">
      <c r="A242" s="14">
        <v>44775</v>
      </c>
      <c r="B242" s="10">
        <v>898.8138427734375</v>
      </c>
      <c r="C242" s="10">
        <v>75.99336242675781</v>
      </c>
      <c r="D242" s="10">
        <v>629.8519897460938</v>
      </c>
      <c r="E242" s="10">
        <v>17345.44921875</v>
      </c>
      <c r="F242" s="10">
        <v>445</v>
      </c>
      <c r="I242" s="15">
        <f>LN(B242/B241)</f>
        <v>-0.018855463338034582</v>
      </c>
      <c r="J242" s="15">
        <f>LN(C242/C241)</f>
        <v>0.015800229341630785</v>
      </c>
      <c r="K242" s="15">
        <f>LN(D242/D241)</f>
        <v>0.015643313970953872</v>
      </c>
      <c r="L242" s="15">
        <f>LN(E242/E241)</f>
        <v>0.0003112792114048116</v>
      </c>
      <c r="M242" s="15">
        <f>LN(F242/F241)</f>
        <v>-0.017044904271246504</v>
      </c>
      <c r="O242" s="14">
        <v>44776</v>
      </c>
      <c r="P242" s="15">
        <f>I243</f>
        <v>-0.010637338213107042</v>
      </c>
      <c r="Q242" s="15">
        <f>J243</f>
        <v>-0.008527408668089572</v>
      </c>
      <c r="R242" s="15">
        <f>K243</f>
        <v>-0.004580173356905083</v>
      </c>
      <c r="S242" s="15">
        <f>L243</f>
        <v>0.002458783072766921</v>
      </c>
      <c r="T242" s="15">
        <f>M243</f>
        <v>-0.00766977338198783</v>
      </c>
    </row>
    <row r="243" spans="1:20">
      <c r="A243" s="14">
        <v>44776</v>
      </c>
      <c r="B243" s="10">
        <v>889.3035278320312</v>
      </c>
      <c r="C243" s="10">
        <v>75.34809112548828</v>
      </c>
      <c r="D243" s="10">
        <v>626.9737548828125</v>
      </c>
      <c r="E243" s="10">
        <v>17388.150390625</v>
      </c>
      <c r="F243" s="10">
        <v>441.6000061035156</v>
      </c>
      <c r="I243" s="15">
        <f>LN(B243/B242)</f>
        <v>-0.010637338213107042</v>
      </c>
      <c r="J243" s="15">
        <f>LN(C243/C242)</f>
        <v>-0.008527408668089572</v>
      </c>
      <c r="K243" s="15">
        <f>LN(D243/D242)</f>
        <v>-0.004580173356905083</v>
      </c>
      <c r="L243" s="15">
        <f>LN(E243/E242)</f>
        <v>0.002458783072766921</v>
      </c>
      <c r="M243" s="15">
        <f>LN(F243/F242)</f>
        <v>-0.00766977338198783</v>
      </c>
      <c r="O243" s="14">
        <v>44777</v>
      </c>
      <c r="P243" s="15">
        <f>I244</f>
        <v>-0.011699257423136607</v>
      </c>
      <c r="Q243" s="15">
        <f>J244</f>
        <v>-0.028057879529120793</v>
      </c>
      <c r="R243" s="15">
        <f>K244</f>
        <v>0.013834477166744751</v>
      </c>
      <c r="S243" s="15">
        <f>L244</f>
        <v>-0.00035377417814128954</v>
      </c>
      <c r="T243" s="15">
        <f>M244</f>
        <v>-0.011501620489940476</v>
      </c>
    </row>
    <row r="244" spans="1:20">
      <c r="A244" s="14">
        <v>44777</v>
      </c>
      <c r="B244" s="10">
        <v>878.9599609375</v>
      </c>
      <c r="C244" s="10">
        <v>73.26336669921875</v>
      </c>
      <c r="D244" s="10">
        <v>635.7078857421875</v>
      </c>
      <c r="E244" s="10">
        <v>17382</v>
      </c>
      <c r="F244" s="10">
        <v>436.5499877929687</v>
      </c>
      <c r="I244" s="15">
        <f>LN(B244/B243)</f>
        <v>-0.011699257423136607</v>
      </c>
      <c r="J244" s="15">
        <f>LN(C244/C243)</f>
        <v>-0.028057879529120793</v>
      </c>
      <c r="K244" s="15">
        <f>LN(D244/D243)</f>
        <v>0.013834477166744751</v>
      </c>
      <c r="L244" s="15">
        <f>LN(E244/E243)</f>
        <v>-0.00035377417814128954</v>
      </c>
      <c r="M244" s="15">
        <f>LN(F244/F243)</f>
        <v>-0.011501620489940476</v>
      </c>
      <c r="O244" s="14">
        <v>44778</v>
      </c>
      <c r="P244" s="15">
        <f>I245</f>
        <v>0.0003901777996679944</v>
      </c>
      <c r="Q244" s="15">
        <f>J245</f>
        <v>-0.012270195442737008</v>
      </c>
      <c r="R244" s="15">
        <f>K245</f>
        <v>0.014838612518737023</v>
      </c>
      <c r="S244" s="15">
        <f>L245</f>
        <v>0.0008913297215996853</v>
      </c>
      <c r="T244" s="15">
        <f>M245</f>
        <v>0.003087671574891414</v>
      </c>
    </row>
    <row r="245" spans="1:20">
      <c r="A245" s="14">
        <v>44778</v>
      </c>
      <c r="B245" s="10">
        <v>879.302978515625</v>
      </c>
      <c r="C245" s="10">
        <v>72.36990356445312</v>
      </c>
      <c r="D245" s="10">
        <v>645.2112426757812</v>
      </c>
      <c r="E245" s="10">
        <v>17397.5</v>
      </c>
      <c r="F245" s="10">
        <v>437.8999938964844</v>
      </c>
      <c r="I245" s="15">
        <f>LN(B245/B244)</f>
        <v>0.0003901777996679944</v>
      </c>
      <c r="J245" s="15">
        <f>LN(C245/C244)</f>
        <v>-0.012270195442737008</v>
      </c>
      <c r="K245" s="15">
        <f>LN(D245/D244)</f>
        <v>0.014838612518737023</v>
      </c>
      <c r="L245" s="15">
        <f>LN(E245/E244)</f>
        <v>0.0008913297215996853</v>
      </c>
      <c r="M245" s="15">
        <f>LN(F245/F244)</f>
        <v>0.003087671574891414</v>
      </c>
      <c r="O245" s="14">
        <v>44781</v>
      </c>
      <c r="P245" s="15">
        <f>I246</f>
        <v>-0.0015063573234133727</v>
      </c>
      <c r="Q245" s="15">
        <f>J246</f>
        <v>-0.03631671483105923</v>
      </c>
      <c r="R245" s="15">
        <f>K246</f>
        <v>0.005484245753264413</v>
      </c>
      <c r="S245" s="15">
        <f>L246</f>
        <v>0.007307599012140524</v>
      </c>
      <c r="T245" s="15">
        <f>M246</f>
        <v>0.0015972900304889051</v>
      </c>
    </row>
    <row r="246" spans="1:20">
      <c r="A246" s="14">
        <v>44781</v>
      </c>
      <c r="B246" s="10">
        <v>877.9794311523438</v>
      </c>
      <c r="C246" s="10">
        <v>69.788818359375</v>
      </c>
      <c r="D246" s="10">
        <v>648.7594604492188</v>
      </c>
      <c r="E246" s="10">
        <v>17525.099609375</v>
      </c>
      <c r="F246" s="10">
        <v>438.6000061035156</v>
      </c>
      <c r="I246" s="15">
        <f>LN(B246/B245)</f>
        <v>-0.0015063573234133727</v>
      </c>
      <c r="J246" s="15">
        <f>LN(C246/C245)</f>
        <v>-0.03631671483105923</v>
      </c>
      <c r="K246" s="15">
        <f>LN(D246/D245)</f>
        <v>0.005484245753264413</v>
      </c>
      <c r="L246" s="15">
        <f>LN(E246/E245)</f>
        <v>0.007307599012140524</v>
      </c>
      <c r="M246" s="15">
        <f>LN(F246/F245)</f>
        <v>0.0015972900304889051</v>
      </c>
      <c r="O246" s="14">
        <v>44783</v>
      </c>
      <c r="P246" s="15">
        <f>I247</f>
        <v>0.016062518076930467</v>
      </c>
      <c r="Q246" s="15">
        <f>J247</f>
        <v>0.0028408255605238335</v>
      </c>
      <c r="R246" s="15">
        <f>K247</f>
        <v>-0.034117909943168434</v>
      </c>
      <c r="S246" s="15">
        <f>L247</f>
        <v>0.0005505095416120064</v>
      </c>
      <c r="T246" s="15">
        <f>M247</f>
        <v>-0.008701722727687022</v>
      </c>
    </row>
    <row r="247" spans="1:20">
      <c r="A247" s="14">
        <v>44783</v>
      </c>
      <c r="B247" s="10">
        <v>892.1958618164062</v>
      </c>
      <c r="C247" s="10">
        <v>69.98735809326172</v>
      </c>
      <c r="D247" s="10">
        <v>626.9984741210938</v>
      </c>
      <c r="E247" s="10">
        <v>17534.75</v>
      </c>
      <c r="F247" s="10">
        <v>434.7999877929687</v>
      </c>
      <c r="I247" s="15">
        <f>LN(B247/B246)</f>
        <v>0.016062518076930467</v>
      </c>
      <c r="J247" s="15">
        <f>LN(C247/C246)</f>
        <v>0.0028408255605238335</v>
      </c>
      <c r="K247" s="15">
        <f>LN(D247/D246)</f>
        <v>-0.034117909943168434</v>
      </c>
      <c r="L247" s="15">
        <f>LN(E247/E246)</f>
        <v>0.0005505095416120064</v>
      </c>
      <c r="M247" s="15">
        <f>LN(F247/F246)</f>
        <v>-0.008701722727687022</v>
      </c>
      <c r="O247" s="14">
        <v>44784</v>
      </c>
      <c r="P247" s="15">
        <f>I248</f>
        <v>0.02929196017320358</v>
      </c>
      <c r="Q247" s="15">
        <f>J248</f>
        <v>-0.019334593300242002</v>
      </c>
      <c r="R247" s="15">
        <f>K248</f>
        <v>0.0072946454867470235</v>
      </c>
      <c r="S247" s="15">
        <f>L248</f>
        <v>0.007060942140366637</v>
      </c>
      <c r="T247" s="15">
        <f>M248</f>
        <v>0.012797263817492513</v>
      </c>
    </row>
    <row r="248" spans="1:20">
      <c r="A248" s="14">
        <v>44784</v>
      </c>
      <c r="B248" s="10">
        <v>918.716552734375</v>
      </c>
      <c r="C248" s="10">
        <v>68.64717864990234</v>
      </c>
      <c r="D248" s="10">
        <v>631.5889282226562</v>
      </c>
      <c r="E248" s="10">
        <v>17659</v>
      </c>
      <c r="F248" s="10">
        <v>440.3999938964844</v>
      </c>
      <c r="I248" s="15">
        <f>LN(B248/B247)</f>
        <v>0.02929196017320358</v>
      </c>
      <c r="J248" s="15">
        <f>LN(C248/C247)</f>
        <v>-0.019334593300242002</v>
      </c>
      <c r="K248" s="15">
        <f>LN(D248/D247)</f>
        <v>0.0072946454867470235</v>
      </c>
      <c r="L248" s="15">
        <f>LN(E248/E247)</f>
        <v>0.007060942140366637</v>
      </c>
      <c r="M248" s="15">
        <f>LN(F248/F247)</f>
        <v>0.012797263817492513</v>
      </c>
      <c r="O248" s="14">
        <v>44785</v>
      </c>
      <c r="P248" s="15">
        <f>I249</f>
        <v>0.0038876643228781633</v>
      </c>
      <c r="Q248" s="15">
        <f>J249</f>
        <v>-0.02340996359578266</v>
      </c>
      <c r="R248" s="15">
        <f>K249</f>
        <v>0.030678738886420597</v>
      </c>
      <c r="S248" s="15">
        <f>L249</f>
        <v>0.0022145679837284517</v>
      </c>
      <c r="T248" s="15">
        <f>M249</f>
        <v>0.006450553964819819</v>
      </c>
    </row>
    <row r="249" spans="1:20">
      <c r="A249" s="14">
        <v>44785</v>
      </c>
      <c r="B249" s="10">
        <v>922.295166015625</v>
      </c>
      <c r="C249" s="10">
        <v>67.05881500244141</v>
      </c>
      <c r="D249" s="10">
        <v>651.2655639648438</v>
      </c>
      <c r="E249" s="10">
        <v>17698.150390625</v>
      </c>
      <c r="F249" s="10">
        <v>443.25</v>
      </c>
      <c r="I249" s="15">
        <f>LN(B249/B248)</f>
        <v>0.0038876643228781633</v>
      </c>
      <c r="J249" s="15">
        <f>LN(C249/C248)</f>
        <v>-0.02340996359578266</v>
      </c>
      <c r="K249" s="15">
        <f>LN(D249/D248)</f>
        <v>0.030678738886420597</v>
      </c>
      <c r="L249" s="15">
        <f>LN(E249/E248)</f>
        <v>0.0022145679837284517</v>
      </c>
      <c r="M249" s="15">
        <f>LN(F249/F248)</f>
        <v>0.006450553964819819</v>
      </c>
      <c r="O249" s="14">
        <v>44789</v>
      </c>
      <c r="P249" s="15">
        <f>I250</f>
        <v>0.01884969282011303</v>
      </c>
      <c r="Q249" s="15">
        <f>J250</f>
        <v>0.005903898877880119</v>
      </c>
      <c r="R249" s="15">
        <f>K250</f>
        <v>0.03900528326040429</v>
      </c>
      <c r="S249" s="15">
        <f>L250</f>
        <v>0.007155855032733008</v>
      </c>
      <c r="T249" s="15">
        <f>M250</f>
        <v>0.019548234877913913</v>
      </c>
    </row>
    <row r="250" spans="1:20">
      <c r="A250" s="14">
        <v>44789</v>
      </c>
      <c r="B250" s="10">
        <v>939.8450317382812</v>
      </c>
      <c r="C250" s="10">
        <v>67.45589447021484</v>
      </c>
      <c r="D250" s="10">
        <v>677.1702880859375</v>
      </c>
      <c r="E250" s="10">
        <v>17825.25</v>
      </c>
      <c r="F250" s="10">
        <v>452</v>
      </c>
      <c r="I250" s="15">
        <f>LN(B250/B249)</f>
        <v>0.01884969282011303</v>
      </c>
      <c r="J250" s="15">
        <f>LN(C250/C249)</f>
        <v>0.005903898877880119</v>
      </c>
      <c r="K250" s="15">
        <f>LN(D250/D249)</f>
        <v>0.03900528326040429</v>
      </c>
      <c r="L250" s="15">
        <f>LN(E250/E249)</f>
        <v>0.007155855032733008</v>
      </c>
      <c r="M250" s="15">
        <f>LN(F250/F249)</f>
        <v>0.019548234877913913</v>
      </c>
      <c r="O250" s="14">
        <v>44790</v>
      </c>
      <c r="P250" s="15">
        <f>I251</f>
        <v>-0.0018795551947586714</v>
      </c>
      <c r="Q250" s="15">
        <f>J251</f>
        <v>-0.011098873376188315</v>
      </c>
      <c r="R250" s="15">
        <f>K251</f>
        <v>-0.02148155424353865</v>
      </c>
      <c r="S250" s="15">
        <f>L251</f>
        <v>0.006653737907021656</v>
      </c>
      <c r="T250" s="15">
        <f>M251</f>
        <v>0.0007740501324243625</v>
      </c>
    </row>
    <row r="251" spans="1:20">
      <c r="A251" s="14">
        <v>44790</v>
      </c>
      <c r="B251" s="10">
        <v>938.0802001953124</v>
      </c>
      <c r="C251" s="10">
        <v>66.71134948730469</v>
      </c>
      <c r="D251" s="10">
        <v>662.7787475585938</v>
      </c>
      <c r="E251" s="10">
        <v>17944.25</v>
      </c>
      <c r="F251" s="10">
        <v>452.3500061035156</v>
      </c>
      <c r="I251" s="15">
        <f>LN(B251/B250)</f>
        <v>-0.0018795551947586714</v>
      </c>
      <c r="J251" s="15">
        <f>LN(C251/C250)</f>
        <v>-0.011098873376188315</v>
      </c>
      <c r="K251" s="15">
        <f>LN(D251/D250)</f>
        <v>-0.02148155424353865</v>
      </c>
      <c r="L251" s="15">
        <f>LN(E251/E250)</f>
        <v>0.006653737907021656</v>
      </c>
      <c r="M251" s="15">
        <f>LN(F251/F250)</f>
        <v>0.0007740501324243625</v>
      </c>
      <c r="O251" s="14">
        <v>44791</v>
      </c>
      <c r="P251" s="15">
        <f>I252</f>
        <v>0.022579476887001255</v>
      </c>
      <c r="Q251" s="15">
        <f>J252</f>
        <v>-0.010471273382939395</v>
      </c>
      <c r="R251" s="15">
        <f>K252</f>
        <v>0.02499298907764375</v>
      </c>
      <c r="S251" s="15">
        <f>L252</f>
        <v>0.0006824370229270742</v>
      </c>
      <c r="T251" s="15">
        <f>M252</f>
        <v>0.015356230040107409</v>
      </c>
    </row>
    <row r="252" spans="1:20">
      <c r="A252" s="14">
        <v>44791</v>
      </c>
      <c r="B252" s="10">
        <v>959.5025024414062</v>
      </c>
      <c r="C252" s="10">
        <v>66.01644134521484</v>
      </c>
      <c r="D252" s="10">
        <v>679.5523071289062</v>
      </c>
      <c r="E252" s="10">
        <v>17956.5</v>
      </c>
      <c r="F252" s="10">
        <v>459.3500061035156</v>
      </c>
      <c r="I252" s="15">
        <f>LN(B252/B251)</f>
        <v>0.022579476887001255</v>
      </c>
      <c r="J252" s="15">
        <f>LN(C252/C251)</f>
        <v>-0.010471273382939395</v>
      </c>
      <c r="K252" s="15">
        <f>LN(D252/D251)</f>
        <v>0.02499298907764375</v>
      </c>
      <c r="L252" s="15">
        <f>LN(E252/E251)</f>
        <v>0.0006824370229270742</v>
      </c>
      <c r="M252" s="15">
        <f>LN(F252/F251)</f>
        <v>0.015356230040107409</v>
      </c>
      <c r="O252" s="14">
        <v>44792</v>
      </c>
      <c r="P252" s="15">
        <f>I253</f>
        <v>-0.016847669695005178</v>
      </c>
      <c r="Q252" s="15">
        <f>J253</f>
        <v>-0.0143886252338083</v>
      </c>
      <c r="R252" s="15">
        <f>K253</f>
        <v>0.014823767589675794</v>
      </c>
      <c r="S252" s="15">
        <f>L253</f>
        <v>-0.011090751389954998</v>
      </c>
      <c r="T252" s="15">
        <f>M253</f>
        <v>-0.019676396730605058</v>
      </c>
    </row>
    <row r="253" spans="1:20">
      <c r="A253" s="14">
        <v>44792</v>
      </c>
      <c r="B253" s="10">
        <v>943.4725341796876</v>
      </c>
      <c r="C253" s="10">
        <v>65.07335662841797</v>
      </c>
      <c r="D253" s="10">
        <v>689.7008666992188</v>
      </c>
      <c r="E253" s="10">
        <v>17758.44921875</v>
      </c>
      <c r="F253" s="10">
        <v>450.3999938964844</v>
      </c>
      <c r="I253" s="15">
        <f>LN(B253/B252)</f>
        <v>-0.016847669695005178</v>
      </c>
      <c r="J253" s="15">
        <f>LN(C253/C252)</f>
        <v>-0.0143886252338083</v>
      </c>
      <c r="K253" s="15">
        <f>LN(D253/D252)</f>
        <v>0.014823767589675794</v>
      </c>
      <c r="L253" s="15">
        <f>LN(E253/E252)</f>
        <v>-0.011090751389954998</v>
      </c>
      <c r="M253" s="15">
        <f>LN(F253/F252)</f>
        <v>-0.019676396730605058</v>
      </c>
      <c r="O253" s="14">
        <v>44795</v>
      </c>
      <c r="P253" s="15">
        <f>I254</f>
        <v>-0.027069918397382473</v>
      </c>
      <c r="Q253" s="15">
        <f>J254</f>
        <v>-0.018476371683715357</v>
      </c>
      <c r="R253" s="15">
        <f>K254</f>
        <v>0.0031968149223917768</v>
      </c>
      <c r="S253" s="15">
        <f>L254</f>
        <v>-0.015192148554208883</v>
      </c>
      <c r="T253" s="15">
        <f>M254</f>
        <v>-0.02540887180642811</v>
      </c>
    </row>
    <row r="254" spans="1:20">
      <c r="A254" s="14">
        <v>44795</v>
      </c>
      <c r="B254" s="10">
        <v>918.275390625</v>
      </c>
      <c r="C254" s="10">
        <v>63.88207626342773</v>
      </c>
      <c r="D254" s="10">
        <v>691.9092407226562</v>
      </c>
      <c r="E254" s="10">
        <v>17490.69921875</v>
      </c>
      <c r="F254" s="10">
        <v>439.1000061035156</v>
      </c>
      <c r="I254" s="15">
        <f>LN(B254/B253)</f>
        <v>-0.027069918397382473</v>
      </c>
      <c r="J254" s="15">
        <f>LN(C254/C253)</f>
        <v>-0.018476371683715357</v>
      </c>
      <c r="K254" s="15">
        <f>LN(D254/D253)</f>
        <v>0.0031968149223917768</v>
      </c>
      <c r="L254" s="15">
        <f>LN(E254/E253)</f>
        <v>-0.015192148554208883</v>
      </c>
      <c r="M254" s="15">
        <f>LN(F254/F253)</f>
        <v>-0.02540887180642811</v>
      </c>
      <c r="O254" s="14">
        <v>44796</v>
      </c>
      <c r="P254" s="15">
        <f>I255</f>
        <v>0.015468093194785124</v>
      </c>
      <c r="Q254" s="15">
        <f>J255</f>
        <v>0.11579540943909392</v>
      </c>
      <c r="R254" s="15">
        <f>K255</f>
        <v>-0.04981287765176363</v>
      </c>
      <c r="S254" s="15">
        <f>L255</f>
        <v>0.004950408657946044</v>
      </c>
      <c r="T254" s="15">
        <f>M255</f>
        <v>0.003977503910186464</v>
      </c>
    </row>
    <row r="255" spans="1:20">
      <c r="A255" s="14">
        <v>44796</v>
      </c>
      <c r="B255" s="10">
        <v>932.5897827148438</v>
      </c>
      <c r="C255" s="10">
        <v>71.72463226318359</v>
      </c>
      <c r="D255" s="10">
        <v>658.28759765625</v>
      </c>
      <c r="E255" s="10">
        <v>17577.5</v>
      </c>
      <c r="F255" s="10">
        <v>440.8500061035156</v>
      </c>
      <c r="I255" s="15">
        <f>LN(B255/B254)</f>
        <v>0.015468093194785124</v>
      </c>
      <c r="J255" s="15">
        <f>LN(C255/C254)</f>
        <v>0.11579540943909392</v>
      </c>
      <c r="K255" s="15">
        <f>LN(D255/D254)</f>
        <v>-0.04981287765176363</v>
      </c>
      <c r="L255" s="15">
        <f>LN(E255/E254)</f>
        <v>0.004950408657946044</v>
      </c>
      <c r="M255" s="15">
        <f>LN(F255/F254)</f>
        <v>0.003977503910186464</v>
      </c>
      <c r="O255" s="14">
        <v>44797</v>
      </c>
      <c r="P255" s="15">
        <f>I256</f>
        <v>0.014248106378782086</v>
      </c>
      <c r="Q255" s="15">
        <f>J256</f>
        <v>0.03267815830595006</v>
      </c>
      <c r="R255" s="15">
        <f>K256</f>
        <v>0.03201142391509955</v>
      </c>
      <c r="S255" s="15">
        <f>L256</f>
        <v>0.001560393032835227</v>
      </c>
      <c r="T255" s="15">
        <f>M256</f>
        <v>0.017984074422899503</v>
      </c>
    </row>
    <row r="256" spans="1:20">
      <c r="A256" s="14">
        <v>44797</v>
      </c>
      <c r="B256" s="10">
        <v>945.9725341796876</v>
      </c>
      <c r="C256" s="10">
        <v>74.107177734375</v>
      </c>
      <c r="D256" s="10">
        <v>679.7012329101562</v>
      </c>
      <c r="E256" s="10">
        <v>17604.94921875</v>
      </c>
      <c r="F256" s="10">
        <v>448.8500061035156</v>
      </c>
      <c r="I256" s="15">
        <f>LN(B256/B255)</f>
        <v>0.014248106378782086</v>
      </c>
      <c r="J256" s="15">
        <f>LN(C256/C255)</f>
        <v>0.03267815830595006</v>
      </c>
      <c r="K256" s="15">
        <f>LN(D256/D255)</f>
        <v>0.03201142391509955</v>
      </c>
      <c r="L256" s="15">
        <f>LN(E256/E255)</f>
        <v>0.001560393032835227</v>
      </c>
      <c r="M256" s="15">
        <f>LN(F256/F255)</f>
        <v>0.017984074422899503</v>
      </c>
      <c r="O256" s="14">
        <v>44798</v>
      </c>
      <c r="P256" s="15">
        <f>I257</f>
        <v>0.008257479684182806</v>
      </c>
      <c r="Q256" s="15">
        <f>J257</f>
        <v>0.08040328728992988</v>
      </c>
      <c r="R256" s="15">
        <f>K257</f>
        <v>0.03789584768163082</v>
      </c>
      <c r="S256" s="15">
        <f>L257</f>
        <v>-0.004697196795508722</v>
      </c>
      <c r="T256" s="15">
        <f>M257</f>
        <v>0.014597198192134985</v>
      </c>
    </row>
    <row r="257" spans="1:20">
      <c r="A257" s="14">
        <v>44798</v>
      </c>
      <c r="B257" s="10">
        <v>953.8162231445312</v>
      </c>
      <c r="C257" s="10">
        <v>80.31172943115234</v>
      </c>
      <c r="D257" s="10">
        <v>705.953369140625</v>
      </c>
      <c r="E257" s="10">
        <v>17522.44921875</v>
      </c>
      <c r="F257" s="10">
        <v>455.4500122070313</v>
      </c>
      <c r="I257" s="15">
        <f>LN(B257/B256)</f>
        <v>0.008257479684182806</v>
      </c>
      <c r="J257" s="15">
        <f>LN(C257/C256)</f>
        <v>0.08040328728992988</v>
      </c>
      <c r="K257" s="15">
        <f>LN(D257/D256)</f>
        <v>0.03789584768163082</v>
      </c>
      <c r="L257" s="15">
        <f>LN(E257/E256)</f>
        <v>-0.004697196795508722</v>
      </c>
      <c r="M257" s="15">
        <f>LN(F257/F256)</f>
        <v>0.014597198192134985</v>
      </c>
      <c r="O257" s="14">
        <v>44799</v>
      </c>
      <c r="P257" s="15">
        <f>I258</f>
        <v>-0.004739727178889355</v>
      </c>
      <c r="Q257" s="15">
        <f>J258</f>
        <v>0.011674483988983964</v>
      </c>
      <c r="R257" s="15">
        <f>K258</f>
        <v>-0.01765889954447253</v>
      </c>
      <c r="S257" s="15">
        <f>L258</f>
        <v>0.002078094793881999</v>
      </c>
      <c r="T257" s="15">
        <f>M258</f>
        <v>-0.003739582413890592</v>
      </c>
    </row>
    <row r="258" spans="1:20">
      <c r="A258" s="14">
        <v>44799</v>
      </c>
      <c r="B258" s="10">
        <v>949.3060913085938</v>
      </c>
      <c r="C258" s="10">
        <v>81.25482177734375</v>
      </c>
      <c r="D258" s="10">
        <v>693.596435546875</v>
      </c>
      <c r="E258" s="10">
        <v>17558.900390625</v>
      </c>
      <c r="F258" s="10">
        <v>453.75</v>
      </c>
      <c r="I258" s="15">
        <f>LN(B258/B257)</f>
        <v>-0.004739727178889355</v>
      </c>
      <c r="J258" s="15">
        <f>LN(C258/C257)</f>
        <v>0.011674483988983964</v>
      </c>
      <c r="K258" s="15">
        <f>LN(D258/D257)</f>
        <v>-0.01765889954447253</v>
      </c>
      <c r="L258" s="15">
        <f>LN(E258/E257)</f>
        <v>0.002078094793881999</v>
      </c>
      <c r="M258" s="15">
        <f>LN(F258/F257)</f>
        <v>-0.003739582413890592</v>
      </c>
      <c r="O258" s="14">
        <v>44802</v>
      </c>
      <c r="P258" s="15">
        <f>I259</f>
        <v>-0.012052657167281815</v>
      </c>
      <c r="Q258" s="15">
        <f>J259</f>
        <v>-0.04178964804952168</v>
      </c>
      <c r="R258" s="15">
        <f>K259</f>
        <v>0.016568678153920116</v>
      </c>
      <c r="S258" s="15">
        <f>L259</f>
        <v>-0.014109055185943692</v>
      </c>
      <c r="T258" s="15">
        <f>M259</f>
        <v>-0.013646395505196527</v>
      </c>
    </row>
    <row r="259" spans="1:20">
      <c r="A259" s="14">
        <v>44802</v>
      </c>
      <c r="B259" s="10">
        <v>937.93310546875</v>
      </c>
      <c r="C259" s="10">
        <v>77.92918395996094</v>
      </c>
      <c r="D259" s="10">
        <v>705.1841430664062</v>
      </c>
      <c r="E259" s="10">
        <v>17312.900390625</v>
      </c>
      <c r="F259" s="10">
        <v>447.6000061035156</v>
      </c>
      <c r="I259" s="15">
        <f>LN(B259/B258)</f>
        <v>-0.012052657167281815</v>
      </c>
      <c r="J259" s="15">
        <f>LN(C259/C258)</f>
        <v>-0.04178964804952168</v>
      </c>
      <c r="K259" s="15">
        <f>LN(D259/D258)</f>
        <v>0.016568678153920116</v>
      </c>
      <c r="L259" s="15">
        <f>LN(E259/E258)</f>
        <v>-0.014109055185943692</v>
      </c>
      <c r="M259" s="15">
        <f>LN(F259/F258)</f>
        <v>-0.013646395505196527</v>
      </c>
      <c r="O259" s="14">
        <v>44803</v>
      </c>
      <c r="P259" s="15">
        <f>I260</f>
        <v>0.05114438724455843</v>
      </c>
      <c r="Q259" s="15">
        <f>J260</f>
        <v>0.10510566481028406</v>
      </c>
      <c r="R259" s="15">
        <f>K260</f>
        <v>-0.010256563519746407</v>
      </c>
      <c r="S259" s="15">
        <f>L260</f>
        <v>0.025457455427431688</v>
      </c>
      <c r="T259" s="15">
        <f>M260</f>
        <v>0.034258962538615795</v>
      </c>
    </row>
    <row r="260" spans="1:20">
      <c r="A260" s="14">
        <v>44803</v>
      </c>
      <c r="B260" s="10">
        <v>987.1510009765624</v>
      </c>
      <c r="C260" s="10">
        <v>86.56591796875</v>
      </c>
      <c r="D260" s="10">
        <v>697.9883422851562</v>
      </c>
      <c r="E260" s="10">
        <v>17759.30078125</v>
      </c>
      <c r="F260" s="10">
        <v>463.2000122070313</v>
      </c>
      <c r="I260" s="15">
        <f>LN(B260/B259)</f>
        <v>0.05114438724455843</v>
      </c>
      <c r="J260" s="15">
        <f>LN(C260/C259)</f>
        <v>0.10510566481028406</v>
      </c>
      <c r="K260" s="15">
        <f>LN(D260/D259)</f>
        <v>-0.010256563519746407</v>
      </c>
      <c r="L260" s="15">
        <f>LN(E260/E259)</f>
        <v>0.025457455427431688</v>
      </c>
      <c r="M260" s="15">
        <f>LN(F260/F259)</f>
        <v>0.034258962538615795</v>
      </c>
      <c r="O260" s="14">
        <v>44805</v>
      </c>
      <c r="P260" s="15">
        <f>I261</f>
        <v>0.02854034879395167</v>
      </c>
      <c r="Q260" s="15">
        <f>J261</f>
        <v>-0.007481935243038455</v>
      </c>
      <c r="R260" s="15">
        <f>K261</f>
        <v>-0.012880255056594467</v>
      </c>
      <c r="S260" s="15">
        <f>L261</f>
        <v>-0.012265712506503565</v>
      </c>
      <c r="T260" s="15">
        <f>M261</f>
        <v>0.010736628516588529</v>
      </c>
    </row>
    <row r="261" spans="1:20">
      <c r="A261" s="14">
        <v>44805</v>
      </c>
      <c r="B261" s="10">
        <v>1015.730529785156</v>
      </c>
      <c r="C261" s="10">
        <v>85.920654296875</v>
      </c>
      <c r="D261" s="10">
        <v>689.0557250976562</v>
      </c>
      <c r="E261" s="10">
        <v>17542.80078125</v>
      </c>
      <c r="F261" s="10">
        <v>468.2000122070313</v>
      </c>
      <c r="I261" s="15">
        <f>LN(B261/B260)</f>
        <v>0.02854034879395167</v>
      </c>
      <c r="J261" s="15">
        <f>LN(C261/C260)</f>
        <v>-0.007481935243038455</v>
      </c>
      <c r="K261" s="15">
        <f>LN(D261/D260)</f>
        <v>-0.012880255056594467</v>
      </c>
      <c r="L261" s="15">
        <f>LN(E261/E260)</f>
        <v>-0.012265712506503565</v>
      </c>
      <c r="M261" s="15">
        <f>LN(F261/F260)</f>
        <v>0.010736628516588529</v>
      </c>
      <c r="O261" s="14">
        <v>44806</v>
      </c>
      <c r="P261" s="15">
        <f>I262</f>
        <v>-0.012334399023624727</v>
      </c>
      <c r="Q261" s="15">
        <f>J262</f>
        <v>0.07937572434454657</v>
      </c>
      <c r="R261" s="15">
        <f>K262</f>
        <v>0.0008279497375990382</v>
      </c>
      <c r="S261" s="15">
        <f>L262</f>
        <v>-0.00019106884593758132</v>
      </c>
      <c r="T261" s="15">
        <f>M262</f>
        <v>-0.0018171264406372542</v>
      </c>
    </row>
    <row r="262" spans="1:20">
      <c r="A262" s="14">
        <v>44806</v>
      </c>
      <c r="B262" s="10">
        <v>1003.279052734375</v>
      </c>
      <c r="C262" s="10">
        <v>93.01864624023438</v>
      </c>
      <c r="D262" s="10">
        <v>689.62646484375</v>
      </c>
      <c r="E262" s="10">
        <v>17539.44921875</v>
      </c>
      <c r="F262" s="10">
        <v>467.3500061035156</v>
      </c>
      <c r="I262" s="15">
        <f>LN(B262/B261)</f>
        <v>-0.012334399023624727</v>
      </c>
      <c r="J262" s="15">
        <f>LN(C262/C261)</f>
        <v>0.07937572434454657</v>
      </c>
      <c r="K262" s="15">
        <f>LN(D262/D261)</f>
        <v>0.0008279497375990382</v>
      </c>
      <c r="L262" s="15">
        <f>LN(E262/E261)</f>
        <v>-0.00019106884593758132</v>
      </c>
      <c r="M262" s="15">
        <f>LN(F262/F261)</f>
        <v>-0.0018171264406372542</v>
      </c>
      <c r="O262" s="14">
        <v>44809</v>
      </c>
      <c r="P262" s="15">
        <f>I263</f>
        <v>0.0164765789710406</v>
      </c>
      <c r="Q262" s="15">
        <f>J263</f>
        <v>0.017980541213477662</v>
      </c>
      <c r="R262" s="15">
        <f>K263</f>
        <v>-0.0004318189550635852</v>
      </c>
      <c r="S262" s="15">
        <f>L263</f>
        <v>0.00717802628935595</v>
      </c>
      <c r="T262" s="15">
        <f>M263</f>
        <v>0.008840647385081078</v>
      </c>
    </row>
    <row r="263" spans="1:20">
      <c r="A263" s="14">
        <v>44809</v>
      </c>
      <c r="B263" s="10">
        <v>1019.946594238281</v>
      </c>
      <c r="C263" s="10">
        <v>94.706298828125</v>
      </c>
      <c r="D263" s="10">
        <v>689.3287353515625</v>
      </c>
      <c r="E263" s="10">
        <v>17665.80078125</v>
      </c>
      <c r="F263" s="10">
        <v>471.5</v>
      </c>
      <c r="I263" s="15">
        <f>LN(B263/B262)</f>
        <v>0.0164765789710406</v>
      </c>
      <c r="J263" s="15">
        <f>LN(C263/C262)</f>
        <v>0.017980541213477662</v>
      </c>
      <c r="K263" s="15">
        <f>LN(D263/D262)</f>
        <v>-0.0004318189550635852</v>
      </c>
      <c r="L263" s="15">
        <f>LN(E263/E262)</f>
        <v>0.00717802628935595</v>
      </c>
      <c r="M263" s="15">
        <f>LN(F263/F262)</f>
        <v>0.008840647385081078</v>
      </c>
      <c r="O263" s="14">
        <v>44810</v>
      </c>
      <c r="P263" s="15">
        <f>I264</f>
        <v>-0.013841428392678446</v>
      </c>
      <c r="Q263" s="15">
        <f>J264</f>
        <v>-0.025479136234728514</v>
      </c>
      <c r="R263" s="15">
        <f>K264</f>
        <v>0.011346000391270884</v>
      </c>
      <c r="S263" s="15">
        <f>L264</f>
        <v>-0.000577619915734608</v>
      </c>
      <c r="T263" s="15">
        <f>M264</f>
        <v>0.0035990558274886925</v>
      </c>
    </row>
    <row r="264" spans="1:20">
      <c r="A264" s="14">
        <v>44810</v>
      </c>
      <c r="B264" s="10">
        <v>1005.926330566406</v>
      </c>
      <c r="C264" s="10">
        <v>92.32374572753906</v>
      </c>
      <c r="D264" s="10">
        <v>697.1943969726562</v>
      </c>
      <c r="E264" s="10">
        <v>17655.599609375</v>
      </c>
      <c r="F264" s="10">
        <v>473.2000122070313</v>
      </c>
      <c r="I264" s="15">
        <f>LN(B264/B263)</f>
        <v>-0.013841428392678446</v>
      </c>
      <c r="J264" s="15">
        <f>LN(C264/C263)</f>
        <v>-0.025479136234728514</v>
      </c>
      <c r="K264" s="15">
        <f>LN(D264/D263)</f>
        <v>0.011346000391270884</v>
      </c>
      <c r="L264" s="15">
        <f>LN(E264/E263)</f>
        <v>-0.000577619915734608</v>
      </c>
      <c r="M264" s="15">
        <f>LN(F264/F263)</f>
        <v>0.0035990558274886925</v>
      </c>
      <c r="O264" s="14">
        <v>44811</v>
      </c>
      <c r="P264" s="15">
        <f>I265</f>
        <v>-0.006846106654289882</v>
      </c>
      <c r="Q264" s="15">
        <f>J265</f>
        <v>0.01864234426806055</v>
      </c>
      <c r="R264" s="15">
        <f>K265</f>
        <v>-0.013363979591272489</v>
      </c>
      <c r="S264" s="15">
        <f>L265</f>
        <v>-0.0017686636555011566</v>
      </c>
      <c r="T264" s="15">
        <f>M265</f>
        <v>0.0008449385562858585</v>
      </c>
    </row>
    <row r="265" spans="1:20">
      <c r="A265" s="14">
        <v>44811</v>
      </c>
      <c r="B265" s="10">
        <v>999.0631713867188</v>
      </c>
      <c r="C265" s="10">
        <v>94.06101989746094</v>
      </c>
      <c r="D265" s="10">
        <v>687.9390869140625</v>
      </c>
      <c r="E265" s="10">
        <v>17624.400390625</v>
      </c>
      <c r="F265" s="10">
        <v>473.6000061035156</v>
      </c>
      <c r="I265" s="15">
        <f>LN(B265/B264)</f>
        <v>-0.006846106654289882</v>
      </c>
      <c r="J265" s="15">
        <f>LN(C265/C264)</f>
        <v>0.01864234426806055</v>
      </c>
      <c r="K265" s="15">
        <f>LN(D265/D264)</f>
        <v>-0.013363979591272489</v>
      </c>
      <c r="L265" s="15">
        <f>LN(E265/E264)</f>
        <v>-0.0017686636555011566</v>
      </c>
      <c r="M265" s="15">
        <f>LN(F265/F264)</f>
        <v>0.0008449385562858585</v>
      </c>
      <c r="O265" s="14">
        <v>44812</v>
      </c>
      <c r="P265" s="15">
        <f>I266</f>
        <v>0.01054284158708504</v>
      </c>
      <c r="Q265" s="15">
        <f>J266</f>
        <v>-0.018104849803763298</v>
      </c>
      <c r="R265" s="15">
        <f>K266</f>
        <v>0.0058262087623746775</v>
      </c>
      <c r="S265" s="15">
        <f>L266</f>
        <v>0.009843902383512463</v>
      </c>
      <c r="T265" s="15">
        <f>M266</f>
        <v>-0.0028545900756676798</v>
      </c>
    </row>
    <row r="266" spans="1:20">
      <c r="A266" s="14">
        <v>44812</v>
      </c>
      <c r="B266" s="10">
        <v>1009.65185546875</v>
      </c>
      <c r="C266" s="10">
        <v>92.37338256835938</v>
      </c>
      <c r="D266" s="10">
        <v>691.9588623046875</v>
      </c>
      <c r="E266" s="10">
        <v>17798.75</v>
      </c>
      <c r="F266" s="10">
        <v>472.25</v>
      </c>
      <c r="I266" s="15">
        <f>LN(B266/B265)</f>
        <v>0.01054284158708504</v>
      </c>
      <c r="J266" s="15">
        <f>LN(C266/C265)</f>
        <v>-0.018104849803763298</v>
      </c>
      <c r="K266" s="15">
        <f>LN(D266/D265)</f>
        <v>0.0058262087623746775</v>
      </c>
      <c r="L266" s="15">
        <f>LN(E266/E265)</f>
        <v>0.009843902383512463</v>
      </c>
      <c r="M266" s="15">
        <f>LN(F266/F265)</f>
        <v>-0.0028545900756676798</v>
      </c>
      <c r="O266" s="14">
        <v>44813</v>
      </c>
      <c r="P266" s="15">
        <f>I267</f>
        <v>-0.010101363262772715</v>
      </c>
      <c r="Q266" s="15">
        <f>J267</f>
        <v>0.027035900900911538</v>
      </c>
      <c r="R266" s="15">
        <f>K267</f>
        <v>0.0011109589090834908</v>
      </c>
      <c r="S266" s="15">
        <f>L267</f>
        <v>0.0019420477956010656</v>
      </c>
      <c r="T266" s="15">
        <f>M267</f>
        <v>-0.004669460326703721</v>
      </c>
    </row>
    <row r="267" spans="1:20">
      <c r="A267" s="14">
        <v>44813</v>
      </c>
      <c r="B267" s="10">
        <v>999.5043334960938</v>
      </c>
      <c r="C267" s="10">
        <v>94.90484619140624</v>
      </c>
      <c r="D267" s="10">
        <v>692.72802734375</v>
      </c>
      <c r="E267" s="10">
        <v>17833.349609375</v>
      </c>
      <c r="F267" s="10">
        <v>470.0499877929687</v>
      </c>
      <c r="I267" s="15">
        <f>LN(B267/B266)</f>
        <v>-0.010101363262772715</v>
      </c>
      <c r="J267" s="15">
        <f>LN(C267/C266)</f>
        <v>0.027035900900911538</v>
      </c>
      <c r="K267" s="15">
        <f>LN(D267/D266)</f>
        <v>0.0011109589090834908</v>
      </c>
      <c r="L267" s="15">
        <f>LN(E267/E266)</f>
        <v>0.0019420477956010656</v>
      </c>
      <c r="M267" s="15">
        <f>LN(F267/F266)</f>
        <v>-0.004669460326703721</v>
      </c>
      <c r="O267" s="14">
        <v>44816</v>
      </c>
      <c r="P267" s="15">
        <f>I268</f>
        <v>0.03815618976904829</v>
      </c>
      <c r="Q267" s="15">
        <f>J268</f>
        <v>-0.03404588143068165</v>
      </c>
      <c r="R267" s="15">
        <f>K268</f>
        <v>0.012161014894164284</v>
      </c>
      <c r="S267" s="15">
        <f>L268</f>
        <v>0.005759080279283832</v>
      </c>
      <c r="T267" s="15">
        <f>M268</f>
        <v>0.021780031445843236</v>
      </c>
    </row>
    <row r="268" spans="1:20">
      <c r="A268" s="14">
        <v>44816</v>
      </c>
      <c r="B268" s="10">
        <v>1038.378540039062</v>
      </c>
      <c r="C268" s="10">
        <v>91.72811126708984</v>
      </c>
      <c r="D268" s="10">
        <v>701.2037353515625</v>
      </c>
      <c r="E268" s="10">
        <v>17936.349609375</v>
      </c>
      <c r="F268" s="10">
        <v>480.3999938964844</v>
      </c>
      <c r="I268" s="15">
        <f>LN(B268/B267)</f>
        <v>0.03815618976904829</v>
      </c>
      <c r="J268" s="15">
        <f>LN(C268/C267)</f>
        <v>-0.03404588143068165</v>
      </c>
      <c r="K268" s="15">
        <f>LN(D268/D267)</f>
        <v>0.012161014894164284</v>
      </c>
      <c r="L268" s="15">
        <f>LN(E268/E267)</f>
        <v>0.005759080279283832</v>
      </c>
      <c r="M268" s="15">
        <f>LN(F268/F267)</f>
        <v>0.021780031445843236</v>
      </c>
      <c r="O268" s="14">
        <v>44817</v>
      </c>
      <c r="P268" s="15">
        <f>I269</f>
        <v>-0.005491281118207158</v>
      </c>
      <c r="Q268" s="15">
        <f>J269</f>
        <v>-0.011976208082355713</v>
      </c>
      <c r="R268" s="15">
        <f>K269</f>
        <v>0.00896330436457911</v>
      </c>
      <c r="S268" s="15">
        <f>L269</f>
        <v>0.007426556664034913</v>
      </c>
      <c r="T268" s="15">
        <f>M269</f>
        <v>-0.0017709387819780464</v>
      </c>
    </row>
    <row r="269" spans="1:20">
      <c r="A269" s="14">
        <v>44817</v>
      </c>
      <c r="B269" s="10">
        <v>1032.692138671875</v>
      </c>
      <c r="C269" s="10">
        <v>90.6361083984375</v>
      </c>
      <c r="D269" s="10">
        <v>707.51708984375</v>
      </c>
      <c r="E269" s="10">
        <v>18070.05078125</v>
      </c>
      <c r="F269" s="10">
        <v>479.5499877929687</v>
      </c>
      <c r="I269" s="15">
        <f>LN(B269/B268)</f>
        <v>-0.005491281118207158</v>
      </c>
      <c r="J269" s="15">
        <f>LN(C269/C268)</f>
        <v>-0.011976208082355713</v>
      </c>
      <c r="K269" s="15">
        <f>LN(D269/D268)</f>
        <v>0.00896330436457911</v>
      </c>
      <c r="L269" s="15">
        <f>LN(E269/E268)</f>
        <v>0.007426556664034913</v>
      </c>
      <c r="M269" s="15">
        <f>LN(F269/F268)</f>
        <v>-0.0017709387819780464</v>
      </c>
      <c r="O269" s="14">
        <v>44818</v>
      </c>
      <c r="P269" s="15">
        <f>I270</f>
        <v>0.016478038028964862</v>
      </c>
      <c r="Q269" s="15">
        <f>J270</f>
        <v>0.009266890760059172</v>
      </c>
      <c r="R269" s="15">
        <f>K270</f>
        <v>-0.0056367351936762585</v>
      </c>
      <c r="S269" s="15">
        <f>L270</f>
        <v>-0.003675845320864187</v>
      </c>
      <c r="T269" s="15">
        <f>M270</f>
        <v>-0.0069052122778696864</v>
      </c>
    </row>
    <row r="270" spans="1:20">
      <c r="A270" s="14">
        <v>44818</v>
      </c>
      <c r="B270" s="10">
        <v>1049.849853515625</v>
      </c>
      <c r="C270" s="10">
        <v>91.47992706298828</v>
      </c>
      <c r="D270" s="10">
        <v>703.5402221679688</v>
      </c>
      <c r="E270" s="10">
        <v>18003.75</v>
      </c>
      <c r="F270" s="10">
        <v>476.25</v>
      </c>
      <c r="I270" s="15">
        <f>LN(B270/B269)</f>
        <v>0.016478038028964862</v>
      </c>
      <c r="J270" s="15">
        <f>LN(C270/C269)</f>
        <v>0.009266890760059172</v>
      </c>
      <c r="K270" s="15">
        <f>LN(D270/D269)</f>
        <v>-0.0056367351936762585</v>
      </c>
      <c r="L270" s="15">
        <f>LN(E270/E269)</f>
        <v>-0.003675845320864187</v>
      </c>
      <c r="M270" s="15">
        <f>LN(F270/F269)</f>
        <v>-0.0069052122778696864</v>
      </c>
      <c r="O270" s="14">
        <v>44819</v>
      </c>
      <c r="P270" s="15">
        <f>I271</f>
        <v>0.005494755369897411</v>
      </c>
      <c r="Q270" s="15">
        <f>J271</f>
        <v>-0.018620545623814537</v>
      </c>
      <c r="R270" s="15">
        <f>K271</f>
        <v>-0.02699957921385186</v>
      </c>
      <c r="S270" s="15">
        <f>L271</f>
        <v>-0.0070427023794097186</v>
      </c>
      <c r="T270" s="15">
        <f>M271</f>
        <v>-0.009175840642486397</v>
      </c>
    </row>
    <row r="271" spans="1:20">
      <c r="A271" s="14">
        <v>44819</v>
      </c>
      <c r="B271" s="10">
        <v>1055.634399414062</v>
      </c>
      <c r="C271" s="10">
        <v>89.79228210449219</v>
      </c>
      <c r="D271" s="10">
        <v>684.799072265625</v>
      </c>
      <c r="E271" s="10">
        <v>17877.400390625</v>
      </c>
      <c r="F271" s="10">
        <v>471.8999938964844</v>
      </c>
      <c r="I271" s="15">
        <f>LN(B271/B270)</f>
        <v>0.005494755369897411</v>
      </c>
      <c r="J271" s="15">
        <f>LN(C271/C270)</f>
        <v>-0.018620545623814537</v>
      </c>
      <c r="K271" s="15">
        <f>LN(D271/D270)</f>
        <v>-0.02699957921385186</v>
      </c>
      <c r="L271" s="15">
        <f>LN(E271/E270)</f>
        <v>-0.0070427023794097186</v>
      </c>
      <c r="M271" s="15">
        <f>LN(F271/F270)</f>
        <v>-0.009175840642486397</v>
      </c>
      <c r="O271" s="14">
        <v>44820</v>
      </c>
      <c r="P271" s="15">
        <f>I272</f>
        <v>-0.052041580841968915</v>
      </c>
      <c r="Q271" s="15">
        <f>J272</f>
        <v>-0.04870713771475313</v>
      </c>
      <c r="R271" s="15">
        <f>K272</f>
        <v>-0.018573804190303782</v>
      </c>
      <c r="S271" s="15">
        <f>L272</f>
        <v>-0.019575203370476822</v>
      </c>
      <c r="T271" s="15">
        <f>M272</f>
        <v>-0.03789924622355768</v>
      </c>
    </row>
    <row r="272" spans="1:20">
      <c r="A272" s="14">
        <v>44820</v>
      </c>
      <c r="B272" s="10">
        <v>1002.1025390625</v>
      </c>
      <c r="C272" s="10">
        <v>85.5235595703125</v>
      </c>
      <c r="D272" s="10">
        <v>672.1971435546875</v>
      </c>
      <c r="E272" s="10">
        <v>17530.849609375</v>
      </c>
      <c r="F272" s="10">
        <v>454.3500061035156</v>
      </c>
      <c r="I272" s="15">
        <f>LN(B272/B271)</f>
        <v>-0.052041580841968915</v>
      </c>
      <c r="J272" s="15">
        <f>LN(C272/C271)</f>
        <v>-0.04870713771475313</v>
      </c>
      <c r="K272" s="15">
        <f>LN(D272/D271)</f>
        <v>-0.018573804190303782</v>
      </c>
      <c r="L272" s="15">
        <f>LN(E272/E271)</f>
        <v>-0.019575203370476822</v>
      </c>
      <c r="M272" s="15">
        <f>LN(F272/F271)</f>
        <v>-0.03789924622355768</v>
      </c>
      <c r="O272" s="14">
        <v>44823</v>
      </c>
      <c r="P272" s="15">
        <f>I273</f>
        <v>-0.007808609684245237</v>
      </c>
      <c r="Q272" s="15">
        <f>J273</f>
        <v>-0.006404733705436845</v>
      </c>
      <c r="R272" s="15">
        <f>K273</f>
        <v>0.010080697833254796</v>
      </c>
      <c r="S272" s="15">
        <f>L273</f>
        <v>0.005200144374609497</v>
      </c>
      <c r="T272" s="15">
        <f>M273</f>
        <v>-0.009509178995495271</v>
      </c>
    </row>
    <row r="273" spans="1:20">
      <c r="A273" s="14">
        <v>44823</v>
      </c>
      <c r="B273" s="10">
        <v>994.3079833984376</v>
      </c>
      <c r="C273" s="10">
        <v>84.97755432128906</v>
      </c>
      <c r="D273" s="10">
        <v>679.0076293945312</v>
      </c>
      <c r="E273" s="10">
        <v>17622.25</v>
      </c>
      <c r="F273" s="10">
        <v>450.0499877929687</v>
      </c>
      <c r="I273" s="15">
        <f>LN(B273/B272)</f>
        <v>-0.007808609684245237</v>
      </c>
      <c r="J273" s="15">
        <f>LN(C273/C272)</f>
        <v>-0.006404733705436845</v>
      </c>
      <c r="K273" s="15">
        <f>LN(D273/D272)</f>
        <v>0.010080697833254796</v>
      </c>
      <c r="L273" s="15">
        <f>LN(E273/E272)</f>
        <v>0.005200144374609497</v>
      </c>
      <c r="M273" s="15">
        <f>LN(F273/F272)</f>
        <v>-0.009509178995495271</v>
      </c>
      <c r="O273" s="14">
        <v>44824</v>
      </c>
      <c r="P273" s="15">
        <f>I274</f>
        <v>0.02440046625957046</v>
      </c>
      <c r="Q273" s="15">
        <f>J274</f>
        <v>0.023095732012979</v>
      </c>
      <c r="R273" s="15">
        <f>K274</f>
        <v>0.01957442303959909</v>
      </c>
      <c r="S273" s="15">
        <f>L274</f>
        <v>0.010948654031257964</v>
      </c>
      <c r="T273" s="15">
        <f>M274</f>
        <v>0.015762298040827467</v>
      </c>
    </row>
    <row r="274" spans="1:20">
      <c r="A274" s="14">
        <v>44824</v>
      </c>
      <c r="B274" s="10">
        <v>1018.867980957031</v>
      </c>
      <c r="C274" s="10">
        <v>86.9630126953125</v>
      </c>
      <c r="D274" s="10">
        <v>692.4297485351562</v>
      </c>
      <c r="E274" s="10">
        <v>17816.25</v>
      </c>
      <c r="F274" s="10">
        <v>457.2000122070313</v>
      </c>
      <c r="I274" s="15">
        <f>LN(B274/B273)</f>
        <v>0.02440046625957046</v>
      </c>
      <c r="J274" s="15">
        <f>LN(C274/C273)</f>
        <v>0.023095732012979</v>
      </c>
      <c r="K274" s="15">
        <f>LN(D274/D273)</f>
        <v>0.01957442303959909</v>
      </c>
      <c r="L274" s="15">
        <f>LN(E274/E273)</f>
        <v>0.010948654031257964</v>
      </c>
      <c r="M274" s="15">
        <f>LN(F274/F273)</f>
        <v>0.015762298040827467</v>
      </c>
      <c r="O274" s="14">
        <v>44825</v>
      </c>
      <c r="P274" s="15">
        <f>I275</f>
        <v>-0.03132653731666022</v>
      </c>
      <c r="Q274" s="15">
        <f>J275</f>
        <v>-0.034255910505816646</v>
      </c>
      <c r="R274" s="15">
        <f>K275</f>
        <v>0.024361624166212924</v>
      </c>
      <c r="S274" s="15">
        <f>L275</f>
        <v>-0.005510158516157929</v>
      </c>
      <c r="T274" s="15">
        <f>M275</f>
        <v>-0.012988678835839452</v>
      </c>
    </row>
    <row r="275" spans="1:20">
      <c r="A275" s="14">
        <v>44825</v>
      </c>
      <c r="B275" s="10">
        <v>987.4451293945312</v>
      </c>
      <c r="C275" s="10">
        <v>84.03446197509766</v>
      </c>
      <c r="D275" s="10">
        <v>709.505615234375</v>
      </c>
      <c r="E275" s="10">
        <v>17718.349609375</v>
      </c>
      <c r="F275" s="10">
        <v>451.2999877929687</v>
      </c>
      <c r="I275" s="15">
        <f>LN(B275/B274)</f>
        <v>-0.03132653731666022</v>
      </c>
      <c r="J275" s="15">
        <f>LN(C275/C274)</f>
        <v>-0.034255910505816646</v>
      </c>
      <c r="K275" s="15">
        <f>LN(D275/D274)</f>
        <v>0.024361624166212924</v>
      </c>
      <c r="L275" s="15">
        <f>LN(E275/E274)</f>
        <v>-0.005510158516157929</v>
      </c>
      <c r="M275" s="15">
        <f>LN(F275/F274)</f>
        <v>-0.012988678835839452</v>
      </c>
      <c r="O275" s="14">
        <v>44826</v>
      </c>
      <c r="P275" s="15">
        <f>I276</f>
        <v>0.00014883026424134237</v>
      </c>
      <c r="Q275" s="15">
        <f>J276</f>
        <v>0.05459567835281055</v>
      </c>
      <c r="R275" s="15">
        <f>K276</f>
        <v>0.001540207597228387</v>
      </c>
      <c r="S275" s="15">
        <f>L276</f>
        <v>-0.005010107310831895</v>
      </c>
      <c r="T275" s="15">
        <f>M276</f>
        <v>-0.002773619204987939</v>
      </c>
    </row>
    <row r="276" spans="1:20">
      <c r="A276" s="14">
        <v>44826</v>
      </c>
      <c r="B276" s="10">
        <v>987.5921020507812</v>
      </c>
      <c r="C276" s="10">
        <v>88.74993133544922</v>
      </c>
      <c r="D276" s="10">
        <v>710.5992431640625</v>
      </c>
      <c r="E276" s="10">
        <v>17629.80078125</v>
      </c>
      <c r="F276" s="10">
        <v>450.0499877929687</v>
      </c>
      <c r="I276" s="15">
        <f>LN(B276/B275)</f>
        <v>0.00014883026424134237</v>
      </c>
      <c r="J276" s="15">
        <f>LN(C276/C275)</f>
        <v>0.05459567835281055</v>
      </c>
      <c r="K276" s="15">
        <f>LN(D276/D275)</f>
        <v>0.001540207597228387</v>
      </c>
      <c r="L276" s="15">
        <f>LN(E276/E275)</f>
        <v>-0.005010107310831895</v>
      </c>
      <c r="M276" s="15">
        <f>LN(F276/F275)</f>
        <v>-0.002773619204987939</v>
      </c>
      <c r="O276" s="14">
        <v>44827</v>
      </c>
      <c r="P276" s="15">
        <f>I277</f>
        <v>-0.03742336491825424</v>
      </c>
      <c r="Q276" s="15">
        <f>J277</f>
        <v>0.0016763744736943153</v>
      </c>
      <c r="R276" s="15">
        <f>K277</f>
        <v>-0.025722293762621966</v>
      </c>
      <c r="S276" s="15">
        <f>L277</f>
        <v>-0.01730454089090743</v>
      </c>
      <c r="T276" s="15">
        <f>M277</f>
        <v>-0.029997711565205493</v>
      </c>
    </row>
    <row r="277" spans="1:20">
      <c r="A277" s="14">
        <v>44827</v>
      </c>
      <c r="B277" s="10">
        <v>951.3161010742188</v>
      </c>
      <c r="C277" s="10">
        <v>88.89883422851562</v>
      </c>
      <c r="D277" s="10">
        <v>692.5540771484375</v>
      </c>
      <c r="E277" s="10">
        <v>17327.349609375</v>
      </c>
      <c r="F277" s="10">
        <v>436.75</v>
      </c>
      <c r="I277" s="15">
        <f>LN(B277/B276)</f>
        <v>-0.03742336491825424</v>
      </c>
      <c r="J277" s="15">
        <f>LN(C277/C276)</f>
        <v>0.0016763744736943153</v>
      </c>
      <c r="K277" s="15">
        <f>LN(D277/D276)</f>
        <v>-0.025722293762621966</v>
      </c>
      <c r="L277" s="15">
        <f>LN(E277/E276)</f>
        <v>-0.01730454089090743</v>
      </c>
      <c r="M277" s="15">
        <f>LN(F277/F276)</f>
        <v>-0.029997711565205493</v>
      </c>
      <c r="O277" s="14">
        <v>44830</v>
      </c>
      <c r="P277" s="15">
        <f>I278</f>
        <v>-0.060322007199882725</v>
      </c>
      <c r="Q277" s="15">
        <f>J278</f>
        <v>-0.04394432202997348</v>
      </c>
      <c r="R277" s="15">
        <f>K278</f>
        <v>-0.03766729078051499</v>
      </c>
      <c r="S277" s="15">
        <f>L278</f>
        <v>-0.018114401349380974</v>
      </c>
      <c r="T277" s="15">
        <f>M278</f>
        <v>-0.04340113283017523</v>
      </c>
    </row>
    <row r="278" spans="1:20">
      <c r="A278" s="14">
        <v>44830</v>
      </c>
      <c r="B278" s="10">
        <v>895.6273193359375</v>
      </c>
      <c r="C278" s="10">
        <v>85.07682800292969</v>
      </c>
      <c r="D278" s="10">
        <v>666.95263671875</v>
      </c>
      <c r="E278" s="10">
        <v>17016.30078125</v>
      </c>
      <c r="F278" s="10">
        <v>418.2000122070313</v>
      </c>
      <c r="I278" s="15">
        <f>LN(B278/B277)</f>
        <v>-0.060322007199882725</v>
      </c>
      <c r="J278" s="15">
        <f>LN(C278/C277)</f>
        <v>-0.04394432202997348</v>
      </c>
      <c r="K278" s="15">
        <f>LN(D278/D277)</f>
        <v>-0.03766729078051499</v>
      </c>
      <c r="L278" s="15">
        <f>LN(E278/E277)</f>
        <v>-0.018114401349380974</v>
      </c>
      <c r="M278" s="15">
        <f>LN(F278/F277)</f>
        <v>-0.04340113283017523</v>
      </c>
      <c r="O278" s="14">
        <v>44831</v>
      </c>
      <c r="P278" s="15">
        <f>I279</f>
        <v>0.004151258107212643</v>
      </c>
      <c r="Q278" s="15">
        <f>J279</f>
        <v>-0.0035066644298165665</v>
      </c>
      <c r="R278" s="15">
        <f>K279</f>
        <v>-0.0034719101086610783</v>
      </c>
      <c r="S278" s="15">
        <f>L279</f>
        <v>-0.0005231876910193474</v>
      </c>
      <c r="T278" s="15">
        <f>M279</f>
        <v>-0.0027537267663170916</v>
      </c>
    </row>
    <row r="279" spans="1:20">
      <c r="A279" s="14">
        <v>44831</v>
      </c>
      <c r="B279" s="10">
        <v>899.35302734375</v>
      </c>
      <c r="C279" s="10">
        <v>84.77901458740234</v>
      </c>
      <c r="D279" s="10">
        <v>664.6410522460938</v>
      </c>
      <c r="E279" s="10">
        <v>17007.400390625</v>
      </c>
      <c r="F279" s="10">
        <v>417.0499877929687</v>
      </c>
      <c r="I279" s="15">
        <f>LN(B279/B278)</f>
        <v>0.004151258107212643</v>
      </c>
      <c r="J279" s="15">
        <f>LN(C279/C278)</f>
        <v>-0.0035066644298165665</v>
      </c>
      <c r="K279" s="15">
        <f>LN(D279/D278)</f>
        <v>-0.0034719101086610783</v>
      </c>
      <c r="L279" s="15">
        <f>LN(E279/E278)</f>
        <v>-0.0005231876910193474</v>
      </c>
      <c r="M279" s="15">
        <f>LN(F279/F278)</f>
        <v>-0.0027537267663170916</v>
      </c>
      <c r="O279" s="14">
        <v>44832</v>
      </c>
      <c r="P279" s="15">
        <f>I280</f>
        <v>-0.017041707838253897</v>
      </c>
      <c r="Q279" s="15">
        <f>J280</f>
        <v>-0.0406268256548416</v>
      </c>
      <c r="R279" s="15">
        <f>K280</f>
        <v>-0.0014595365856721516</v>
      </c>
      <c r="S279" s="15">
        <f>L280</f>
        <v>-0.008787677246935572</v>
      </c>
      <c r="T279" s="15">
        <f>M280</f>
        <v>-0.00673643311100131</v>
      </c>
    </row>
    <row r="280" spans="1:20">
      <c r="A280" s="14">
        <v>44832</v>
      </c>
      <c r="B280" s="10">
        <v>884.1563720703125</v>
      </c>
      <c r="C280" s="10">
        <v>81.40373992919922</v>
      </c>
      <c r="D280" s="10">
        <v>663.6716918945312</v>
      </c>
      <c r="E280" s="10">
        <v>16858.599609375</v>
      </c>
      <c r="F280" s="10">
        <v>414.25</v>
      </c>
      <c r="I280" s="15">
        <f>LN(B280/B279)</f>
        <v>-0.017041707838253897</v>
      </c>
      <c r="J280" s="15">
        <f>LN(C280/C279)</f>
        <v>-0.0406268256548416</v>
      </c>
      <c r="K280" s="15">
        <f>LN(D280/D279)</f>
        <v>-0.0014595365856721516</v>
      </c>
      <c r="L280" s="15">
        <f>LN(E280/E279)</f>
        <v>-0.008787677246935572</v>
      </c>
      <c r="M280" s="15">
        <f>LN(F280/F279)</f>
        <v>-0.00673643311100131</v>
      </c>
      <c r="O280" s="14">
        <v>44833</v>
      </c>
      <c r="P280" s="15">
        <f>I281</f>
        <v>0.00563938409315886</v>
      </c>
      <c r="Q280" s="15">
        <f>J281</f>
        <v>0.012723416640571</v>
      </c>
      <c r="R280" s="15">
        <f>K281</f>
        <v>-0.006575520410343837</v>
      </c>
      <c r="S280" s="15">
        <f>L281</f>
        <v>-0.0024052250050792126</v>
      </c>
      <c r="T280" s="15">
        <f>M281</f>
        <v>0.0037346897593001044</v>
      </c>
    </row>
    <row r="281" spans="1:20">
      <c r="A281" s="14">
        <v>44833</v>
      </c>
      <c r="B281" s="10">
        <v>889.1565551757812</v>
      </c>
      <c r="C281" s="10">
        <v>82.44609069824219</v>
      </c>
      <c r="D281" s="10">
        <v>659.322021484375</v>
      </c>
      <c r="E281" s="10">
        <v>16818.099609375</v>
      </c>
      <c r="F281" s="10">
        <v>415.7999877929687</v>
      </c>
      <c r="I281" s="15">
        <f>LN(B281/B280)</f>
        <v>0.00563938409315886</v>
      </c>
      <c r="J281" s="15">
        <f>LN(C281/C280)</f>
        <v>0.012723416640571</v>
      </c>
      <c r="K281" s="15">
        <f>LN(D281/D280)</f>
        <v>-0.006575520410343837</v>
      </c>
      <c r="L281" s="15">
        <f>LN(E281/E280)</f>
        <v>-0.0024052250050792126</v>
      </c>
      <c r="M281" s="15">
        <f>LN(F281/F280)</f>
        <v>0.0037346897593001044</v>
      </c>
      <c r="O281" s="14">
        <v>44834</v>
      </c>
      <c r="P281" s="15">
        <f>I282</f>
        <v>0.011947271942367423</v>
      </c>
      <c r="Q281" s="15">
        <f>J282</f>
        <v>0.15578359303029493</v>
      </c>
      <c r="R281" s="15">
        <f>K282</f>
        <v>0.05343596924948023</v>
      </c>
      <c r="S281" s="15">
        <f>L282</f>
        <v>0.016292312526781774</v>
      </c>
      <c r="T281" s="15">
        <f>M282</f>
        <v>0.019529109165985294</v>
      </c>
    </row>
    <row r="282" spans="1:20">
      <c r="A282" s="14">
        <v>44834</v>
      </c>
      <c r="B282" s="10">
        <v>899.84326171875</v>
      </c>
      <c r="C282" s="10">
        <v>96.34429931640624</v>
      </c>
      <c r="D282" s="10">
        <v>695.5118408203125</v>
      </c>
      <c r="E282" s="10">
        <v>17094.349609375</v>
      </c>
      <c r="F282" s="10">
        <v>424</v>
      </c>
      <c r="I282" s="15">
        <f>LN(B282/B281)</f>
        <v>0.011947271942367423</v>
      </c>
      <c r="J282" s="15">
        <f>LN(C282/C281)</f>
        <v>0.15578359303029493</v>
      </c>
      <c r="K282" s="15">
        <f>LN(D282/D281)</f>
        <v>0.05343596924948023</v>
      </c>
      <c r="L282" s="15">
        <f>LN(E282/E281)</f>
        <v>0.016292312526781774</v>
      </c>
      <c r="M282" s="15">
        <f>LN(F282/F281)</f>
        <v>0.019529109165985294</v>
      </c>
      <c r="O282" s="14">
        <v>44837</v>
      </c>
      <c r="P282" s="15">
        <f>I283</f>
        <v>-0.0073270395677222586</v>
      </c>
      <c r="Q282" s="15">
        <f>J283</f>
        <v>-0.03193147267101077</v>
      </c>
      <c r="R282" s="15">
        <f>K283</f>
        <v>-0.007497099692815382</v>
      </c>
      <c r="S282" s="15">
        <f>L283</f>
        <v>-0.012183178897324074</v>
      </c>
      <c r="T282" s="15">
        <f>M283</f>
        <v>-0.012459372092681576</v>
      </c>
    </row>
    <row r="283" spans="1:20">
      <c r="A283" s="14">
        <v>44837</v>
      </c>
      <c r="B283" s="10">
        <v>893.274169921875</v>
      </c>
      <c r="C283" s="10">
        <v>93.31648254394533</v>
      </c>
      <c r="D283" s="10">
        <v>690.3170166015625</v>
      </c>
      <c r="E283" s="10">
        <v>16887.349609375</v>
      </c>
      <c r="F283" s="10">
        <v>418.75</v>
      </c>
      <c r="I283" s="15">
        <f>LN(B283/B282)</f>
        <v>-0.0073270395677222586</v>
      </c>
      <c r="J283" s="15">
        <f>LN(C283/C282)</f>
        <v>-0.03193147267101077</v>
      </c>
      <c r="K283" s="15">
        <f>LN(D283/D282)</f>
        <v>-0.007497099692815382</v>
      </c>
      <c r="L283" s="15">
        <f>LN(E283/E282)</f>
        <v>-0.012183178897324074</v>
      </c>
      <c r="M283" s="15">
        <f>LN(F283/F282)</f>
        <v>-0.012459372092681576</v>
      </c>
      <c r="O283" s="14">
        <v>44838</v>
      </c>
      <c r="P283" s="15">
        <f>I284</f>
        <v>0.021445618734128334</v>
      </c>
      <c r="Q283" s="15">
        <f>J284</f>
        <v>0.07824070496107835</v>
      </c>
      <c r="R283" s="15">
        <f>K284</f>
        <v>-0.009914725428988006</v>
      </c>
      <c r="S283" s="15">
        <f>L284</f>
        <v>0.022655095268550494</v>
      </c>
      <c r="T283" s="15">
        <f>M284</f>
        <v>0.022433054064953155</v>
      </c>
    </row>
    <row r="284" spans="1:20">
      <c r="A284" s="14">
        <v>44838</v>
      </c>
      <c r="B284" s="10">
        <v>912.6378784179688</v>
      </c>
      <c r="C284" s="10">
        <v>100.9108505249023</v>
      </c>
      <c r="D284" s="10">
        <v>683.5065307617188</v>
      </c>
      <c r="E284" s="10">
        <v>17274.30078125</v>
      </c>
      <c r="F284" s="10">
        <v>428.25</v>
      </c>
      <c r="I284" s="15">
        <f>LN(B284/B283)</f>
        <v>0.021445618734128334</v>
      </c>
      <c r="J284" s="15">
        <f>LN(C284/C283)</f>
        <v>0.07824070496107835</v>
      </c>
      <c r="K284" s="15">
        <f>LN(D284/D283)</f>
        <v>-0.009914725428988006</v>
      </c>
      <c r="L284" s="15">
        <f>LN(E284/E283)</f>
        <v>0.022655095268550494</v>
      </c>
      <c r="M284" s="15">
        <f>LN(F284/F283)</f>
        <v>0.022433054064953155</v>
      </c>
      <c r="O284" s="14">
        <v>44840</v>
      </c>
      <c r="P284" s="15">
        <f>I285</f>
        <v>0.016144407907001505</v>
      </c>
      <c r="Q284" s="15">
        <f>J285</f>
        <v>0.021411966020305734</v>
      </c>
      <c r="R284" s="15">
        <f>K285</f>
        <v>0.030689017543881737</v>
      </c>
      <c r="S284" s="15">
        <f>L285</f>
        <v>0.0033231164632058175</v>
      </c>
      <c r="T284" s="15">
        <f>M285</f>
        <v>0.020569234460608075</v>
      </c>
    </row>
    <row r="285" spans="1:20">
      <c r="A285" s="14">
        <v>44840</v>
      </c>
      <c r="B285" s="10">
        <v>927.491455078125</v>
      </c>
      <c r="C285" s="10">
        <v>103.0948486328125</v>
      </c>
      <c r="D285" s="10">
        <v>704.807861328125</v>
      </c>
      <c r="E285" s="10">
        <v>17331.80078125</v>
      </c>
      <c r="F285" s="10">
        <v>437.1499938964844</v>
      </c>
      <c r="I285" s="15">
        <f>LN(B285/B284)</f>
        <v>0.016144407907001505</v>
      </c>
      <c r="J285" s="15">
        <f>LN(C285/C284)</f>
        <v>0.021411966020305734</v>
      </c>
      <c r="K285" s="15">
        <f>LN(D285/D284)</f>
        <v>0.030689017543881737</v>
      </c>
      <c r="L285" s="15">
        <f>LN(E285/E284)</f>
        <v>0.0033231164632058175</v>
      </c>
      <c r="M285" s="15">
        <f>LN(F285/F284)</f>
        <v>0.020569234460608075</v>
      </c>
      <c r="O285" s="14">
        <v>44841</v>
      </c>
      <c r="P285" s="15">
        <f>I286</f>
        <v>-0.004184176881946417</v>
      </c>
      <c r="Q285" s="15">
        <f>J286</f>
        <v>-0.00918991068246937</v>
      </c>
      <c r="R285" s="15">
        <f>K286</f>
        <v>0.02359442504464928</v>
      </c>
      <c r="S285" s="15">
        <f>L286</f>
        <v>-0.0009900230150986376</v>
      </c>
      <c r="T285" s="15">
        <f>M286</f>
        <v>0.0031974308975709644</v>
      </c>
    </row>
    <row r="286" spans="1:20">
      <c r="A286" s="14">
        <v>44841</v>
      </c>
      <c r="B286" s="10">
        <v>923.6187744140624</v>
      </c>
      <c r="C286" s="10">
        <v>102.1517562866211</v>
      </c>
      <c r="D286" s="10">
        <v>721.6351318359375</v>
      </c>
      <c r="E286" s="10">
        <v>17314.650390625</v>
      </c>
      <c r="F286" s="10">
        <v>438.5499877929687</v>
      </c>
      <c r="I286" s="15">
        <f>LN(B286/B285)</f>
        <v>-0.004184176881946417</v>
      </c>
      <c r="J286" s="15">
        <f>LN(C286/C285)</f>
        <v>-0.00918991068246937</v>
      </c>
      <c r="K286" s="15">
        <f>LN(D286/D285)</f>
        <v>0.02359442504464928</v>
      </c>
      <c r="L286" s="15">
        <f>LN(E286/E285)</f>
        <v>-0.0009900230150986376</v>
      </c>
      <c r="M286" s="15">
        <f>LN(F286/F285)</f>
        <v>0.0031974308975709644</v>
      </c>
      <c r="O286" s="14">
        <v>44844</v>
      </c>
      <c r="P286" s="15">
        <f>I287</f>
        <v>-0.011423213259206295</v>
      </c>
      <c r="Q286" s="15">
        <f>J287</f>
        <v>-0.019627730432618073</v>
      </c>
      <c r="R286" s="15">
        <f>K287</f>
        <v>-0.009551811576901489</v>
      </c>
      <c r="S286" s="15">
        <f>L287</f>
        <v>-0.004262718329192525</v>
      </c>
      <c r="T286" s="15">
        <f>M287</f>
        <v>-0.009853397441194069</v>
      </c>
    </row>
    <row r="287" spans="1:20">
      <c r="A287" s="14">
        <v>44844</v>
      </c>
      <c r="B287" s="10">
        <v>913.1281127929688</v>
      </c>
      <c r="C287" s="10">
        <v>100.1662979125977</v>
      </c>
      <c r="D287" s="10">
        <v>714.7750244140625</v>
      </c>
      <c r="E287" s="10">
        <v>17241</v>
      </c>
      <c r="F287" s="10">
        <v>434.25</v>
      </c>
      <c r="I287" s="15">
        <f>LN(B287/B286)</f>
        <v>-0.011423213259206295</v>
      </c>
      <c r="J287" s="15">
        <f>LN(C287/C286)</f>
        <v>-0.019627730432618073</v>
      </c>
      <c r="K287" s="15">
        <f>LN(D287/D286)</f>
        <v>-0.009551811576901489</v>
      </c>
      <c r="L287" s="15">
        <f>LN(E287/E286)</f>
        <v>-0.004262718329192525</v>
      </c>
      <c r="M287" s="15">
        <f>LN(F287/F286)</f>
        <v>-0.009853397441194069</v>
      </c>
      <c r="O287" s="14">
        <v>44845</v>
      </c>
      <c r="P287" s="15">
        <f>I288</f>
        <v>-0.04031435940914493</v>
      </c>
      <c r="Q287" s="15">
        <f>J288</f>
        <v>0.003462807852752525</v>
      </c>
      <c r="R287" s="15">
        <f>K288</f>
        <v>-0.031258659125074924</v>
      </c>
      <c r="S287" s="15">
        <f>L288</f>
        <v>-0.015044993668578569</v>
      </c>
      <c r="T287" s="15">
        <f>M288</f>
        <v>-0.031225143845795732</v>
      </c>
    </row>
    <row r="288" spans="1:20">
      <c r="A288" s="14">
        <v>44845</v>
      </c>
      <c r="B288" s="10">
        <v>877.048095703125</v>
      </c>
      <c r="C288" s="10">
        <v>100.5137557983398</v>
      </c>
      <c r="D288" s="10">
        <v>692.7777099609375</v>
      </c>
      <c r="E288" s="10">
        <v>16983.55078125</v>
      </c>
      <c r="F288" s="10">
        <v>420.8999938964844</v>
      </c>
      <c r="I288" s="15">
        <f>LN(B288/B287)</f>
        <v>-0.04031435940914493</v>
      </c>
      <c r="J288" s="15">
        <f>LN(C288/C287)</f>
        <v>0.003462807852752525</v>
      </c>
      <c r="K288" s="15">
        <f>LN(D288/D287)</f>
        <v>-0.031258659125074924</v>
      </c>
      <c r="L288" s="15">
        <f>LN(E288/E287)</f>
        <v>-0.015044993668578569</v>
      </c>
      <c r="M288" s="15">
        <f>LN(F288/F287)</f>
        <v>-0.031225143845795732</v>
      </c>
      <c r="O288" s="14">
        <v>44846</v>
      </c>
      <c r="P288" s="15">
        <f>I289</f>
        <v>0.012884126892272144</v>
      </c>
      <c r="Q288" s="15">
        <f>J289</f>
        <v>-0.002967462395524524</v>
      </c>
      <c r="R288" s="15">
        <f>K289</f>
        <v>-0.0010769227673796172</v>
      </c>
      <c r="S288" s="15">
        <f>L289</f>
        <v>0.008212331644389038</v>
      </c>
      <c r="T288" s="15">
        <f>M289</f>
        <v>0.01602678249855051</v>
      </c>
    </row>
    <row r="289" spans="1:20">
      <c r="A289" s="14">
        <v>44846</v>
      </c>
      <c r="B289" s="10">
        <v>888.4212036132812</v>
      </c>
      <c r="C289" s="10">
        <v>100.2159271240234</v>
      </c>
      <c r="D289" s="10">
        <v>692.0320434570312</v>
      </c>
      <c r="E289" s="10">
        <v>17123.599609375</v>
      </c>
      <c r="F289" s="10">
        <v>427.7000122070313</v>
      </c>
      <c r="I289" s="15">
        <f>LN(B289/B288)</f>
        <v>0.012884126892272144</v>
      </c>
      <c r="J289" s="15">
        <f>LN(C289/C288)</f>
        <v>-0.002967462395524524</v>
      </c>
      <c r="K289" s="15">
        <f>LN(D289/D288)</f>
        <v>-0.0010769227673796172</v>
      </c>
      <c r="L289" s="15">
        <f>LN(E289/E288)</f>
        <v>0.008212331644389038</v>
      </c>
      <c r="M289" s="15">
        <f>LN(F289/F288)</f>
        <v>0.01602678249855051</v>
      </c>
      <c r="O289" s="14">
        <v>44847</v>
      </c>
      <c r="P289" s="15">
        <f>I290</f>
        <v>-0.007755111913430115</v>
      </c>
      <c r="Q289" s="15">
        <f>J290</f>
        <v>-0.004965219430967226</v>
      </c>
      <c r="R289" s="15">
        <f>K290</f>
        <v>0.0033347189546099935</v>
      </c>
      <c r="S289" s="15">
        <f>L290</f>
        <v>-0.0064005234917517235</v>
      </c>
      <c r="T289" s="15">
        <f>M290</f>
        <v>-0.009986571578799156</v>
      </c>
    </row>
    <row r="290" spans="1:20">
      <c r="A290" s="14">
        <v>44847</v>
      </c>
      <c r="B290" s="10">
        <v>881.5580444335938</v>
      </c>
      <c r="C290" s="10">
        <v>99.71956634521484</v>
      </c>
      <c r="D290" s="10">
        <v>694.3436279296875</v>
      </c>
      <c r="E290" s="10">
        <v>17014.349609375</v>
      </c>
      <c r="F290" s="10">
        <v>423.4500122070313</v>
      </c>
      <c r="I290" s="15">
        <f>LN(B290/B289)</f>
        <v>-0.007755111913430115</v>
      </c>
      <c r="J290" s="15">
        <f>LN(C290/C289)</f>
        <v>-0.004965219430967226</v>
      </c>
      <c r="K290" s="15">
        <f>LN(D290/D289)</f>
        <v>0.0033347189546099935</v>
      </c>
      <c r="L290" s="15">
        <f>LN(E290/E289)</f>
        <v>-0.0064005234917517235</v>
      </c>
      <c r="M290" s="15">
        <f>LN(F290/F289)</f>
        <v>-0.009986571578799156</v>
      </c>
      <c r="O290" s="14">
        <v>44848</v>
      </c>
      <c r="P290" s="15">
        <f>I291</f>
        <v>0.0013338329861277208</v>
      </c>
      <c r="Q290" s="15">
        <f>J291</f>
        <v>0.007438728530489716</v>
      </c>
      <c r="R290" s="15">
        <f>K291</f>
        <v>-0.02530409064222199</v>
      </c>
      <c r="S290" s="15">
        <f>L291</f>
        <v>0.010020514532698735</v>
      </c>
      <c r="T290" s="15">
        <f>M291</f>
        <v>-0.00806174944521488</v>
      </c>
    </row>
    <row r="291" spans="1:20">
      <c r="A291" s="14">
        <v>44848</v>
      </c>
      <c r="B291" s="10">
        <v>882.7346801757812</v>
      </c>
      <c r="C291" s="10">
        <v>100.4641189575195</v>
      </c>
      <c r="D291" s="10">
        <v>676.9943237304688</v>
      </c>
      <c r="E291" s="10">
        <v>17185.69921875</v>
      </c>
      <c r="F291" s="10">
        <v>420.0499877929687</v>
      </c>
      <c r="I291" s="15">
        <f>LN(B291/B290)</f>
        <v>0.0013338329861277208</v>
      </c>
      <c r="J291" s="15">
        <f>LN(C291/C290)</f>
        <v>0.007438728530489716</v>
      </c>
      <c r="K291" s="15">
        <f>LN(D291/D290)</f>
        <v>-0.02530409064222199</v>
      </c>
      <c r="L291" s="15">
        <f>LN(E291/E290)</f>
        <v>0.010020514532698735</v>
      </c>
      <c r="M291" s="15">
        <f>LN(F291/F290)</f>
        <v>-0.00806174944521488</v>
      </c>
      <c r="O291" s="14">
        <v>44851</v>
      </c>
      <c r="P291" s="15">
        <f>I292</f>
        <v>-0.04864583110987538</v>
      </c>
      <c r="Q291" s="15">
        <f>J292</f>
        <v>0.06595800818620443</v>
      </c>
      <c r="R291" s="15">
        <f>K292</f>
        <v>-0.009777104633827203</v>
      </c>
      <c r="S291" s="15">
        <f>L292</f>
        <v>0.007310797834822186</v>
      </c>
      <c r="T291" s="15">
        <f>M292</f>
        <v>-0.004294382883021796</v>
      </c>
    </row>
    <row r="292" spans="1:20">
      <c r="A292" s="14">
        <v>44851</v>
      </c>
      <c r="B292" s="10">
        <v>840.821044921875</v>
      </c>
      <c r="C292" s="10">
        <v>107.3139495849609</v>
      </c>
      <c r="D292" s="10">
        <v>670.4075317382812</v>
      </c>
      <c r="E292" s="10">
        <v>17311.80078125</v>
      </c>
      <c r="F292" s="10">
        <v>418.25</v>
      </c>
      <c r="I292" s="15">
        <f>LN(B292/B291)</f>
        <v>-0.04864583110987538</v>
      </c>
      <c r="J292" s="15">
        <f>LN(C292/C291)</f>
        <v>0.06595800818620443</v>
      </c>
      <c r="K292" s="15">
        <f>LN(D292/D291)</f>
        <v>-0.009777104633827203</v>
      </c>
      <c r="L292" s="15">
        <f>LN(E292/E291)</f>
        <v>0.007310797834822186</v>
      </c>
      <c r="M292" s="15">
        <f>LN(F292/F291)</f>
        <v>-0.004294382883021796</v>
      </c>
      <c r="O292" s="14">
        <v>44852</v>
      </c>
      <c r="P292" s="15">
        <f>I293</f>
        <v>0.00720351558928435</v>
      </c>
      <c r="Q292" s="15">
        <f>J293</f>
        <v>-0.02292495689626095</v>
      </c>
      <c r="R292" s="15">
        <f>K293</f>
        <v>0.05401651924596818</v>
      </c>
      <c r="S292" s="15">
        <f>L293</f>
        <v>0.010066448739082915</v>
      </c>
      <c r="T292" s="15">
        <f>M293</f>
        <v>0.01706812112067927</v>
      </c>
    </row>
    <row r="293" spans="1:20">
      <c r="A293" s="14">
        <v>44852</v>
      </c>
      <c r="B293" s="10">
        <v>846.8997802734375</v>
      </c>
      <c r="C293" s="10">
        <v>104.8817672729492</v>
      </c>
      <c r="D293" s="10">
        <v>707.6165161132812</v>
      </c>
      <c r="E293" s="10">
        <v>17486.94921875</v>
      </c>
      <c r="F293" s="10">
        <v>425.4500122070313</v>
      </c>
      <c r="I293" s="15">
        <f>LN(B293/B292)</f>
        <v>0.00720351558928435</v>
      </c>
      <c r="J293" s="15">
        <f>LN(C293/C292)</f>
        <v>-0.02292495689626095</v>
      </c>
      <c r="K293" s="15">
        <f>LN(D293/D292)</f>
        <v>0.05401651924596818</v>
      </c>
      <c r="L293" s="15">
        <f>LN(E293/E292)</f>
        <v>0.010066448739082915</v>
      </c>
      <c r="M293" s="15">
        <f>LN(F293/F292)</f>
        <v>0.01706812112067927</v>
      </c>
      <c r="O293" s="14">
        <v>44853</v>
      </c>
      <c r="P293" s="15">
        <f>I294</f>
        <v>0.011338508963517884</v>
      </c>
      <c r="Q293" s="15">
        <f>J294</f>
        <v>-0.04649757299769151</v>
      </c>
      <c r="R293" s="15">
        <f>K294</f>
        <v>-0.03685045084443491</v>
      </c>
      <c r="S293" s="15">
        <f>L294</f>
        <v>0.0014457922593648584</v>
      </c>
      <c r="T293" s="15">
        <f>M294</f>
        <v>0.003987764321086697</v>
      </c>
    </row>
    <row r="294" spans="1:20">
      <c r="A294" s="14">
        <v>44853</v>
      </c>
      <c r="B294" s="10">
        <v>856.5570068359375</v>
      </c>
      <c r="C294" s="10">
        <v>100.1166610717773</v>
      </c>
      <c r="D294" s="10">
        <v>682.01513671875</v>
      </c>
      <c r="E294" s="10">
        <v>17512.25</v>
      </c>
      <c r="F294" s="10">
        <v>427.1499938964844</v>
      </c>
      <c r="I294" s="15">
        <f>LN(B294/B293)</f>
        <v>0.011338508963517884</v>
      </c>
      <c r="J294" s="15">
        <f>LN(C294/C293)</f>
        <v>-0.04649757299769151</v>
      </c>
      <c r="K294" s="15">
        <f>LN(D294/D293)</f>
        <v>-0.03685045084443491</v>
      </c>
      <c r="L294" s="15">
        <f>LN(E294/E293)</f>
        <v>0.0014457922593648584</v>
      </c>
      <c r="M294" s="15">
        <f>LN(F294/F293)</f>
        <v>0.003987764321086697</v>
      </c>
      <c r="O294" s="14">
        <v>44854</v>
      </c>
      <c r="P294" s="15">
        <f>I295</f>
        <v>-0.014992006578658328</v>
      </c>
      <c r="Q294" s="15">
        <f>J295</f>
        <v>0.0735767363506086</v>
      </c>
      <c r="R294" s="15">
        <f>K295</f>
        <v>0.014364919411344096</v>
      </c>
      <c r="S294" s="15">
        <f>L295</f>
        <v>0.0029478254394111857</v>
      </c>
      <c r="T294" s="15">
        <f>M295</f>
        <v>-0.0012884049640991529</v>
      </c>
    </row>
    <row r="295" spans="1:20">
      <c r="A295" s="14">
        <v>44854</v>
      </c>
      <c r="B295" s="10">
        <v>843.811279296875</v>
      </c>
      <c r="C295" s="10">
        <v>107.7606811523438</v>
      </c>
      <c r="D295" s="10">
        <v>691.8829345703125</v>
      </c>
      <c r="E295" s="10">
        <v>17563.94921875</v>
      </c>
      <c r="F295" s="10">
        <v>426.6000061035156</v>
      </c>
      <c r="I295" s="15">
        <f>LN(B295/B294)</f>
        <v>-0.014992006578658328</v>
      </c>
      <c r="J295" s="15">
        <f>LN(C295/C294)</f>
        <v>0.0735767363506086</v>
      </c>
      <c r="K295" s="15">
        <f>LN(D295/D294)</f>
        <v>0.014364919411344096</v>
      </c>
      <c r="L295" s="15">
        <f>LN(E295/E294)</f>
        <v>0.0029478254394111857</v>
      </c>
      <c r="M295" s="15">
        <f>LN(F295/F294)</f>
        <v>-0.0012884049640991529</v>
      </c>
      <c r="O295" s="14">
        <v>44855</v>
      </c>
      <c r="P295" s="15">
        <f>I296</f>
        <v>0.00798538927836366</v>
      </c>
      <c r="Q295" s="15">
        <f>J296</f>
        <v>-0.020005343770695717</v>
      </c>
      <c r="R295" s="15">
        <f>K296</f>
        <v>0.027880408055390368</v>
      </c>
      <c r="S295" s="15">
        <f>L296</f>
        <v>0.0007029866326317706</v>
      </c>
      <c r="T295" s="15">
        <f>M296</f>
        <v>0.0004686704817058926</v>
      </c>
    </row>
    <row r="296" spans="1:20">
      <c r="A296" s="14">
        <v>44855</v>
      </c>
      <c r="B296" s="10">
        <v>850.576416015625</v>
      </c>
      <c r="C296" s="10">
        <v>105.6263122558594</v>
      </c>
      <c r="D296" s="10">
        <v>711.4443359375</v>
      </c>
      <c r="E296" s="10">
        <v>17576.30078125</v>
      </c>
      <c r="F296" s="10">
        <v>426.7999877929687</v>
      </c>
      <c r="I296" s="15">
        <f>LN(B296/B295)</f>
        <v>0.00798538927836366</v>
      </c>
      <c r="J296" s="15">
        <f>LN(C296/C295)</f>
        <v>-0.020005343770695717</v>
      </c>
      <c r="K296" s="15">
        <f>LN(D296/D295)</f>
        <v>0.027880408055390368</v>
      </c>
      <c r="L296" s="15">
        <f>LN(E296/E295)</f>
        <v>0.0007029866326317706</v>
      </c>
      <c r="M296" s="15">
        <f>LN(F296/F295)</f>
        <v>0.0004686704817058926</v>
      </c>
      <c r="O296" s="14">
        <v>44858</v>
      </c>
      <c r="P296" s="15">
        <f>I297</f>
        <v>0.000864231415605752</v>
      </c>
      <c r="Q296" s="15">
        <f>J297</f>
        <v>0.01769958216817687</v>
      </c>
      <c r="R296" s="15">
        <f>K297</f>
        <v>-0.006835934444800309</v>
      </c>
      <c r="S296" s="15">
        <f>L297</f>
        <v>0.008748972260095097</v>
      </c>
      <c r="T296" s="15">
        <f>M297</f>
        <v>0.002807704755490711</v>
      </c>
    </row>
    <row r="297" spans="1:20">
      <c r="A297" s="14">
        <v>44858</v>
      </c>
      <c r="B297" s="10">
        <v>851.3118286132812</v>
      </c>
      <c r="C297" s="10">
        <v>107.5124969482422</v>
      </c>
      <c r="D297" s="10">
        <v>706.5975341796875</v>
      </c>
      <c r="E297" s="10">
        <v>17730.75</v>
      </c>
      <c r="F297" s="10">
        <v>428</v>
      </c>
      <c r="I297" s="15">
        <f>LN(B297/B296)</f>
        <v>0.000864231415605752</v>
      </c>
      <c r="J297" s="15">
        <f>LN(C297/C296)</f>
        <v>0.01769958216817687</v>
      </c>
      <c r="K297" s="15">
        <f>LN(D297/D296)</f>
        <v>-0.006835934444800309</v>
      </c>
      <c r="L297" s="15">
        <f>LN(E297/E296)</f>
        <v>0.008748972260095097</v>
      </c>
      <c r="M297" s="15">
        <f>LN(F297/F296)</f>
        <v>0.002807704755490711</v>
      </c>
      <c r="O297" s="14">
        <v>44859</v>
      </c>
      <c r="P297" s="15">
        <f>I298</f>
        <v>-0.002190829012044982</v>
      </c>
      <c r="Q297" s="15">
        <f>J298</f>
        <v>-0.02099450571746069</v>
      </c>
      <c r="R297" s="15">
        <f>K298</f>
        <v>-0.027242822828310344</v>
      </c>
      <c r="S297" s="15">
        <f>L298</f>
        <v>-0.004204950452158822</v>
      </c>
      <c r="T297" s="15">
        <f>M298</f>
        <v>-0.006210821810507524</v>
      </c>
    </row>
    <row r="298" spans="1:20">
      <c r="A298" s="14">
        <v>44859</v>
      </c>
      <c r="B298" s="10">
        <v>849.4487915039062</v>
      </c>
      <c r="C298" s="10">
        <v>105.2788543701172</v>
      </c>
      <c r="D298" s="10">
        <v>687.607666015625</v>
      </c>
      <c r="E298" s="10">
        <v>17656.349609375</v>
      </c>
      <c r="F298" s="10">
        <v>425.3500061035156</v>
      </c>
      <c r="I298" s="15">
        <f>LN(B298/B297)</f>
        <v>-0.002190829012044982</v>
      </c>
      <c r="J298" s="15">
        <f>LN(C298/C297)</f>
        <v>-0.02099450571746069</v>
      </c>
      <c r="K298" s="15">
        <f>LN(D298/D297)</f>
        <v>-0.027242822828310344</v>
      </c>
      <c r="L298" s="15">
        <f>LN(E298/E297)</f>
        <v>-0.004204950452158822</v>
      </c>
      <c r="M298" s="15">
        <f>LN(F298/F297)</f>
        <v>-0.006210821810507524</v>
      </c>
      <c r="O298" s="14">
        <v>44861</v>
      </c>
      <c r="P298" s="15">
        <f>I299</f>
        <v>0.020562822614339994</v>
      </c>
      <c r="Q298" s="15">
        <f>J299</f>
        <v>0.037478322929410585</v>
      </c>
      <c r="R298" s="15">
        <f>K299</f>
        <v>0.057285077702184585</v>
      </c>
      <c r="S298" s="15">
        <f>L299</f>
        <v>0.0045545202832827395</v>
      </c>
      <c r="T298" s="15">
        <f>M299</f>
        <v>0.02919240271092471</v>
      </c>
    </row>
    <row r="299" spans="1:20">
      <c r="A299" s="14">
        <v>44861</v>
      </c>
      <c r="B299" s="10">
        <v>867.0966796875</v>
      </c>
      <c r="C299" s="10">
        <v>109.2994003295898</v>
      </c>
      <c r="D299" s="10">
        <v>728.1473999023438</v>
      </c>
      <c r="E299" s="10">
        <v>17736.94921875</v>
      </c>
      <c r="F299" s="10">
        <v>437.9500122070313</v>
      </c>
      <c r="I299" s="15">
        <f>LN(B299/B298)</f>
        <v>0.020562822614339994</v>
      </c>
      <c r="J299" s="15">
        <f>LN(C299/C298)</f>
        <v>0.037478322929410585</v>
      </c>
      <c r="K299" s="15">
        <f>LN(D299/D298)</f>
        <v>0.057285077702184585</v>
      </c>
      <c r="L299" s="15">
        <f>LN(E299/E298)</f>
        <v>0.0045545202832827395</v>
      </c>
      <c r="M299" s="15">
        <f>LN(F299/F298)</f>
        <v>0.02919240271092471</v>
      </c>
      <c r="O299" s="14">
        <v>44862</v>
      </c>
      <c r="P299" s="15">
        <f>I300</f>
        <v>0.022970325497627245</v>
      </c>
      <c r="Q299" s="15">
        <f>J300</f>
        <v>0.041366812602895445</v>
      </c>
      <c r="R299" s="15">
        <f>K300</f>
        <v>-0.023311076100722142</v>
      </c>
      <c r="S299" s="15">
        <f>L300</f>
        <v>0.0028066628790527496</v>
      </c>
      <c r="T299" s="15">
        <f>M300</f>
        <v>-0.004118569597061074</v>
      </c>
    </row>
    <row r="300" spans="1:20">
      <c r="A300" s="14">
        <v>44862</v>
      </c>
      <c r="B300" s="10">
        <v>887.2446899414062</v>
      </c>
      <c r="C300" s="10">
        <v>113.9155883789062</v>
      </c>
      <c r="D300" s="10">
        <v>711.3698120117188</v>
      </c>
      <c r="E300" s="10">
        <v>17786.80078125</v>
      </c>
      <c r="F300" s="10">
        <v>436.1499938964844</v>
      </c>
      <c r="I300" s="15">
        <f>LN(B300/B299)</f>
        <v>0.022970325497627245</v>
      </c>
      <c r="J300" s="15">
        <f>LN(C300/C299)</f>
        <v>0.041366812602895445</v>
      </c>
      <c r="K300" s="15">
        <f>LN(D300/D299)</f>
        <v>-0.023311076100722142</v>
      </c>
      <c r="L300" s="15">
        <f>LN(E300/E299)</f>
        <v>0.0028066628790527496</v>
      </c>
      <c r="M300" s="15">
        <f>LN(F300/F299)</f>
        <v>-0.004118569597061074</v>
      </c>
      <c r="O300" s="14">
        <v>44865</v>
      </c>
      <c r="P300" s="15">
        <f>I301</f>
        <v>0.021535532051110532</v>
      </c>
      <c r="Q300" s="15">
        <f>J301</f>
        <v>-0.008752865296297846</v>
      </c>
      <c r="R300" s="15">
        <f>K301</f>
        <v>-0.002203783672994579</v>
      </c>
      <c r="S300" s="15">
        <f>L301</f>
        <v>0.012592609626880552</v>
      </c>
      <c r="T300" s="15">
        <f>M301</f>
        <v>0.005715607774921853</v>
      </c>
    </row>
    <row r="301" spans="1:20">
      <c r="A301" s="14">
        <v>44865</v>
      </c>
      <c r="B301" s="10">
        <v>906.5592041015624</v>
      </c>
      <c r="C301" s="10">
        <v>112.9228515625</v>
      </c>
      <c r="D301" s="10">
        <v>709.8038330078125</v>
      </c>
      <c r="E301" s="10">
        <v>18012.19921875</v>
      </c>
      <c r="F301" s="10">
        <v>438.6499938964844</v>
      </c>
      <c r="I301" s="15">
        <f>LN(B301/B300)</f>
        <v>0.021535532051110532</v>
      </c>
      <c r="J301" s="15">
        <f>LN(C301/C300)</f>
        <v>-0.008752865296297846</v>
      </c>
      <c r="K301" s="15">
        <f>LN(D301/D300)</f>
        <v>-0.002203783672994579</v>
      </c>
      <c r="L301" s="15">
        <f>LN(E301/E300)</f>
        <v>0.012592609626880552</v>
      </c>
      <c r="M301" s="15">
        <f>LN(F301/F300)</f>
        <v>0.005715607774921853</v>
      </c>
      <c r="O301" s="14">
        <v>44866</v>
      </c>
      <c r="P301" s="15">
        <f>I302</f>
        <v>0.006145394832795491</v>
      </c>
      <c r="Q301" s="15">
        <f>J302</f>
        <v>0.0008788096595514681</v>
      </c>
      <c r="R301" s="15">
        <f>K302</f>
        <v>0.02243786736620014</v>
      </c>
      <c r="S301" s="15">
        <f>L302</f>
        <v>0.007367843877008389</v>
      </c>
      <c r="T301" s="15">
        <f>M302</f>
        <v>0.00919055265206881</v>
      </c>
    </row>
    <row r="302" spans="1:20">
      <c r="A302" s="14">
        <v>44866</v>
      </c>
      <c r="B302" s="10">
        <v>912.1475219726562</v>
      </c>
      <c r="C302" s="10">
        <v>113.0221328735352</v>
      </c>
      <c r="D302" s="10">
        <v>725.9103393554688</v>
      </c>
      <c r="E302" s="10">
        <v>18145.400390625</v>
      </c>
      <c r="F302" s="10">
        <v>442.7000122070313</v>
      </c>
      <c r="I302" s="15">
        <f>LN(B302/B301)</f>
        <v>0.006145394832795491</v>
      </c>
      <c r="J302" s="15">
        <f>LN(C302/C301)</f>
        <v>0.0008788096595514681</v>
      </c>
      <c r="K302" s="15">
        <f>LN(D302/D301)</f>
        <v>0.02243786736620014</v>
      </c>
      <c r="L302" s="15">
        <f>LN(E302/E301)</f>
        <v>0.007367843877008389</v>
      </c>
      <c r="M302" s="15">
        <f>LN(F302/F301)</f>
        <v>0.00919055265206881</v>
      </c>
      <c r="O302" s="14">
        <v>44867</v>
      </c>
      <c r="P302" s="15">
        <f>I303</f>
        <v>-0.014453253057934287</v>
      </c>
      <c r="Q302" s="15">
        <f>J303</f>
        <v>-0.034401442580665416</v>
      </c>
      <c r="R302" s="15">
        <f>K303</f>
        <v>-0.003979888476903846</v>
      </c>
      <c r="S302" s="15">
        <f>L303</f>
        <v>-0.0034531529072475455</v>
      </c>
      <c r="T302" s="15">
        <f>M303</f>
        <v>-0.008051340847492957</v>
      </c>
    </row>
    <row r="303" spans="1:20">
      <c r="A303" s="14">
        <v>44867</v>
      </c>
      <c r="B303" s="10">
        <v>899.058837890625</v>
      </c>
      <c r="C303" s="10">
        <v>109.2001266479492</v>
      </c>
      <c r="D303" s="10">
        <v>723.0270385742188</v>
      </c>
      <c r="E303" s="10">
        <v>18082.849609375</v>
      </c>
      <c r="F303" s="10">
        <v>439.1499938964844</v>
      </c>
      <c r="I303" s="15">
        <f>LN(B303/B302)</f>
        <v>-0.014453253057934287</v>
      </c>
      <c r="J303" s="15">
        <f>LN(C303/C302)</f>
        <v>-0.034401442580665416</v>
      </c>
      <c r="K303" s="15">
        <f>LN(D303/D302)</f>
        <v>-0.003979888476903846</v>
      </c>
      <c r="L303" s="15">
        <f>LN(E303/E302)</f>
        <v>-0.0034531529072475455</v>
      </c>
      <c r="M303" s="15">
        <f>LN(F303/F302)</f>
        <v>-0.008051340847492957</v>
      </c>
      <c r="O303" s="14">
        <v>44868</v>
      </c>
      <c r="P303" s="15">
        <f>I304</f>
        <v>0.0155813835110412</v>
      </c>
      <c r="Q303" s="15">
        <f>J304</f>
        <v>0.004082528935043045</v>
      </c>
      <c r="R303" s="15">
        <f>K304</f>
        <v>0.05253365743059741</v>
      </c>
      <c r="S303" s="15">
        <f>L304</f>
        <v>-0.001668738878993079</v>
      </c>
      <c r="T303" s="15">
        <f>M304</f>
        <v>0.0057899197743054775</v>
      </c>
    </row>
    <row r="304" spans="1:20">
      <c r="A304" s="14">
        <v>44868</v>
      </c>
      <c r="B304" s="10">
        <v>913.1771240234376</v>
      </c>
      <c r="C304" s="10">
        <v>109.6468505859375</v>
      </c>
      <c r="D304" s="10">
        <v>762.0256958007812</v>
      </c>
      <c r="E304" s="10">
        <v>18052.69921875</v>
      </c>
      <c r="F304" s="10">
        <v>441.7000122070313</v>
      </c>
      <c r="I304" s="15">
        <f>LN(B304/B303)</f>
        <v>0.0155813835110412</v>
      </c>
      <c r="J304" s="15">
        <f>LN(C304/C303)</f>
        <v>0.004082528935043045</v>
      </c>
      <c r="K304" s="15">
        <f>LN(D304/D303)</f>
        <v>0.05253365743059741</v>
      </c>
      <c r="L304" s="15">
        <f>LN(E304/E303)</f>
        <v>-0.001668738878993079</v>
      </c>
      <c r="M304" s="15">
        <f>LN(F304/F303)</f>
        <v>0.0057899197743054775</v>
      </c>
      <c r="O304" s="14">
        <v>44869</v>
      </c>
      <c r="P304" s="15">
        <f>I305</f>
        <v>-0.005004919605710662</v>
      </c>
      <c r="Q304" s="15">
        <f>J305</f>
        <v>0.03906405682443785</v>
      </c>
      <c r="R304" s="15">
        <f>K305</f>
        <v>0.00471843518458087</v>
      </c>
      <c r="S304" s="15">
        <f>L305</f>
        <v>0.0035638102334325083</v>
      </c>
      <c r="T304" s="15">
        <f>M305</f>
        <v>0.0030516567020893105</v>
      </c>
    </row>
    <row r="305" spans="1:20">
      <c r="A305" s="14">
        <v>44869</v>
      </c>
      <c r="B305" s="10">
        <v>908.6181640625</v>
      </c>
      <c r="C305" s="10">
        <v>114.0148620605469</v>
      </c>
      <c r="D305" s="10">
        <v>765.6297607421875</v>
      </c>
      <c r="E305" s="10">
        <v>18117.150390625</v>
      </c>
      <c r="F305" s="10">
        <v>443.0499877929687</v>
      </c>
      <c r="I305" s="15">
        <f>LN(B305/B304)</f>
        <v>-0.005004919605710662</v>
      </c>
      <c r="J305" s="15">
        <f>LN(C305/C304)</f>
        <v>0.03906405682443785</v>
      </c>
      <c r="K305" s="15">
        <f>LN(D305/D304)</f>
        <v>0.00471843518458087</v>
      </c>
      <c r="L305" s="15">
        <f>LN(E305/E304)</f>
        <v>0.0035638102334325083</v>
      </c>
      <c r="M305" s="15">
        <f>LN(F305/F304)</f>
        <v>0.0030516567020893105</v>
      </c>
      <c r="O305" s="14">
        <v>44872</v>
      </c>
      <c r="P305" s="15">
        <f>I306</f>
        <v>0.006292464372728223</v>
      </c>
      <c r="Q305" s="15">
        <f>J306</f>
        <v>-0.003488912204035744</v>
      </c>
      <c r="R305" s="15">
        <f>K306</f>
        <v>0.003726363907841547</v>
      </c>
      <c r="S305" s="15">
        <f>L306</f>
        <v>0.0047164462855731094</v>
      </c>
      <c r="T305" s="15">
        <f>M306</f>
        <v>0.010440789571970343</v>
      </c>
    </row>
    <row r="306" spans="1:20">
      <c r="A306" s="14">
        <v>44872</v>
      </c>
      <c r="B306" s="10">
        <v>914.3536376953124</v>
      </c>
      <c r="C306" s="10">
        <v>113.6177673339844</v>
      </c>
      <c r="D306" s="10">
        <v>768.4880981445312</v>
      </c>
      <c r="E306" s="10">
        <v>18202.80078125</v>
      </c>
      <c r="F306" s="10">
        <v>447.7000122070313</v>
      </c>
      <c r="I306" s="15">
        <f>LN(B306/B305)</f>
        <v>0.006292464372728223</v>
      </c>
      <c r="J306" s="15">
        <f>LN(C306/C305)</f>
        <v>-0.003488912204035744</v>
      </c>
      <c r="K306" s="15">
        <f>LN(D306/D305)</f>
        <v>0.003726363907841547</v>
      </c>
      <c r="L306" s="15">
        <f>LN(E306/E305)</f>
        <v>0.0047164462855731094</v>
      </c>
      <c r="M306" s="15">
        <f>LN(F306/F305)</f>
        <v>0.010440789571970343</v>
      </c>
      <c r="O306" s="14">
        <v>44874</v>
      </c>
      <c r="P306" s="15">
        <f>I307</f>
        <v>-0.02359802117304836</v>
      </c>
      <c r="Q306" s="15">
        <f>J307</f>
        <v>0.008266310730325662</v>
      </c>
      <c r="R306" s="15">
        <f>K307</f>
        <v>-0.00896692054530835</v>
      </c>
      <c r="S306" s="15">
        <f>L307</f>
        <v>-0.0025193100341803654</v>
      </c>
      <c r="T306" s="15">
        <f>M307</f>
        <v>-0.013832156244069036</v>
      </c>
    </row>
    <row r="307" spans="1:20">
      <c r="A307" s="14">
        <v>44874</v>
      </c>
      <c r="B307" s="10">
        <v>893.029296875</v>
      </c>
      <c r="C307" s="10">
        <v>114.5608596801758</v>
      </c>
      <c r="D307" s="10">
        <v>761.6279296875</v>
      </c>
      <c r="E307" s="10">
        <v>18157</v>
      </c>
      <c r="F307" s="10">
        <v>441.5499877929687</v>
      </c>
      <c r="I307" s="15">
        <f>LN(B307/B306)</f>
        <v>-0.02359802117304836</v>
      </c>
      <c r="J307" s="15">
        <f>LN(C307/C306)</f>
        <v>0.008266310730325662</v>
      </c>
      <c r="K307" s="15">
        <f>LN(D307/D306)</f>
        <v>-0.00896692054530835</v>
      </c>
      <c r="L307" s="15">
        <f>LN(E307/E306)</f>
        <v>-0.0025193100341803654</v>
      </c>
      <c r="M307" s="15">
        <f>LN(F307/F306)</f>
        <v>-0.013832156244069036</v>
      </c>
      <c r="O307" s="14">
        <v>44875</v>
      </c>
      <c r="P307" s="15">
        <f>I308</f>
        <v>-0.0390123391084673</v>
      </c>
      <c r="Q307" s="15">
        <f>J308</f>
        <v>-0.006520333065533686</v>
      </c>
      <c r="R307" s="15">
        <f>K308</f>
        <v>-0.002025367838283898</v>
      </c>
      <c r="S307" s="15">
        <f>L308</f>
        <v>-0.007119006002546902</v>
      </c>
      <c r="T307" s="15">
        <f>M308</f>
        <v>-0.0014731577483654585</v>
      </c>
    </row>
    <row r="308" spans="1:20">
      <c r="A308" s="14">
        <v>44875</v>
      </c>
      <c r="B308" s="10">
        <v>858.8609619140625</v>
      </c>
      <c r="C308" s="10">
        <v>113.8163146972656</v>
      </c>
      <c r="D308" s="10">
        <v>760.0869140625</v>
      </c>
      <c r="E308" s="10">
        <v>18028.19921875</v>
      </c>
      <c r="F308" s="10">
        <v>440.8999938964844</v>
      </c>
      <c r="I308" s="15">
        <f>LN(B308/B307)</f>
        <v>-0.0390123391084673</v>
      </c>
      <c r="J308" s="15">
        <f>LN(C308/C307)</f>
        <v>-0.006520333065533686</v>
      </c>
      <c r="K308" s="15">
        <f>LN(D308/D307)</f>
        <v>-0.002025367838283898</v>
      </c>
      <c r="L308" s="15">
        <f>LN(E308/E307)</f>
        <v>-0.007119006002546902</v>
      </c>
      <c r="M308" s="15">
        <f>LN(F308/F307)</f>
        <v>-0.0014731577483654585</v>
      </c>
      <c r="O308" s="14">
        <v>44876</v>
      </c>
      <c r="P308" s="15">
        <f>I309</f>
        <v>0.011802377449214417</v>
      </c>
      <c r="Q308" s="15">
        <f>J309</f>
        <v>0.016865208129241954</v>
      </c>
      <c r="R308" s="15">
        <f>K309</f>
        <v>-0.006857975675588672</v>
      </c>
      <c r="S308" s="15">
        <f>L309</f>
        <v>0.01767602773148285</v>
      </c>
      <c r="T308" s="15">
        <f>M309</f>
        <v>0.01653303396466099</v>
      </c>
    </row>
    <row r="309" spans="1:20">
      <c r="A309" s="14">
        <v>44876</v>
      </c>
      <c r="B309" s="10">
        <v>869.0576171875</v>
      </c>
      <c r="C309" s="10">
        <v>115.7521286010742</v>
      </c>
      <c r="D309" s="10">
        <v>754.89208984375</v>
      </c>
      <c r="E309" s="10">
        <v>18349.69921875</v>
      </c>
      <c r="F309" s="10">
        <v>448.25</v>
      </c>
      <c r="I309" s="15">
        <f>LN(B309/B308)</f>
        <v>0.011802377449214417</v>
      </c>
      <c r="J309" s="15">
        <f>LN(C309/C308)</f>
        <v>0.016865208129241954</v>
      </c>
      <c r="K309" s="15">
        <f>LN(D309/D308)</f>
        <v>-0.006857975675588672</v>
      </c>
      <c r="L309" s="15">
        <f>LN(E309/E308)</f>
        <v>0.01767602773148285</v>
      </c>
      <c r="M309" s="15">
        <f>LN(F309/F308)</f>
        <v>0.01653303396466099</v>
      </c>
      <c r="O309" s="14">
        <v>44879</v>
      </c>
      <c r="P309" s="15">
        <f>I310</f>
        <v>0.03437520664099297</v>
      </c>
      <c r="Q309" s="15">
        <f>J310</f>
        <v>-0.010344875063708275</v>
      </c>
      <c r="R309" s="15">
        <f>K310</f>
        <v>-0.003033829262477232</v>
      </c>
      <c r="S309" s="15">
        <f>L310</f>
        <v>-0.0011204729970374992</v>
      </c>
      <c r="T309" s="15">
        <f>M310</f>
        <v>0.011203018532305998</v>
      </c>
    </row>
    <row r="310" spans="1:20">
      <c r="A310" s="14">
        <v>44879</v>
      </c>
      <c r="B310" s="10">
        <v>899.4510498046875</v>
      </c>
      <c r="C310" s="10">
        <v>114.5608596801758</v>
      </c>
      <c r="D310" s="10">
        <v>752.6053466796875</v>
      </c>
      <c r="E310" s="10">
        <v>18329.150390625</v>
      </c>
      <c r="F310" s="10">
        <v>453.2999877929687</v>
      </c>
      <c r="I310" s="15">
        <f>LN(B310/B309)</f>
        <v>0.03437520664099297</v>
      </c>
      <c r="J310" s="15">
        <f>LN(C310/C309)</f>
        <v>-0.010344875063708275</v>
      </c>
      <c r="K310" s="15">
        <f>LN(D310/D309)</f>
        <v>-0.003033829262477232</v>
      </c>
      <c r="L310" s="15">
        <f>LN(E310/E309)</f>
        <v>-0.0011204729970374992</v>
      </c>
      <c r="M310" s="15">
        <f>LN(F310/F309)</f>
        <v>0.011203018532305998</v>
      </c>
      <c r="O310" s="14">
        <v>44880</v>
      </c>
      <c r="P310" s="15">
        <f>I311</f>
        <v>-0.007989155977044362</v>
      </c>
      <c r="Q310" s="15">
        <f>J311</f>
        <v>0.025241997895126794</v>
      </c>
      <c r="R310" s="15">
        <f>K311</f>
        <v>-0.003606375981173184</v>
      </c>
      <c r="S310" s="15">
        <f>L311</f>
        <v>0.00404274135870096</v>
      </c>
      <c r="T310" s="15">
        <f>M311</f>
        <v>-0.0011036310875667751</v>
      </c>
    </row>
    <row r="311" spans="1:20">
      <c r="A311" s="14">
        <v>44880</v>
      </c>
      <c r="B311" s="10">
        <v>892.2938232421875</v>
      </c>
      <c r="C311" s="10">
        <v>117.4894104003906</v>
      </c>
      <c r="D311" s="10">
        <v>749.8960571289062</v>
      </c>
      <c r="E311" s="10">
        <v>18403.400390625</v>
      </c>
      <c r="F311" s="10">
        <v>452.7999877929687</v>
      </c>
      <c r="I311" s="15">
        <f>LN(B311/B310)</f>
        <v>-0.007989155977044362</v>
      </c>
      <c r="J311" s="15">
        <f>LN(C311/C310)</f>
        <v>0.025241997895126794</v>
      </c>
      <c r="K311" s="15">
        <f>LN(D311/D310)</f>
        <v>-0.003606375981173184</v>
      </c>
      <c r="L311" s="15">
        <f>LN(E311/E310)</f>
        <v>0.00404274135870096</v>
      </c>
      <c r="M311" s="15">
        <f>LN(F311/F310)</f>
        <v>-0.0011036310875667751</v>
      </c>
      <c r="O311" s="14">
        <v>44881</v>
      </c>
      <c r="P311" s="15">
        <f>I312</f>
        <v>-0.017457336890497586</v>
      </c>
      <c r="Q311" s="15">
        <f>J312</f>
        <v>-0.043165924575878874</v>
      </c>
      <c r="R311" s="15">
        <f>K312</f>
        <v>-0.02100116588564124</v>
      </c>
      <c r="S311" s="15">
        <f>L312</f>
        <v>0.000339553496785159</v>
      </c>
      <c r="T311" s="15">
        <f>M312</f>
        <v>-0.01032251574596951</v>
      </c>
    </row>
    <row r="312" spans="1:20">
      <c r="A312" s="14">
        <v>44881</v>
      </c>
      <c r="B312" s="10">
        <v>876.8519287109375</v>
      </c>
      <c r="C312" s="10">
        <v>112.5257720947266</v>
      </c>
      <c r="D312" s="10">
        <v>734.3115844726562</v>
      </c>
      <c r="E312" s="10">
        <v>18409.650390625</v>
      </c>
      <c r="F312" s="10">
        <v>448.1499938964844</v>
      </c>
      <c r="I312" s="15">
        <f>LN(B312/B311)</f>
        <v>-0.017457336890497586</v>
      </c>
      <c r="J312" s="15">
        <f>LN(C312/C311)</f>
        <v>-0.043165924575878874</v>
      </c>
      <c r="K312" s="15">
        <f>LN(D312/D311)</f>
        <v>-0.02100116588564124</v>
      </c>
      <c r="L312" s="15">
        <f>LN(E312/E311)</f>
        <v>0.000339553496785159</v>
      </c>
      <c r="M312" s="15">
        <f>LN(F312/F311)</f>
        <v>-0.01032251574596951</v>
      </c>
      <c r="O312" s="14">
        <v>44882</v>
      </c>
      <c r="P312" s="15">
        <f>I313</f>
        <v>-0.006956384461227861</v>
      </c>
      <c r="Q312" s="15">
        <f>J313</f>
        <v>-0.011981606997189326</v>
      </c>
      <c r="R312" s="15">
        <f>K313</f>
        <v>0.0022314944927712085</v>
      </c>
      <c r="S312" s="15">
        <f>L313</f>
        <v>-0.0035778894143715548</v>
      </c>
      <c r="T312" s="15">
        <f>M313</f>
        <v>0.0004462068273280304</v>
      </c>
    </row>
    <row r="313" spans="1:20">
      <c r="A313" s="14">
        <v>44882</v>
      </c>
      <c r="B313" s="10">
        <v>870.7733764648438</v>
      </c>
      <c r="C313" s="10">
        <v>111.1855773925781</v>
      </c>
      <c r="D313" s="10">
        <v>735.9520263671875</v>
      </c>
      <c r="E313" s="10">
        <v>18343.900390625</v>
      </c>
      <c r="F313" s="10">
        <v>448.3500061035156</v>
      </c>
      <c r="I313" s="15">
        <f>LN(B313/B312)</f>
        <v>-0.006956384461227861</v>
      </c>
      <c r="J313" s="15">
        <f>LN(C313/C312)</f>
        <v>-0.011981606997189326</v>
      </c>
      <c r="K313" s="15">
        <f>LN(D313/D312)</f>
        <v>0.0022314944927712085</v>
      </c>
      <c r="L313" s="15">
        <f>LN(E313/E312)</f>
        <v>-0.0035778894143715548</v>
      </c>
      <c r="M313" s="15">
        <f>LN(F313/F312)</f>
        <v>0.0004462068273280304</v>
      </c>
      <c r="O313" s="14">
        <v>44883</v>
      </c>
      <c r="P313" s="15">
        <f>I314</f>
        <v>0.008967191143612914</v>
      </c>
      <c r="Q313" s="15">
        <f>J314</f>
        <v>-0.04847770346953551</v>
      </c>
      <c r="R313" s="15">
        <f>K314</f>
        <v>0.005154121860129353</v>
      </c>
      <c r="S313" s="15">
        <f>L314</f>
        <v>-0.001978088841936149</v>
      </c>
      <c r="T313" s="15">
        <f>M314</f>
        <v>0.0010031359978786795</v>
      </c>
    </row>
    <row r="314" spans="1:20">
      <c r="A314" s="14">
        <v>44883</v>
      </c>
      <c r="B314" s="10">
        <v>878.6168823242188</v>
      </c>
      <c r="C314" s="10">
        <v>105.9241180419922</v>
      </c>
      <c r="D314" s="10">
        <v>739.7550048828125</v>
      </c>
      <c r="E314" s="10">
        <v>18307.650390625</v>
      </c>
      <c r="F314" s="10">
        <v>448.7999877929687</v>
      </c>
      <c r="I314" s="15">
        <f>LN(B314/B313)</f>
        <v>0.008967191143612914</v>
      </c>
      <c r="J314" s="15">
        <f>LN(C314/C313)</f>
        <v>-0.04847770346953551</v>
      </c>
      <c r="K314" s="15">
        <f>LN(D314/D313)</f>
        <v>0.005154121860129353</v>
      </c>
      <c r="L314" s="15">
        <f>LN(E314/E313)</f>
        <v>-0.001978088841936149</v>
      </c>
      <c r="M314" s="15">
        <f>LN(F314/F313)</f>
        <v>0.0010031359978786795</v>
      </c>
      <c r="O314" s="14">
        <v>44886</v>
      </c>
      <c r="P314" s="15">
        <f>I315</f>
        <v>-0.0073921097780684265</v>
      </c>
      <c r="Q314" s="15">
        <f>J315</f>
        <v>-0.04308940357777009</v>
      </c>
      <c r="R314" s="15">
        <f>K315</f>
        <v>-0.015986317872617537</v>
      </c>
      <c r="S314" s="15">
        <f>L315</f>
        <v>-0.008100449774708418</v>
      </c>
      <c r="T314" s="15">
        <f>M315</f>
        <v>-0.012781835029196567</v>
      </c>
    </row>
    <row r="315" spans="1:20">
      <c r="A315" s="14">
        <v>44886</v>
      </c>
      <c r="B315" s="10">
        <v>872.14599609375</v>
      </c>
      <c r="C315" s="10">
        <v>101.4568481445312</v>
      </c>
      <c r="D315" s="10">
        <v>728.0230712890625</v>
      </c>
      <c r="E315" s="10">
        <v>18159.94921875</v>
      </c>
      <c r="F315" s="10">
        <v>443.1000061035156</v>
      </c>
      <c r="I315" s="15">
        <f>LN(B315/B314)</f>
        <v>-0.0073921097780684265</v>
      </c>
      <c r="J315" s="15">
        <f>LN(C315/C314)</f>
        <v>-0.04308940357777009</v>
      </c>
      <c r="K315" s="15">
        <f>LN(D315/D314)</f>
        <v>-0.015986317872617537</v>
      </c>
      <c r="L315" s="15">
        <f>LN(E315/E314)</f>
        <v>-0.008100449774708418</v>
      </c>
      <c r="M315" s="15">
        <f>LN(F315/F314)</f>
        <v>-0.012781835029196567</v>
      </c>
      <c r="O315" s="14">
        <v>44887</v>
      </c>
      <c r="P315" s="15">
        <f>I316</f>
        <v>-0.0006186286809273518</v>
      </c>
      <c r="Q315" s="15">
        <f>J316</f>
        <v>-0.004412890695060429</v>
      </c>
      <c r="R315" s="15">
        <f>K316</f>
        <v>-0.023035559359483548</v>
      </c>
      <c r="S315" s="15">
        <f>L316</f>
        <v>0.004628601630860599</v>
      </c>
      <c r="T315" s="15">
        <f>M316</f>
        <v>-0.012261719894136136</v>
      </c>
    </row>
    <row r="316" spans="1:20">
      <c r="A316" s="14">
        <v>44887</v>
      </c>
      <c r="B316" s="10">
        <v>871.6066284179688</v>
      </c>
      <c r="C316" s="10">
        <v>101.0101165771484</v>
      </c>
      <c r="D316" s="10">
        <v>711.4443359375</v>
      </c>
      <c r="E316" s="10">
        <v>18244.19921875</v>
      </c>
      <c r="F316" s="10">
        <v>437.7000122070313</v>
      </c>
      <c r="I316" s="15">
        <f>LN(B316/B315)</f>
        <v>-0.0006186286809273518</v>
      </c>
      <c r="J316" s="15">
        <f>LN(C316/C315)</f>
        <v>-0.004412890695060429</v>
      </c>
      <c r="K316" s="15">
        <f>LN(D316/D315)</f>
        <v>-0.023035559359483548</v>
      </c>
      <c r="L316" s="15">
        <f>LN(E316/E315)</f>
        <v>0.004628601630860599</v>
      </c>
      <c r="M316" s="15">
        <f>LN(F316/F315)</f>
        <v>-0.012261719894136136</v>
      </c>
      <c r="O316" s="14">
        <v>44888</v>
      </c>
      <c r="P316" s="15">
        <f>I317</f>
        <v>-0.007508297911362623</v>
      </c>
      <c r="Q316" s="15">
        <f>J317</f>
        <v>-0.008388892059989396</v>
      </c>
      <c r="R316" s="15">
        <f>K317</f>
        <v>0.005643813705970667</v>
      </c>
      <c r="S316" s="15">
        <f>L317</f>
        <v>0.0012626606067816233</v>
      </c>
      <c r="T316" s="15">
        <f>M317</f>
        <v>0.002509928496065564</v>
      </c>
    </row>
    <row r="317" spans="1:20">
      <c r="A317" s="14">
        <v>44888</v>
      </c>
      <c r="B317" s="10">
        <v>865.0868530273438</v>
      </c>
      <c r="C317" s="10">
        <v>100.1662979125977</v>
      </c>
      <c r="D317" s="10">
        <v>715.470947265625</v>
      </c>
      <c r="E317" s="10">
        <v>18267.25</v>
      </c>
      <c r="F317" s="10">
        <v>438.7999877929687</v>
      </c>
      <c r="I317" s="15">
        <f>LN(B317/B316)</f>
        <v>-0.007508297911362623</v>
      </c>
      <c r="J317" s="15">
        <f>LN(C317/C316)</f>
        <v>-0.008388892059989396</v>
      </c>
      <c r="K317" s="15">
        <f>LN(D317/D316)</f>
        <v>0.005643813705970667</v>
      </c>
      <c r="L317" s="15">
        <f>LN(E317/E316)</f>
        <v>0.0012626606067816233</v>
      </c>
      <c r="M317" s="15">
        <f>LN(F317/F316)</f>
        <v>0.002509928496065564</v>
      </c>
      <c r="O317" s="14">
        <v>44889</v>
      </c>
      <c r="P317" s="15">
        <f>I318</f>
        <v>-0.005512009036008362</v>
      </c>
      <c r="Q317" s="15">
        <f>J318</f>
        <v>0.028817641115087486</v>
      </c>
      <c r="R317" s="15">
        <f>K318</f>
        <v>0.004333184891991294</v>
      </c>
      <c r="S317" s="15">
        <f>L318</f>
        <v>0.011801042862214367</v>
      </c>
      <c r="T317" s="15">
        <f>M318</f>
        <v>0.002162683035716022</v>
      </c>
    </row>
    <row r="318" spans="1:20">
      <c r="A318" s="14">
        <v>44889</v>
      </c>
      <c r="B318" s="10">
        <v>860.3316040039062</v>
      </c>
      <c r="C318" s="10">
        <v>103.0948486328125</v>
      </c>
      <c r="D318" s="10">
        <v>718.5779418945312</v>
      </c>
      <c r="E318" s="10">
        <v>18484.099609375</v>
      </c>
      <c r="F318" s="10">
        <v>439.75</v>
      </c>
      <c r="I318" s="15">
        <f>LN(B318/B317)</f>
        <v>-0.005512009036008362</v>
      </c>
      <c r="J318" s="15">
        <f>LN(C318/C317)</f>
        <v>0.028817641115087486</v>
      </c>
      <c r="K318" s="15">
        <f>LN(D318/D317)</f>
        <v>0.004333184891991294</v>
      </c>
      <c r="L318" s="15">
        <f>LN(E318/E317)</f>
        <v>0.011801042862214367</v>
      </c>
      <c r="M318" s="15">
        <f>LN(F318/F317)</f>
        <v>0.002162683035716022</v>
      </c>
      <c r="O318" s="14">
        <v>44890</v>
      </c>
      <c r="P318" s="15">
        <f>I319</f>
        <v>0.019187977865927797</v>
      </c>
      <c r="Q318" s="15">
        <f>J319</f>
        <v>-0.0009633252678272457</v>
      </c>
      <c r="R318" s="15">
        <f>K319</f>
        <v>-0.0008651361607905535</v>
      </c>
      <c r="S318" s="15">
        <f>L319</f>
        <v>0.0015488019469054911</v>
      </c>
      <c r="T318" s="15">
        <f>M319</f>
        <v>0.011643140475480016</v>
      </c>
    </row>
    <row r="319" spans="1:20">
      <c r="A319" s="14">
        <v>44890</v>
      </c>
      <c r="B319" s="10">
        <v>876.9990234375</v>
      </c>
      <c r="C319" s="10">
        <v>102.9955825805664</v>
      </c>
      <c r="D319" s="10">
        <v>717.95654296875</v>
      </c>
      <c r="E319" s="10">
        <v>18512.75</v>
      </c>
      <c r="F319" s="10">
        <v>444.8999938964844</v>
      </c>
      <c r="I319" s="15">
        <f>LN(B319/B318)</f>
        <v>0.019187977865927797</v>
      </c>
      <c r="J319" s="15">
        <f>LN(C319/C318)</f>
        <v>-0.0009633252678272457</v>
      </c>
      <c r="K319" s="15">
        <f>LN(D319/D318)</f>
        <v>-0.0008651361607905535</v>
      </c>
      <c r="L319" s="15">
        <f>LN(E319/E318)</f>
        <v>0.0015488019469054911</v>
      </c>
      <c r="M319" s="15">
        <f>LN(F319/F318)</f>
        <v>0.011643140475480016</v>
      </c>
      <c r="O319" s="14">
        <v>44893</v>
      </c>
      <c r="P319" s="15">
        <f>I320</f>
        <v>0.012940080082015226</v>
      </c>
      <c r="Q319" s="15">
        <f>J320</f>
        <v>-0.028845895957023568</v>
      </c>
      <c r="R319" s="15">
        <f>K320</f>
        <v>0.0019368292470932063</v>
      </c>
      <c r="S319" s="15">
        <f>L320</f>
        <v>0.0026972005940332764</v>
      </c>
      <c r="T319" s="15">
        <f>M320</f>
        <v>0.0006741227274494401</v>
      </c>
    </row>
    <row r="320" spans="1:20">
      <c r="A320" s="14">
        <v>44893</v>
      </c>
      <c r="B320" s="10">
        <v>888.4212036132812</v>
      </c>
      <c r="C320" s="10">
        <v>100.067024230957</v>
      </c>
      <c r="D320" s="10">
        <v>719.3484497070312</v>
      </c>
      <c r="E320" s="10">
        <v>18562.75</v>
      </c>
      <c r="F320" s="10">
        <v>445.2000122070313</v>
      </c>
      <c r="I320" s="15">
        <f>LN(B320/B319)</f>
        <v>0.012940080082015226</v>
      </c>
      <c r="J320" s="15">
        <f>LN(C320/C319)</f>
        <v>-0.028845895957023568</v>
      </c>
      <c r="K320" s="15">
        <f>LN(D320/D319)</f>
        <v>0.0019368292470932063</v>
      </c>
      <c r="L320" s="15">
        <f>LN(E320/E319)</f>
        <v>0.0026972005940332764</v>
      </c>
      <c r="M320" s="15">
        <f>LN(F320/F319)</f>
        <v>0.0006741227274494401</v>
      </c>
      <c r="O320" s="14">
        <v>44894</v>
      </c>
      <c r="P320" s="15">
        <f>I321</f>
        <v>-0.0018227095114759816</v>
      </c>
      <c r="Q320" s="15">
        <f>J321</f>
        <v>-0.01398612922124445</v>
      </c>
      <c r="R320" s="15">
        <f>K321</f>
        <v>-0.001313882963074582</v>
      </c>
      <c r="S320" s="15">
        <f>L321</f>
        <v>0.0029746977400658824</v>
      </c>
      <c r="T320" s="15">
        <f>M321</f>
        <v>-0.0033749609238308514</v>
      </c>
    </row>
    <row r="321" spans="1:20">
      <c r="A321" s="14">
        <v>44894</v>
      </c>
      <c r="B321" s="10">
        <v>886.8033447265625</v>
      </c>
      <c r="C321" s="10">
        <v>98.67721557617188</v>
      </c>
      <c r="D321" s="10">
        <v>718.4039306640625</v>
      </c>
      <c r="E321" s="10">
        <v>18618.05078125</v>
      </c>
      <c r="F321" s="10">
        <v>443.7000122070313</v>
      </c>
      <c r="I321" s="15">
        <f>LN(B321/B320)</f>
        <v>-0.0018227095114759816</v>
      </c>
      <c r="J321" s="15">
        <f>LN(C321/C320)</f>
        <v>-0.01398612922124445</v>
      </c>
      <c r="K321" s="15">
        <f>LN(D321/D320)</f>
        <v>-0.001313882963074582</v>
      </c>
      <c r="L321" s="15">
        <f>LN(E321/E320)</f>
        <v>0.0029746977400658824</v>
      </c>
      <c r="M321" s="15">
        <f>LN(F321/F320)</f>
        <v>-0.0033749609238308514</v>
      </c>
      <c r="O321" s="14">
        <v>44895</v>
      </c>
      <c r="P321" s="15">
        <f>I322</f>
        <v>0.021221614478385456</v>
      </c>
      <c r="Q321" s="15">
        <f>J322</f>
        <v>0.020413894078777195</v>
      </c>
      <c r="R321" s="15">
        <f>K322</f>
        <v>0.009161049589984576</v>
      </c>
      <c r="S321" s="15">
        <f>L322</f>
        <v>0.007507383568474861</v>
      </c>
      <c r="T321" s="15">
        <f>M322</f>
        <v>0.014432161098871004</v>
      </c>
    </row>
    <row r="322" spans="1:20">
      <c r="A322" s="14">
        <v>44895</v>
      </c>
      <c r="B322" s="10">
        <v>905.8238525390624</v>
      </c>
      <c r="C322" s="10">
        <v>100.7123031616211</v>
      </c>
      <c r="D322" s="10">
        <v>725.0155029296875</v>
      </c>
      <c r="E322" s="10">
        <v>18758.349609375</v>
      </c>
      <c r="F322" s="10">
        <v>450.1499938964844</v>
      </c>
      <c r="I322" s="15">
        <f>LN(B322/B321)</f>
        <v>0.021221614478385456</v>
      </c>
      <c r="J322" s="15">
        <f>LN(C322/C321)</f>
        <v>0.020413894078777195</v>
      </c>
      <c r="K322" s="15">
        <f>LN(D322/D321)</f>
        <v>0.009161049589984576</v>
      </c>
      <c r="L322" s="15">
        <f>LN(E322/E321)</f>
        <v>0.007507383568474861</v>
      </c>
      <c r="M322" s="15">
        <f>LN(F322/F321)</f>
        <v>0.014432161098871004</v>
      </c>
      <c r="O322" s="14">
        <v>44896</v>
      </c>
      <c r="P322" s="15">
        <f>I323</f>
        <v>0.03916235447499716</v>
      </c>
      <c r="Q322" s="15">
        <f>J323</f>
        <v>0.014677340417533817</v>
      </c>
      <c r="R322" s="15">
        <f>K323</f>
        <v>-0.007363566091538753</v>
      </c>
      <c r="S322" s="15">
        <f>L323</f>
        <v>0.0028825767148602448</v>
      </c>
      <c r="T322" s="15">
        <f>M323</f>
        <v>0.01957826300212873</v>
      </c>
    </row>
    <row r="323" spans="1:20">
      <c r="A323" s="14">
        <v>44896</v>
      </c>
      <c r="B323" s="10">
        <v>942.0018310546876</v>
      </c>
      <c r="C323" s="10">
        <v>102.2013931274414</v>
      </c>
      <c r="D323" s="10">
        <v>719.6964111328125</v>
      </c>
      <c r="E323" s="10">
        <v>18812.5</v>
      </c>
      <c r="F323" s="10">
        <v>459.0499877929687</v>
      </c>
      <c r="I323" s="15">
        <f>LN(B323/B322)</f>
        <v>0.03916235447499716</v>
      </c>
      <c r="J323" s="15">
        <f>LN(C323/C322)</f>
        <v>0.014677340417533817</v>
      </c>
      <c r="K323" s="15">
        <f>LN(D323/D322)</f>
        <v>-0.007363566091538753</v>
      </c>
      <c r="L323" s="15">
        <f>LN(E323/E322)</f>
        <v>0.0028825767148602448</v>
      </c>
      <c r="M323" s="15">
        <f>LN(F323/F322)</f>
        <v>0.01957826300212873</v>
      </c>
      <c r="O323" s="14">
        <v>44897</v>
      </c>
      <c r="P323" s="15">
        <f>I324</f>
        <v>-0.006840477040063219</v>
      </c>
      <c r="Q323" s="15">
        <f>J324</f>
        <v>-0.010251429326925257</v>
      </c>
      <c r="R323" s="15">
        <f>K324</f>
        <v>0.030274448960790307</v>
      </c>
      <c r="S323" s="15">
        <f>L324</f>
        <v>-0.006206617442539312</v>
      </c>
      <c r="T323" s="15">
        <f>M324</f>
        <v>0.009323611207515826</v>
      </c>
    </row>
    <row r="324" spans="1:20">
      <c r="A324" s="14">
        <v>44897</v>
      </c>
      <c r="B324" s="10">
        <v>935.580078125</v>
      </c>
      <c r="C324" s="10">
        <v>101.1590347290039</v>
      </c>
      <c r="D324" s="10">
        <v>741.8179931640625</v>
      </c>
      <c r="E324" s="10">
        <v>18696.099609375</v>
      </c>
      <c r="F324" s="10">
        <v>463.3500061035156</v>
      </c>
      <c r="I324" s="15">
        <f>LN(B324/B323)</f>
        <v>-0.006840477040063219</v>
      </c>
      <c r="J324" s="15">
        <f>LN(C324/C323)</f>
        <v>-0.010251429326925257</v>
      </c>
      <c r="K324" s="15">
        <f>LN(D324/D323)</f>
        <v>0.030274448960790307</v>
      </c>
      <c r="L324" s="15">
        <f>LN(E324/E323)</f>
        <v>-0.006206617442539312</v>
      </c>
      <c r="M324" s="15">
        <f>LN(F324/F323)</f>
        <v>0.009323611207515826</v>
      </c>
      <c r="O324" s="14">
        <v>44900</v>
      </c>
      <c r="P324" s="15">
        <f>I325</f>
        <v>0.002616392552510952</v>
      </c>
      <c r="Q324" s="15">
        <f>J325</f>
        <v>-0.005905578559027032</v>
      </c>
      <c r="R324" s="15">
        <f>K325</f>
        <v>-0.028997395738848238</v>
      </c>
      <c r="S324" s="15">
        <f>L325</f>
        <v>0.0002647887259970962</v>
      </c>
      <c r="T324" s="15">
        <f>M325</f>
        <v>0.006882448310283525</v>
      </c>
    </row>
    <row r="325" spans="1:20">
      <c r="A325" s="14">
        <v>44900</v>
      </c>
      <c r="B325" s="10">
        <v>938.0311279296876</v>
      </c>
      <c r="C325" s="10">
        <v>100.5633926391602</v>
      </c>
      <c r="D325" s="10">
        <v>720.6160888671875</v>
      </c>
      <c r="E325" s="10">
        <v>18701.05078125</v>
      </c>
      <c r="F325" s="10">
        <v>466.5499877929687</v>
      </c>
      <c r="I325" s="15">
        <f>LN(B325/B324)</f>
        <v>0.002616392552510952</v>
      </c>
      <c r="J325" s="15">
        <f>LN(C325/C324)</f>
        <v>-0.005905578559027032</v>
      </c>
      <c r="K325" s="15">
        <f>LN(D325/D324)</f>
        <v>-0.028997395738848238</v>
      </c>
      <c r="L325" s="15">
        <f>LN(E325/E324)</f>
        <v>0.0002647887259970962</v>
      </c>
      <c r="M325" s="15">
        <f>LN(F325/F324)</f>
        <v>0.006882448310283525</v>
      </c>
      <c r="O325" s="14">
        <v>44901</v>
      </c>
      <c r="P325" s="15">
        <f>I326</f>
        <v>-0.013098284342599546</v>
      </c>
      <c r="Q325" s="15">
        <f>J326</f>
        <v>-0.009920647000876628</v>
      </c>
      <c r="R325" s="15">
        <f>K326</f>
        <v>0.0071830895914868145</v>
      </c>
      <c r="S325" s="15">
        <f>L326</f>
        <v>-0.0031223832280691255</v>
      </c>
      <c r="T325" s="15">
        <f>M326</f>
        <v>-0.0067745706884497214</v>
      </c>
    </row>
    <row r="326" spans="1:20">
      <c r="A326" s="14">
        <v>44901</v>
      </c>
      <c r="B326" s="10">
        <v>925.8246459960938</v>
      </c>
      <c r="C326" s="10">
        <v>99.57067108154295</v>
      </c>
      <c r="D326" s="10">
        <v>725.8109741210938</v>
      </c>
      <c r="E326" s="10">
        <v>18642.75</v>
      </c>
      <c r="F326" s="10">
        <v>463.3999938964844</v>
      </c>
      <c r="I326" s="15">
        <f>LN(B326/B325)</f>
        <v>-0.013098284342599546</v>
      </c>
      <c r="J326" s="15">
        <f>LN(C326/C325)</f>
        <v>-0.009920647000876628</v>
      </c>
      <c r="K326" s="15">
        <f>LN(D326/D325)</f>
        <v>0.0071830895914868145</v>
      </c>
      <c r="L326" s="15">
        <f>LN(E326/E325)</f>
        <v>-0.0031223832280691255</v>
      </c>
      <c r="M326" s="15">
        <f>LN(F326/F325)</f>
        <v>-0.0067745706884497214</v>
      </c>
      <c r="O326" s="14">
        <v>44902</v>
      </c>
      <c r="P326" s="15">
        <f>I327</f>
        <v>-0.034803835530553266</v>
      </c>
      <c r="Q326" s="15">
        <f>J327</f>
        <v>0.00794434511354759</v>
      </c>
      <c r="R326" s="15">
        <f>K327</f>
        <v>0.006281355391288556</v>
      </c>
      <c r="S326" s="15">
        <f>L327</f>
        <v>-0.004421663914122268</v>
      </c>
      <c r="T326" s="15">
        <f>M327</f>
        <v>-0.01193979249342951</v>
      </c>
    </row>
    <row r="327" spans="1:20">
      <c r="A327" s="14">
        <v>44902</v>
      </c>
      <c r="B327" s="10">
        <v>894.1566772460938</v>
      </c>
      <c r="C327" s="10">
        <v>100.3648452758789</v>
      </c>
      <c r="D327" s="10">
        <v>730.3843994140625</v>
      </c>
      <c r="E327" s="10">
        <v>18560.5</v>
      </c>
      <c r="F327" s="10">
        <v>457.8999938964844</v>
      </c>
      <c r="I327" s="15">
        <f>LN(B327/B326)</f>
        <v>-0.034803835530553266</v>
      </c>
      <c r="J327" s="15">
        <f>LN(C327/C326)</f>
        <v>0.00794434511354759</v>
      </c>
      <c r="K327" s="15">
        <f>LN(D327/D326)</f>
        <v>0.006281355391288556</v>
      </c>
      <c r="L327" s="15">
        <f>LN(E327/E326)</f>
        <v>-0.004421663914122268</v>
      </c>
      <c r="M327" s="15">
        <f>LN(F327/F326)</f>
        <v>-0.01193979249342951</v>
      </c>
      <c r="O327" s="14">
        <v>44903</v>
      </c>
      <c r="P327" s="15">
        <f>I328</f>
        <v>-0.006600568757808257</v>
      </c>
      <c r="Q327" s="15">
        <f>J328</f>
        <v>0.0009886391647286352</v>
      </c>
      <c r="R327" s="15">
        <f>K328</f>
        <v>-0.01799309878363965</v>
      </c>
      <c r="S327" s="15">
        <f>L328</f>
        <v>0.0026284549446723396</v>
      </c>
      <c r="T327" s="15">
        <f>M328</f>
        <v>-0.007782966758819339</v>
      </c>
    </row>
    <row r="328" spans="1:20">
      <c r="A328" s="14">
        <v>44903</v>
      </c>
      <c r="B328" s="10">
        <v>888.274169921875</v>
      </c>
      <c r="C328" s="10">
        <v>100.4641189575195</v>
      </c>
      <c r="D328" s="10">
        <v>717.3600463867188</v>
      </c>
      <c r="E328" s="10">
        <v>18609.349609375</v>
      </c>
      <c r="F328" s="10">
        <v>454.3500061035156</v>
      </c>
      <c r="I328" s="15">
        <f>LN(B328/B327)</f>
        <v>-0.006600568757808257</v>
      </c>
      <c r="J328" s="15">
        <f>LN(C328/C327)</f>
        <v>0.0009886391647286352</v>
      </c>
      <c r="K328" s="15">
        <f>LN(D328/D327)</f>
        <v>-0.01799309878363965</v>
      </c>
      <c r="L328" s="15">
        <f>LN(E328/E327)</f>
        <v>0.0026284549446723396</v>
      </c>
      <c r="M328" s="15">
        <f>LN(F328/F327)</f>
        <v>-0.007782966758819339</v>
      </c>
      <c r="O328" s="14">
        <v>44904</v>
      </c>
      <c r="P328" s="15">
        <f>I329</f>
        <v>-0.0033722963483776153</v>
      </c>
      <c r="Q328" s="15">
        <f>J329</f>
        <v>0.00934364280507214</v>
      </c>
      <c r="R328" s="15">
        <f>K329</f>
        <v>-0.006395850464700107</v>
      </c>
      <c r="S328" s="15">
        <f>L329</f>
        <v>-0.006077211303593385</v>
      </c>
      <c r="T328" s="15">
        <f>M329</f>
        <v>-0.015079603533153855</v>
      </c>
    </row>
    <row r="329" spans="1:20">
      <c r="A329" s="14">
        <v>44904</v>
      </c>
      <c r="B329" s="10">
        <v>885.28369140625</v>
      </c>
      <c r="C329" s="10">
        <v>101.4072189331055</v>
      </c>
      <c r="D329" s="10">
        <v>712.7865600585938</v>
      </c>
      <c r="E329" s="10">
        <v>18496.599609375</v>
      </c>
      <c r="F329" s="10">
        <v>447.5499877929687</v>
      </c>
      <c r="I329" s="15">
        <f>LN(B329/B328)</f>
        <v>-0.0033722963483776153</v>
      </c>
      <c r="J329" s="15">
        <f>LN(C329/C328)</f>
        <v>0.00934364280507214</v>
      </c>
      <c r="K329" s="15">
        <f>LN(D329/D328)</f>
        <v>-0.006395850464700107</v>
      </c>
      <c r="L329" s="15">
        <f>LN(E329/E328)</f>
        <v>-0.006077211303593385</v>
      </c>
      <c r="M329" s="15">
        <f>LN(F329/F328)</f>
        <v>-0.015079603533153855</v>
      </c>
      <c r="O329" s="14">
        <v>44907</v>
      </c>
      <c r="P329" s="15">
        <f>I330</f>
        <v>0.016530151885631755</v>
      </c>
      <c r="Q329" s="15">
        <f>J330</f>
        <v>-0.0024504015234447377</v>
      </c>
      <c r="R329" s="15">
        <f>K330</f>
        <v>-0.020859828194304843</v>
      </c>
      <c r="S329" s="15">
        <f>L330</f>
        <v>2.977698935843848e-05</v>
      </c>
      <c r="T329" s="15">
        <f>M330</f>
        <v>0.004570076113203461</v>
      </c>
    </row>
    <row r="330" spans="1:20">
      <c r="A330" s="14">
        <v>44907</v>
      </c>
      <c r="B330" s="10">
        <v>900.0391845703125</v>
      </c>
      <c r="C330" s="10">
        <v>101.1590347290039</v>
      </c>
      <c r="D330" s="10">
        <v>698.0719604492188</v>
      </c>
      <c r="E330" s="10">
        <v>18497.150390625</v>
      </c>
      <c r="F330" s="10">
        <v>449.6000061035156</v>
      </c>
      <c r="I330" s="15">
        <f>LN(B330/B329)</f>
        <v>0.016530151885631755</v>
      </c>
      <c r="J330" s="15">
        <f>LN(C330/C329)</f>
        <v>-0.0024504015234447377</v>
      </c>
      <c r="K330" s="15">
        <f>LN(D330/D329)</f>
        <v>-0.020859828194304843</v>
      </c>
      <c r="L330" s="15">
        <f>LN(E330/E329)</f>
        <v>2.977698935843848e-05</v>
      </c>
      <c r="M330" s="15">
        <f>LN(F330/F329)</f>
        <v>0.004570076113203461</v>
      </c>
      <c r="O330" s="14">
        <v>44908</v>
      </c>
      <c r="P330" s="15">
        <f>I331</f>
        <v>-0.010347430839847278</v>
      </c>
      <c r="Q330" s="15">
        <f>J331</f>
        <v>0.051636772597536774</v>
      </c>
      <c r="R330" s="15">
        <f>K331</f>
        <v>-0.004460669420504825</v>
      </c>
      <c r="S330" s="15">
        <f>L331</f>
        <v>0.005974908495510217</v>
      </c>
      <c r="T330" s="15">
        <f>M331</f>
        <v>-0.008039360134852284</v>
      </c>
    </row>
    <row r="331" spans="1:20">
      <c r="A331" s="14">
        <v>44908</v>
      </c>
      <c r="B331" s="10">
        <v>890.7741088867188</v>
      </c>
      <c r="C331" s="10">
        <v>106.519775390625</v>
      </c>
      <c r="D331" s="10">
        <v>694.9650268554688</v>
      </c>
      <c r="E331" s="10">
        <v>18608</v>
      </c>
      <c r="F331" s="10">
        <v>446</v>
      </c>
      <c r="I331" s="15">
        <f>LN(B331/B330)</f>
        <v>-0.010347430839847278</v>
      </c>
      <c r="J331" s="15">
        <f>LN(C331/C330)</f>
        <v>0.051636772597536774</v>
      </c>
      <c r="K331" s="15">
        <f>LN(D331/D330)</f>
        <v>-0.004460669420504825</v>
      </c>
      <c r="L331" s="15">
        <f>LN(E331/E330)</f>
        <v>0.005974908495510217</v>
      </c>
      <c r="M331" s="15">
        <f>LN(F331/F330)</f>
        <v>-0.008039360134852284</v>
      </c>
      <c r="O331" s="14">
        <v>44909</v>
      </c>
      <c r="P331" s="15">
        <f>I332</f>
        <v>0.005816708843419876</v>
      </c>
      <c r="Q331" s="15">
        <f>J332</f>
        <v>0.022120619185725218</v>
      </c>
      <c r="R331" s="15">
        <f>K332</f>
        <v>0.02154716997403376</v>
      </c>
      <c r="S331" s="15">
        <f>L332</f>
        <v>0.002806718551028224</v>
      </c>
      <c r="T331" s="15">
        <f>M332</f>
        <v>0.01435833475692368</v>
      </c>
    </row>
    <row r="332" spans="1:20">
      <c r="A332" s="14">
        <v>44909</v>
      </c>
      <c r="B332" s="10">
        <v>895.9705810546875</v>
      </c>
      <c r="C332" s="10">
        <v>108.9023132324219</v>
      </c>
      <c r="D332" s="10">
        <v>710.10205078125</v>
      </c>
      <c r="E332" s="10">
        <v>18660.30078125</v>
      </c>
      <c r="F332" s="10">
        <v>452.4500122070313</v>
      </c>
      <c r="I332" s="15">
        <f>LN(B332/B331)</f>
        <v>0.005816708843419876</v>
      </c>
      <c r="J332" s="15">
        <f>LN(C332/C331)</f>
        <v>0.022120619185725218</v>
      </c>
      <c r="K332" s="15">
        <f>LN(D332/D331)</f>
        <v>0.02154716997403376</v>
      </c>
      <c r="L332" s="15">
        <f>LN(E332/E331)</f>
        <v>0.002806718551028224</v>
      </c>
      <c r="M332" s="15">
        <f>LN(F332/F331)</f>
        <v>0.01435833475692368</v>
      </c>
      <c r="O332" s="14">
        <v>44910</v>
      </c>
      <c r="P332" s="15">
        <f>I333</f>
        <v>-0.013440228606980426</v>
      </c>
      <c r="Q332" s="15">
        <f>J333</f>
        <v>-0.03761758177494601</v>
      </c>
      <c r="R332" s="15">
        <f>K333</f>
        <v>-0.02283559886112792</v>
      </c>
      <c r="S332" s="15">
        <f>L333</f>
        <v>-0.01323817358829901</v>
      </c>
      <c r="T332" s="15">
        <f>M333</f>
        <v>-0.013125937983407839</v>
      </c>
    </row>
    <row r="333" spans="1:20">
      <c r="A333" s="14">
        <v>44910</v>
      </c>
      <c r="B333" s="10">
        <v>884.0090942382812</v>
      </c>
      <c r="C333" s="10">
        <v>104.8817672729492</v>
      </c>
      <c r="D333" s="10">
        <v>694.0701904296875</v>
      </c>
      <c r="E333" s="10">
        <v>18414.900390625</v>
      </c>
      <c r="F333" s="10">
        <v>446.5499877929687</v>
      </c>
      <c r="I333" s="15">
        <f>LN(B333/B332)</f>
        <v>-0.013440228606980426</v>
      </c>
      <c r="J333" s="15">
        <f>LN(C333/C332)</f>
        <v>-0.03761758177494601</v>
      </c>
      <c r="K333" s="15">
        <f>LN(D333/D332)</f>
        <v>-0.02283559886112792</v>
      </c>
      <c r="L333" s="15">
        <f>LN(E333/E332)</f>
        <v>-0.01323817358829901</v>
      </c>
      <c r="M333" s="15">
        <f>LN(F333/F332)</f>
        <v>-0.013125937983407839</v>
      </c>
      <c r="O333" s="14">
        <v>44911</v>
      </c>
      <c r="P333" s="15">
        <f>I334</f>
        <v>-0.02436134801748171</v>
      </c>
      <c r="Q333" s="15">
        <f>J334</f>
        <v>-0.028806620474725236</v>
      </c>
      <c r="R333" s="15">
        <f>K334</f>
        <v>0.0012884288870939912</v>
      </c>
      <c r="S333" s="15">
        <f>L334</f>
        <v>-0.007954506384605002</v>
      </c>
      <c r="T333" s="15">
        <f>M334</f>
        <v>-0.015231298428788901</v>
      </c>
    </row>
    <row r="334" spans="1:20">
      <c r="A334" s="14">
        <v>44911</v>
      </c>
      <c r="B334" s="10">
        <v>862.733642578125</v>
      </c>
      <c r="C334" s="10">
        <v>101.9035797119141</v>
      </c>
      <c r="D334" s="10">
        <v>694.9650268554688</v>
      </c>
      <c r="E334" s="10">
        <v>18269</v>
      </c>
      <c r="F334" s="10">
        <v>439.7999877929687</v>
      </c>
      <c r="I334" s="15">
        <f>LN(B334/B333)</f>
        <v>-0.02436134801748171</v>
      </c>
      <c r="J334" s="15">
        <f>LN(C334/C333)</f>
        <v>-0.028806620474725236</v>
      </c>
      <c r="K334" s="15">
        <f>LN(D334/D333)</f>
        <v>0.0012884288870939912</v>
      </c>
      <c r="L334" s="15">
        <f>LN(E334/E333)</f>
        <v>-0.007954506384605002</v>
      </c>
      <c r="M334" s="15">
        <f>LN(F334/F333)</f>
        <v>-0.015231298428788901</v>
      </c>
      <c r="O334" s="14">
        <v>44914</v>
      </c>
      <c r="P334" s="15">
        <f>I335</f>
        <v>0.005835704307773651</v>
      </c>
      <c r="Q334" s="15">
        <f>J335</f>
        <v>0.008246538105269631</v>
      </c>
      <c r="R334" s="15">
        <f>K335</f>
        <v>0.003534490481585682</v>
      </c>
      <c r="S334" s="15">
        <f>L335</f>
        <v>0.008255783729645224</v>
      </c>
      <c r="T334" s="15">
        <f>M335</f>
        <v>0.007362552576254141</v>
      </c>
    </row>
    <row r="335" spans="1:20">
      <c r="A335" s="14">
        <v>44914</v>
      </c>
      <c r="B335" s="10">
        <v>867.7830200195312</v>
      </c>
      <c r="C335" s="10">
        <v>102.7474060058594</v>
      </c>
      <c r="D335" s="10">
        <v>697.4257202148438</v>
      </c>
      <c r="E335" s="10">
        <v>18420.44921875</v>
      </c>
      <c r="F335" s="10">
        <v>443.0499877929687</v>
      </c>
      <c r="I335" s="15">
        <f>LN(B335/B334)</f>
        <v>0.005835704307773651</v>
      </c>
      <c r="J335" s="15">
        <f>LN(C335/C334)</f>
        <v>0.008246538105269631</v>
      </c>
      <c r="K335" s="15">
        <f>LN(D335/D334)</f>
        <v>0.003534490481585682</v>
      </c>
      <c r="L335" s="15">
        <f>LN(E335/E334)</f>
        <v>0.008255783729645224</v>
      </c>
      <c r="M335" s="15">
        <f>LN(F335/F334)</f>
        <v>0.007362552576254141</v>
      </c>
      <c r="O335" s="14">
        <v>44915</v>
      </c>
      <c r="P335" s="15">
        <f>I336</f>
        <v>-0.0065745678843311915</v>
      </c>
      <c r="Q335" s="15">
        <f>J336</f>
        <v>0.02339550163491498</v>
      </c>
      <c r="R335" s="15">
        <f>K336</f>
        <v>0.0022072265025104105</v>
      </c>
      <c r="S335" s="15">
        <f>L336</f>
        <v>-0.0019099433205291773</v>
      </c>
      <c r="T335" s="15">
        <f>M336</f>
        <v>-0.012148830855159496</v>
      </c>
    </row>
    <row r="336" spans="1:20">
      <c r="A336" s="14">
        <v>44915</v>
      </c>
      <c r="B336" s="10">
        <v>862.096435546875</v>
      </c>
      <c r="C336" s="10">
        <v>105.179573059082</v>
      </c>
      <c r="D336" s="10">
        <v>698.966796875</v>
      </c>
      <c r="E336" s="10">
        <v>18385.30078125</v>
      </c>
      <c r="F336" s="10">
        <v>437.7000122070313</v>
      </c>
      <c r="I336" s="15">
        <f>LN(B336/B335)</f>
        <v>-0.0065745678843311915</v>
      </c>
      <c r="J336" s="15">
        <f>LN(C336/C335)</f>
        <v>0.02339550163491498</v>
      </c>
      <c r="K336" s="15">
        <f>LN(D336/D335)</f>
        <v>0.0022072265025104105</v>
      </c>
      <c r="L336" s="15">
        <f>LN(E336/E335)</f>
        <v>-0.0019099433205291773</v>
      </c>
      <c r="M336" s="15">
        <f>LN(F336/F335)</f>
        <v>-0.012148830855159496</v>
      </c>
      <c r="O336" s="14">
        <v>44916</v>
      </c>
      <c r="P336" s="15">
        <f>I337</f>
        <v>-0.018421777971093848</v>
      </c>
      <c r="Q336" s="15">
        <f>J337</f>
        <v>-0.006153771992895687</v>
      </c>
      <c r="R336" s="15">
        <f>K337</f>
        <v>-0.01595103100185128</v>
      </c>
      <c r="S336" s="15">
        <f>L337</f>
        <v>-0.01017935391694218</v>
      </c>
      <c r="T336" s="15">
        <f>M337</f>
        <v>-0.016354172981179187</v>
      </c>
    </row>
    <row r="337" spans="1:20">
      <c r="A337" s="14">
        <v>44916</v>
      </c>
      <c r="B337" s="10">
        <v>846.3604736328125</v>
      </c>
      <c r="C337" s="10">
        <v>104.534309387207</v>
      </c>
      <c r="D337" s="10">
        <v>687.906005859375</v>
      </c>
      <c r="E337" s="10">
        <v>18199.099609375</v>
      </c>
      <c r="F337" s="10">
        <v>430.6000061035156</v>
      </c>
      <c r="I337" s="15">
        <f>LN(B337/B336)</f>
        <v>-0.018421777971093848</v>
      </c>
      <c r="J337" s="15">
        <f>LN(C337/C336)</f>
        <v>-0.006153771992895687</v>
      </c>
      <c r="K337" s="15">
        <f>LN(D337/D336)</f>
        <v>-0.01595103100185128</v>
      </c>
      <c r="L337" s="15">
        <f>LN(E337/E336)</f>
        <v>-0.01017935391694218</v>
      </c>
      <c r="M337" s="15">
        <f>LN(F337/F336)</f>
        <v>-0.016354172981179187</v>
      </c>
      <c r="O337" s="14">
        <v>44917</v>
      </c>
      <c r="P337" s="15">
        <f>I338</f>
        <v>-0.01094870022777092</v>
      </c>
      <c r="Q337" s="15">
        <f>J338</f>
        <v>-0.0367546320192372</v>
      </c>
      <c r="R337" s="15">
        <f>K338</f>
        <v>-0.021364058894224165</v>
      </c>
      <c r="S337" s="15">
        <f>L338</f>
        <v>-0.0039502948868902</v>
      </c>
      <c r="T337" s="15">
        <f>M338</f>
        <v>-0.01426759335330469</v>
      </c>
    </row>
    <row r="338" spans="1:20">
      <c r="A338" s="14">
        <v>44917</v>
      </c>
      <c r="B338" s="10">
        <v>837.1444702148438</v>
      </c>
      <c r="C338" s="10">
        <v>100.7619400024414</v>
      </c>
      <c r="D338" s="10">
        <v>673.3654174804688</v>
      </c>
      <c r="E338" s="10">
        <v>18127.349609375</v>
      </c>
      <c r="F338" s="10">
        <v>424.5</v>
      </c>
      <c r="I338" s="15">
        <f>LN(B338/B337)</f>
        <v>-0.01094870022777092</v>
      </c>
      <c r="J338" s="15">
        <f>LN(C338/C337)</f>
        <v>-0.0367546320192372</v>
      </c>
      <c r="K338" s="15">
        <f>LN(D338/D337)</f>
        <v>-0.021364058894224165</v>
      </c>
      <c r="L338" s="15">
        <f>LN(E338/E337)</f>
        <v>-0.0039502948868902</v>
      </c>
      <c r="M338" s="15">
        <f>LN(F338/F337)</f>
        <v>-0.01426759335330469</v>
      </c>
      <c r="O338" s="14">
        <v>44918</v>
      </c>
      <c r="P338" s="15">
        <f>I339</f>
        <v>-0.04423896788825372</v>
      </c>
      <c r="Q338" s="15">
        <f>J339</f>
        <v>-0.12136083013693559</v>
      </c>
      <c r="R338" s="15">
        <f>K339</f>
        <v>-0.03420575170012504</v>
      </c>
      <c r="S338" s="15">
        <f>L339</f>
        <v>-0.01784137526808462</v>
      </c>
      <c r="T338" s="15">
        <f>M339</f>
        <v>-0.03512075176029066</v>
      </c>
    </row>
    <row r="339" spans="1:20">
      <c r="A339" s="14">
        <v>44918</v>
      </c>
      <c r="B339" s="10">
        <v>800.9172973632812</v>
      </c>
      <c r="C339" s="10">
        <v>89.24629211425781</v>
      </c>
      <c r="D339" s="10">
        <v>650.721923828125</v>
      </c>
      <c r="E339" s="10">
        <v>17806.80078125</v>
      </c>
      <c r="F339" s="10">
        <v>409.8500061035156</v>
      </c>
      <c r="I339" s="15">
        <f>LN(B339/B338)</f>
        <v>-0.04423896788825372</v>
      </c>
      <c r="J339" s="15">
        <f>LN(C339/C338)</f>
        <v>-0.12136083013693559</v>
      </c>
      <c r="K339" s="15">
        <f>LN(D339/D338)</f>
        <v>-0.03420575170012504</v>
      </c>
      <c r="L339" s="15">
        <f>LN(E339/E338)</f>
        <v>-0.01784137526808462</v>
      </c>
      <c r="M339" s="15">
        <f>LN(F339/F338)</f>
        <v>-0.03512075176029066</v>
      </c>
      <c r="O339" s="14">
        <v>44923</v>
      </c>
      <c r="P339" s="15">
        <f>I342</f>
        <v>0.003422787330351253</v>
      </c>
      <c r="Q339" s="15">
        <f>J342</f>
        <v>0.02466787937206503</v>
      </c>
      <c r="R339" s="15">
        <f>K342</f>
        <v>0.0012303676801910096</v>
      </c>
      <c r="S339" s="15">
        <f>L342</f>
        <v>-0.0005406611691443354</v>
      </c>
      <c r="T339" s="15">
        <f>M342</f>
        <v>0.004928444964379939</v>
      </c>
    </row>
    <row r="340" spans="1:20">
      <c r="A340" s="14">
        <v>44921</v>
      </c>
      <c r="B340" s="10">
        <v>816.7512817382812</v>
      </c>
      <c r="C340" s="10">
        <v>94.40847778320312</v>
      </c>
      <c r="D340" s="10">
        <v>657.979736328125</v>
      </c>
      <c r="E340" s="10">
        <v>18014.599609375</v>
      </c>
      <c r="I340" s="15">
        <f>LN(B340/B339)</f>
        <v>0.019576927291825762</v>
      </c>
      <c r="J340" s="15">
        <f>LN(C340/C339)</f>
        <v>0.05623100128605664</v>
      </c>
      <c r="K340" s="15">
        <f>LN(D340/D339)</f>
        <v>0.011091736381929538</v>
      </c>
      <c r="L340" s="15">
        <f>LN(E340/E339)</f>
        <v>0.01160206785899442</v>
      </c>
      <c r="O340" s="14">
        <v>44924</v>
      </c>
      <c r="P340" s="15">
        <f>I343</f>
        <v>0.0005300105385570529</v>
      </c>
      <c r="Q340" s="15">
        <f>J343</f>
        <v>0.04568321724048596</v>
      </c>
      <c r="R340" s="15">
        <f>K343</f>
        <v>0.0022757324373322823</v>
      </c>
      <c r="S340" s="15">
        <f>L343</f>
        <v>0.0037727060871833766</v>
      </c>
      <c r="T340" s="15">
        <f>M343</f>
        <v>0.001403687463603293</v>
      </c>
    </row>
    <row r="341" spans="1:20">
      <c r="A341" s="14">
        <v>44922</v>
      </c>
      <c r="B341" s="10">
        <v>829.3008422851562</v>
      </c>
      <c r="C341" s="10">
        <v>97.38665771484376</v>
      </c>
      <c r="D341" s="10">
        <v>686.4395141601562</v>
      </c>
      <c r="E341" s="10">
        <v>18132.30078125</v>
      </c>
      <c r="F341" s="10">
        <v>425.0499877929687</v>
      </c>
      <c r="I341" s="15">
        <f>LN(B341/B340)</f>
        <v>0.015248367319354082</v>
      </c>
      <c r="J341" s="15">
        <f>LN(C341/C340)</f>
        <v>0.03105834067357157</v>
      </c>
      <c r="K341" s="15">
        <f>LN(D341/D340)</f>
        <v>0.04234397876926508</v>
      </c>
      <c r="L341" s="15">
        <f>LN(E341/E340)</f>
        <v>0.006512402811413872</v>
      </c>
      <c r="O341" s="14">
        <v>44925</v>
      </c>
      <c r="P341" s="15">
        <f>I344</f>
        <v>0.021839262789815853</v>
      </c>
      <c r="Q341" s="15">
        <f>J344</f>
        <v>0.06305289519773744</v>
      </c>
      <c r="R341" s="15">
        <f>K344</f>
        <v>0.026210514796261516</v>
      </c>
      <c r="S341" s="15">
        <f>L344</f>
        <v>-0.004722210041123311</v>
      </c>
      <c r="T341" s="15">
        <f>M344</f>
        <v>0.009423577038298872</v>
      </c>
    </row>
    <row r="342" spans="1:20">
      <c r="A342" s="14">
        <v>44923</v>
      </c>
      <c r="B342" s="10">
        <v>832.1442260742188</v>
      </c>
      <c r="C342" s="10">
        <v>99.81885528564452</v>
      </c>
      <c r="D342" s="10">
        <v>687.2846069335938</v>
      </c>
      <c r="E342" s="10">
        <v>18122.5</v>
      </c>
      <c r="F342" s="10">
        <v>427.1499938964844</v>
      </c>
      <c r="I342" s="15">
        <f>LN(B342/B341)</f>
        <v>0.003422787330351253</v>
      </c>
      <c r="J342" s="15">
        <f>LN(C342/C341)</f>
        <v>0.02466787937206503</v>
      </c>
      <c r="K342" s="15">
        <f>LN(D342/D341)</f>
        <v>0.0012303676801910096</v>
      </c>
      <c r="L342" s="15">
        <f>LN(E342/E341)</f>
        <v>-0.0005406611691443354</v>
      </c>
      <c r="M342" s="15">
        <f>LN(F342/F341)</f>
        <v>0.004928444964379939</v>
      </c>
      <c r="O342" s="14">
        <v>44928</v>
      </c>
      <c r="P342" s="15">
        <f>I345</f>
        <v>0.004311367364157</v>
      </c>
      <c r="Q342" s="15">
        <f>J345</f>
        <v>-0.03402468115657393</v>
      </c>
      <c r="R342" s="15">
        <f>K345</f>
        <v>0.0023521726533547076</v>
      </c>
      <c r="S342" s="15">
        <f>L345</f>
        <v>0.005076675205536103</v>
      </c>
      <c r="T342" s="15">
        <f>M345</f>
        <v>0.009909099033798045</v>
      </c>
    </row>
    <row r="343" spans="1:20">
      <c r="A343" s="14">
        <v>44924</v>
      </c>
      <c r="B343" s="10">
        <v>832.5853881835938</v>
      </c>
      <c r="C343" s="10">
        <v>104.4846649169922</v>
      </c>
      <c r="D343" s="10">
        <v>688.8504638671875</v>
      </c>
      <c r="E343" s="10">
        <v>18191</v>
      </c>
      <c r="F343" s="10">
        <v>427.75</v>
      </c>
      <c r="I343" s="15">
        <f>LN(B343/B342)</f>
        <v>0.0005300105385570529</v>
      </c>
      <c r="J343" s="15">
        <f>LN(C343/C342)</f>
        <v>0.04568321724048596</v>
      </c>
      <c r="K343" s="15">
        <f>LN(D343/D342)</f>
        <v>0.0022757324373322823</v>
      </c>
      <c r="L343" s="15">
        <f>LN(E343/E342)</f>
        <v>0.0037727060871833766</v>
      </c>
      <c r="M343" s="15">
        <f>LN(F343/F342)</f>
        <v>0.001403687463603293</v>
      </c>
      <c r="O343" s="14">
        <v>44929</v>
      </c>
      <c r="P343" s="15">
        <f>I346</f>
        <v>0.006232489507876745</v>
      </c>
      <c r="Q343" s="15">
        <f>J346</f>
        <v>0.007356417398301227</v>
      </c>
      <c r="R343" s="15">
        <f>K346</f>
        <v>0.003745108663817361</v>
      </c>
      <c r="S343" s="15">
        <f>L346</f>
        <v>0.001927069632871597</v>
      </c>
      <c r="T343" s="15">
        <f>M346</f>
        <v>0.001260356037291951</v>
      </c>
    </row>
    <row r="344" spans="1:20">
      <c r="A344" s="14">
        <v>44925</v>
      </c>
      <c r="B344" s="10">
        <v>850.9684448242188</v>
      </c>
      <c r="C344" s="10">
        <v>111.2848587036133</v>
      </c>
      <c r="D344" s="10">
        <v>707.144287109375</v>
      </c>
      <c r="E344" s="10">
        <v>18105.30078125</v>
      </c>
      <c r="F344" s="10">
        <v>431.7999877929687</v>
      </c>
      <c r="I344" s="15">
        <f>LN(B344/B343)</f>
        <v>0.021839262789815853</v>
      </c>
      <c r="J344" s="15">
        <f>LN(C344/C343)</f>
        <v>0.06305289519773744</v>
      </c>
      <c r="K344" s="15">
        <f>LN(D344/D343)</f>
        <v>0.026210514796261516</v>
      </c>
      <c r="L344" s="15">
        <f>LN(E344/E343)</f>
        <v>-0.004722210041123311</v>
      </c>
      <c r="M344" s="15">
        <f>LN(F344/F343)</f>
        <v>0.009423577038298872</v>
      </c>
      <c r="O344" s="14">
        <v>44930</v>
      </c>
      <c r="P344" s="15">
        <f>I347</f>
        <v>-0.01951306769528864</v>
      </c>
      <c r="Q344" s="15">
        <f>J347</f>
        <v>0.019506338500663287</v>
      </c>
      <c r="R344" s="15">
        <f>K347</f>
        <v>-0.020470767900816016</v>
      </c>
      <c r="S344" s="15">
        <f>L347</f>
        <v>-0.010453517612292944</v>
      </c>
      <c r="T344" s="15">
        <f>M347</f>
        <v>-0.020709901107722493</v>
      </c>
    </row>
    <row r="345" spans="1:20">
      <c r="A345" s="14">
        <v>44928</v>
      </c>
      <c r="B345" s="10">
        <v>854.6452026367188</v>
      </c>
      <c r="C345" s="10">
        <v>107.5621185302734</v>
      </c>
      <c r="D345" s="10">
        <v>708.8095703125</v>
      </c>
      <c r="E345" s="10">
        <v>18197.44921875</v>
      </c>
      <c r="F345" s="10">
        <v>436.1000061035156</v>
      </c>
      <c r="I345" s="15">
        <f>LN(B345/B344)</f>
        <v>0.004311367364157</v>
      </c>
      <c r="J345" s="15">
        <f>LN(C345/C344)</f>
        <v>-0.03402468115657393</v>
      </c>
      <c r="K345" s="15">
        <f>LN(D345/D344)</f>
        <v>0.0023521726533547076</v>
      </c>
      <c r="L345" s="15">
        <f>LN(E345/E344)</f>
        <v>0.005076675205536103</v>
      </c>
      <c r="M345" s="15">
        <f>LN(F345/F344)</f>
        <v>0.009909099033798045</v>
      </c>
      <c r="O345" s="14">
        <v>44931</v>
      </c>
      <c r="P345" s="15">
        <f>I348</f>
        <v>-0.0014542575982863257</v>
      </c>
      <c r="Q345" s="15">
        <f>J348</f>
        <v>0.018692015371216113</v>
      </c>
      <c r="R345" s="15">
        <f>K348</f>
        <v>0.009157787788000126</v>
      </c>
      <c r="S345" s="15">
        <f>L348</f>
        <v>-0.0028194100932680756</v>
      </c>
      <c r="T345" s="15">
        <f>M348</f>
        <v>0.0023353583044924808</v>
      </c>
    </row>
    <row r="346" spans="1:20">
      <c r="A346" s="14">
        <v>44929</v>
      </c>
      <c r="B346" s="10">
        <v>859.9884033203125</v>
      </c>
      <c r="C346" s="10">
        <v>108.3563079833984</v>
      </c>
      <c r="D346" s="10">
        <v>711.4691162109375</v>
      </c>
      <c r="E346" s="10">
        <v>18232.55078125</v>
      </c>
      <c r="F346" s="10">
        <v>436.6499938964844</v>
      </c>
      <c r="I346" s="15">
        <f>LN(B346/B345)</f>
        <v>0.006232489507876745</v>
      </c>
      <c r="J346" s="15">
        <f>LN(C346/C345)</f>
        <v>0.007356417398301227</v>
      </c>
      <c r="K346" s="15">
        <f>LN(D346/D345)</f>
        <v>0.003745108663817361</v>
      </c>
      <c r="L346" s="15">
        <f>LN(E346/E345)</f>
        <v>0.001927069632871597</v>
      </c>
      <c r="M346" s="15">
        <f>LN(F346/F345)</f>
        <v>0.001260356037291951</v>
      </c>
      <c r="O346" s="14">
        <v>44932</v>
      </c>
      <c r="P346" s="15">
        <f>I349</f>
        <v>-0.006189275139405237</v>
      </c>
      <c r="Q346" s="15">
        <f>J349</f>
        <v>0.026969841456465207</v>
      </c>
      <c r="R346" s="15">
        <f>K349</f>
        <v>0.0011299767901308529</v>
      </c>
      <c r="S346" s="15">
        <f>L349</f>
        <v>-0.0074028372147649955</v>
      </c>
      <c r="T346" s="15">
        <f>M349</f>
        <v>-0.006670216158823797</v>
      </c>
    </row>
    <row r="347" spans="1:20">
      <c r="A347" s="14">
        <v>44930</v>
      </c>
      <c r="B347" s="10">
        <v>843.3700561523438</v>
      </c>
      <c r="C347" s="10">
        <v>110.4906921386719</v>
      </c>
      <c r="D347" s="10">
        <v>697.0528564453125</v>
      </c>
      <c r="E347" s="10">
        <v>18042.94921875</v>
      </c>
      <c r="F347" s="10">
        <v>427.7000122070313</v>
      </c>
      <c r="I347" s="15">
        <f>LN(B347/B346)</f>
        <v>-0.01951306769528864</v>
      </c>
      <c r="J347" s="15">
        <f>LN(C347/C346)</f>
        <v>0.019506338500663287</v>
      </c>
      <c r="K347" s="15">
        <f>LN(D347/D346)</f>
        <v>-0.020470767900816016</v>
      </c>
      <c r="L347" s="15">
        <f>LN(E347/E346)</f>
        <v>-0.010453517612292944</v>
      </c>
      <c r="M347" s="15">
        <f>LN(F347/F346)</f>
        <v>-0.020709901107722493</v>
      </c>
      <c r="O347" s="14">
        <v>44935</v>
      </c>
      <c r="P347" s="15">
        <f>I350</f>
        <v>0.007236655103113139</v>
      </c>
      <c r="Q347" s="15">
        <f>J350</f>
        <v>-0.0068906307668021</v>
      </c>
      <c r="R347" s="15">
        <f>K350</f>
        <v>0.014157863527300184</v>
      </c>
      <c r="S347" s="15">
        <f>L350</f>
        <v>0.01344545509952314</v>
      </c>
      <c r="T347" s="15">
        <f>M350</f>
        <v>0.006086887686634922</v>
      </c>
    </row>
    <row r="348" spans="1:20">
      <c r="A348" s="14">
        <v>44931</v>
      </c>
      <c r="B348" s="10">
        <v>842.1444702148438</v>
      </c>
      <c r="C348" s="10">
        <v>112.5754089355469</v>
      </c>
      <c r="D348" s="10">
        <v>703.4656372070312</v>
      </c>
      <c r="E348" s="10">
        <v>17992.150390625</v>
      </c>
      <c r="F348" s="10">
        <v>428.7000122070313</v>
      </c>
      <c r="I348" s="15">
        <f>LN(B348/B347)</f>
        <v>-0.0014542575982863257</v>
      </c>
      <c r="J348" s="15">
        <f>LN(C348/C347)</f>
        <v>0.018692015371216113</v>
      </c>
      <c r="K348" s="15">
        <f>LN(D348/D347)</f>
        <v>0.009157787788000126</v>
      </c>
      <c r="L348" s="15">
        <f>LN(E348/E347)</f>
        <v>-0.0028194100932680756</v>
      </c>
      <c r="M348" s="15">
        <f>LN(F348/F347)</f>
        <v>0.0023353583044924808</v>
      </c>
      <c r="O348" s="14">
        <v>44936</v>
      </c>
      <c r="P348" s="15">
        <f>I351</f>
        <v>-0.008174191469397145</v>
      </c>
      <c r="Q348" s="15">
        <f>J351</f>
        <v>-0.03384196179315264</v>
      </c>
      <c r="R348" s="15">
        <f>K351</f>
        <v>-0.003415939297611417</v>
      </c>
      <c r="S348" s="15">
        <f>L351</f>
        <v>-0.010387266093937284</v>
      </c>
      <c r="T348" s="15">
        <f>M351</f>
        <v>-0.0077320401306179174</v>
      </c>
    </row>
    <row r="349" spans="1:20">
      <c r="A349" s="14">
        <v>44932</v>
      </c>
      <c r="B349" s="10">
        <v>836.9483032226562</v>
      </c>
      <c r="C349" s="10">
        <v>115.6528625488281</v>
      </c>
      <c r="D349" s="10">
        <v>704.260986328125</v>
      </c>
      <c r="E349" s="10">
        <v>17859.44921875</v>
      </c>
      <c r="F349" s="10">
        <v>425.8500061035156</v>
      </c>
      <c r="I349" s="15">
        <f>LN(B349/B348)</f>
        <v>-0.006189275139405237</v>
      </c>
      <c r="J349" s="15">
        <f>LN(C349/C348)</f>
        <v>0.026969841456465207</v>
      </c>
      <c r="K349" s="15">
        <f>LN(D349/D348)</f>
        <v>0.0011299767901308529</v>
      </c>
      <c r="L349" s="15">
        <f>LN(E349/E348)</f>
        <v>-0.0074028372147649955</v>
      </c>
      <c r="M349" s="15">
        <f>LN(F349/F348)</f>
        <v>-0.006670216158823797</v>
      </c>
      <c r="O349" s="14">
        <v>44937</v>
      </c>
      <c r="P349" s="15">
        <f>I352</f>
        <v>-0.0030534073516538312</v>
      </c>
      <c r="Q349" s="15">
        <f>J352</f>
        <v>0.004460279902339445</v>
      </c>
      <c r="R349" s="15">
        <f>K352</f>
        <v>-0.001537376930087368</v>
      </c>
      <c r="S349" s="15">
        <f>L352</f>
        <v>-0.0010305082936186098</v>
      </c>
      <c r="T349" s="15">
        <f>M352</f>
        <v>-0.00047048980521414166</v>
      </c>
    </row>
    <row r="350" spans="1:20">
      <c r="A350" s="14">
        <v>44935</v>
      </c>
      <c r="B350" s="10">
        <v>843.0269775390625</v>
      </c>
      <c r="C350" s="10">
        <v>114.8586807250977</v>
      </c>
      <c r="D350" s="10">
        <v>714.302734375</v>
      </c>
      <c r="E350" s="10">
        <v>18101.19921875</v>
      </c>
      <c r="F350" s="10">
        <v>428.4500122070313</v>
      </c>
      <c r="I350" s="15">
        <f>LN(B350/B349)</f>
        <v>0.007236655103113139</v>
      </c>
      <c r="J350" s="15">
        <f>LN(C350/C349)</f>
        <v>-0.0068906307668021</v>
      </c>
      <c r="K350" s="15">
        <f>LN(D350/D349)</f>
        <v>0.014157863527300184</v>
      </c>
      <c r="L350" s="15">
        <f>LN(E350/E349)</f>
        <v>0.01344545509952314</v>
      </c>
      <c r="M350" s="15">
        <f>LN(F350/F349)</f>
        <v>0.006086887686634922</v>
      </c>
      <c r="O350" s="14">
        <v>44938</v>
      </c>
      <c r="P350" s="15">
        <f>I353</f>
        <v>-0.001412190039625167</v>
      </c>
      <c r="Q350" s="15">
        <f>J353</f>
        <v>-0.008042938339132031</v>
      </c>
      <c r="R350" s="15">
        <f>K353</f>
        <v>-0.010581830705030262</v>
      </c>
      <c r="S350" s="15">
        <f>L353</f>
        <v>-0.0020976741216788596</v>
      </c>
      <c r="T350" s="15">
        <f>M353</f>
        <v>0.00047048980521404934</v>
      </c>
    </row>
    <row r="351" spans="1:20">
      <c r="A351" s="14">
        <v>44936</v>
      </c>
      <c r="B351" s="10">
        <v>836.1640014648438</v>
      </c>
      <c r="C351" s="10">
        <v>111.0366744995117</v>
      </c>
      <c r="D351" s="10">
        <v>711.8668823242188</v>
      </c>
      <c r="E351" s="10">
        <v>17914.150390625</v>
      </c>
      <c r="F351" s="10">
        <v>425.1499938964844</v>
      </c>
      <c r="I351" s="15">
        <f>LN(B351/B350)</f>
        <v>-0.008174191469397145</v>
      </c>
      <c r="J351" s="15">
        <f>LN(C351/C350)</f>
        <v>-0.03384196179315264</v>
      </c>
      <c r="K351" s="15">
        <f>LN(D351/D350)</f>
        <v>-0.003415939297611417</v>
      </c>
      <c r="L351" s="15">
        <f>LN(E351/E350)</f>
        <v>-0.010387266093937284</v>
      </c>
      <c r="M351" s="15">
        <f>LN(F351/F350)</f>
        <v>-0.0077320401306179174</v>
      </c>
      <c r="O351" s="14">
        <v>44939</v>
      </c>
      <c r="P351" s="15">
        <f>I354</f>
        <v>0.001823807104244531</v>
      </c>
      <c r="Q351" s="15">
        <f>J354</f>
        <v>0.02874400362166991</v>
      </c>
      <c r="R351" s="15">
        <f>K354</f>
        <v>0.01581358053492763</v>
      </c>
      <c r="S351" s="15">
        <f>L354</f>
        <v>0.0054949708747303715</v>
      </c>
      <c r="T351" s="15">
        <f>M354</f>
        <v>0.002935825061918518</v>
      </c>
    </row>
    <row r="352" spans="1:20">
      <c r="A352" s="14">
        <v>44937</v>
      </c>
      <c r="B352" s="10">
        <v>833.61474609375</v>
      </c>
      <c r="C352" s="10">
        <v>111.5330352783203</v>
      </c>
      <c r="D352" s="10">
        <v>710.7733154296875</v>
      </c>
      <c r="E352" s="10">
        <v>17895.69921875</v>
      </c>
      <c r="F352" s="10">
        <v>424.9500122070313</v>
      </c>
      <c r="I352" s="15">
        <f>LN(B352/B351)</f>
        <v>-0.0030534073516538312</v>
      </c>
      <c r="J352" s="15">
        <f>LN(C352/C351)</f>
        <v>0.004460279902339445</v>
      </c>
      <c r="K352" s="15">
        <f>LN(D352/D351)</f>
        <v>-0.001537376930087368</v>
      </c>
      <c r="L352" s="15">
        <f>LN(E352/E351)</f>
        <v>-0.0010305082936186098</v>
      </c>
      <c r="M352" s="15">
        <f>LN(F352/F351)</f>
        <v>-0.00047048980521414166</v>
      </c>
      <c r="O352" s="14">
        <v>44942</v>
      </c>
      <c r="P352" s="15">
        <f>I355</f>
        <v>-0.011826174443744928</v>
      </c>
      <c r="Q352" s="15">
        <f>J355</f>
        <v>0.002177245434926282</v>
      </c>
      <c r="R352" s="15">
        <f>K355</f>
        <v>0.00941760794692661</v>
      </c>
      <c r="S352" s="15">
        <f>L355</f>
        <v>-0.0034447734977776498</v>
      </c>
      <c r="T352" s="15">
        <f>M355</f>
        <v>-0.0014081347466574344</v>
      </c>
    </row>
    <row r="353" spans="1:20">
      <c r="A353" s="14">
        <v>44938</v>
      </c>
      <c r="B353" s="10">
        <v>832.4383544921875</v>
      </c>
      <c r="C353" s="10">
        <v>110.6395797729492</v>
      </c>
      <c r="D353" s="10">
        <v>703.2916870117188</v>
      </c>
      <c r="E353" s="10">
        <v>17858.19921875</v>
      </c>
      <c r="F353" s="10">
        <v>425.1499938964844</v>
      </c>
      <c r="I353" s="15">
        <f>LN(B353/B352)</f>
        <v>-0.001412190039625167</v>
      </c>
      <c r="J353" s="15">
        <f>LN(C353/C352)</f>
        <v>-0.008042938339132031</v>
      </c>
      <c r="K353" s="15">
        <f>LN(D353/D352)</f>
        <v>-0.010581830705030262</v>
      </c>
      <c r="L353" s="15">
        <f>LN(E353/E352)</f>
        <v>-0.0020976741216788596</v>
      </c>
      <c r="M353" s="15">
        <f>LN(F353/F352)</f>
        <v>0.00047048980521404934</v>
      </c>
      <c r="O353" s="14">
        <v>44943</v>
      </c>
      <c r="P353" s="15">
        <f>I356</f>
        <v>0.012061297694452385</v>
      </c>
      <c r="Q353" s="15">
        <f>J356</f>
        <v>0.03965559654030054</v>
      </c>
      <c r="R353" s="15">
        <f>K356</f>
        <v>-0.014055046161751726</v>
      </c>
      <c r="S353" s="15">
        <f>L356</f>
        <v>0.008815596703469526</v>
      </c>
      <c r="T353" s="15">
        <f>M356</f>
        <v>0.011674193155589525</v>
      </c>
    </row>
    <row r="354" spans="1:20">
      <c r="A354" s="14">
        <v>44939</v>
      </c>
      <c r="B354" s="10">
        <v>833.9579467773438</v>
      </c>
      <c r="C354" s="10">
        <v>113.8659515380859</v>
      </c>
      <c r="D354" s="10">
        <v>714.5016479492188</v>
      </c>
      <c r="E354" s="10">
        <v>17956.599609375</v>
      </c>
      <c r="F354" s="10">
        <v>426.3999938964844</v>
      </c>
      <c r="I354" s="15">
        <f>LN(B354/B353)</f>
        <v>0.001823807104244531</v>
      </c>
      <c r="J354" s="15">
        <f>LN(C354/C353)</f>
        <v>0.02874400362166991</v>
      </c>
      <c r="K354" s="15">
        <f>LN(D354/D353)</f>
        <v>0.01581358053492763</v>
      </c>
      <c r="L354" s="15">
        <f>LN(E354/E353)</f>
        <v>0.0054949708747303715</v>
      </c>
      <c r="M354" s="15">
        <f>LN(F354/F353)</f>
        <v>0.002935825061918518</v>
      </c>
      <c r="O354" s="14">
        <v>44944</v>
      </c>
      <c r="P354" s="15">
        <f>I357</f>
        <v>-0.0010583803830984653</v>
      </c>
      <c r="Q354" s="15">
        <f>J357</f>
        <v>0.0033389293249195813</v>
      </c>
      <c r="R354" s="15">
        <f>K357</f>
        <v>-0.016136382950317572</v>
      </c>
      <c r="S354" s="15">
        <f>L357</f>
        <v>0.00618737497867869</v>
      </c>
      <c r="T354" s="15">
        <f>M357</f>
        <v>0.0003481854727665869</v>
      </c>
    </row>
    <row r="355" spans="1:20">
      <c r="A355" s="14">
        <v>44942</v>
      </c>
      <c r="B355" s="10">
        <v>824.1535034179688</v>
      </c>
      <c r="C355" s="10">
        <v>114.1141357421875</v>
      </c>
      <c r="D355" s="10">
        <v>721.2623291015625</v>
      </c>
      <c r="E355" s="10">
        <v>17894.849609375</v>
      </c>
      <c r="F355" s="10">
        <v>425.7999877929687</v>
      </c>
      <c r="I355" s="15">
        <f>LN(B355/B354)</f>
        <v>-0.011826174443744928</v>
      </c>
      <c r="J355" s="15">
        <f>LN(C355/C354)</f>
        <v>0.002177245434926282</v>
      </c>
      <c r="K355" s="15">
        <f>LN(D355/D354)</f>
        <v>0.00941760794692661</v>
      </c>
      <c r="L355" s="15">
        <f>LN(E355/E354)</f>
        <v>-0.0034447734977776498</v>
      </c>
      <c r="M355" s="15">
        <f>LN(F355/F354)</f>
        <v>-0.0014081347466574344</v>
      </c>
      <c r="O355" s="14">
        <v>44945</v>
      </c>
      <c r="P355" s="15">
        <f>I358</f>
        <v>-0.00969509405088624</v>
      </c>
      <c r="Q355" s="15">
        <f>J358</f>
        <v>0.015709235335312058</v>
      </c>
      <c r="R355" s="15">
        <f>K358</f>
        <v>-0.00505614358621835</v>
      </c>
      <c r="S355" s="15">
        <f>L358</f>
        <v>-0.0031703874707042848</v>
      </c>
      <c r="T355" s="15">
        <f>M358</f>
        <v>-0.0009286696292790063</v>
      </c>
    </row>
    <row r="356" spans="1:20">
      <c r="A356" s="14">
        <v>44943</v>
      </c>
      <c r="B356" s="10">
        <v>834.154052734375</v>
      </c>
      <c r="C356" s="10">
        <v>118.7303237915039</v>
      </c>
      <c r="D356" s="10">
        <v>711.1958618164062</v>
      </c>
      <c r="E356" s="10">
        <v>18053.30078125</v>
      </c>
      <c r="F356" s="10">
        <v>430.7999877929687</v>
      </c>
      <c r="I356" s="15">
        <f>LN(B356/B355)</f>
        <v>0.012061297694452385</v>
      </c>
      <c r="J356" s="15">
        <f>LN(C356/C355)</f>
        <v>0.03965559654030054</v>
      </c>
      <c r="K356" s="15">
        <f>LN(D356/D355)</f>
        <v>-0.014055046161751726</v>
      </c>
      <c r="L356" s="15">
        <f>LN(E356/E355)</f>
        <v>0.008815596703469526</v>
      </c>
      <c r="M356" s="15">
        <f>LN(F356/F355)</f>
        <v>0.011674193155589525</v>
      </c>
      <c r="O356" s="14">
        <v>44946</v>
      </c>
      <c r="P356" s="15">
        <f>I359</f>
        <v>-0.012132229280504189</v>
      </c>
      <c r="Q356" s="15">
        <f>J359</f>
        <v>-0.009478760766747328</v>
      </c>
      <c r="R356" s="15">
        <f>K359</f>
        <v>-0.003970391913900198</v>
      </c>
      <c r="S356" s="15">
        <f>L359</f>
        <v>-0.004438812272184146</v>
      </c>
      <c r="T356" s="15">
        <f>M359</f>
        <v>-0.0072260817599516984</v>
      </c>
    </row>
    <row r="357" spans="1:20">
      <c r="A357" s="14">
        <v>44944</v>
      </c>
      <c r="B357" s="10">
        <v>833.2716674804688</v>
      </c>
      <c r="C357" s="10">
        <v>119.1274185180664</v>
      </c>
      <c r="D357" s="10">
        <v>699.8118286132812</v>
      </c>
      <c r="E357" s="10">
        <v>18165.349609375</v>
      </c>
      <c r="F357" s="10">
        <v>430.9500122070313</v>
      </c>
      <c r="I357" s="15">
        <f>LN(B357/B356)</f>
        <v>-0.0010583803830984653</v>
      </c>
      <c r="J357" s="15">
        <f>LN(C357/C356)</f>
        <v>0.0033389293249195813</v>
      </c>
      <c r="K357" s="15">
        <f>LN(D357/D356)</f>
        <v>-0.016136382950317572</v>
      </c>
      <c r="L357" s="15">
        <f>LN(E357/E356)</f>
        <v>0.00618737497867869</v>
      </c>
      <c r="M357" s="15">
        <f>LN(F357/F356)</f>
        <v>0.0003481854727665869</v>
      </c>
      <c r="O357" s="14">
        <v>44949</v>
      </c>
      <c r="P357" s="15">
        <f>I360</f>
        <v>-0.0030109161062656063</v>
      </c>
      <c r="Q357" s="15">
        <f>J360</f>
        <v>-0.020075933421283297</v>
      </c>
      <c r="R357" s="15">
        <f>K360</f>
        <v>0.0032204542493255005</v>
      </c>
      <c r="S357" s="15">
        <f>L360</f>
        <v>0.005029606393094338</v>
      </c>
      <c r="T357" s="15">
        <f>M360</f>
        <v>-0.006336590478000192</v>
      </c>
    </row>
    <row r="358" spans="1:20">
      <c r="A358" s="14">
        <v>44945</v>
      </c>
      <c r="B358" s="10">
        <v>825.2320556640625</v>
      </c>
      <c r="C358" s="10">
        <v>121.0135955810547</v>
      </c>
      <c r="D358" s="10">
        <v>696.2824096679688</v>
      </c>
      <c r="E358" s="10">
        <v>18107.849609375</v>
      </c>
      <c r="F358" s="10">
        <v>430.5499877929687</v>
      </c>
      <c r="I358" s="15">
        <f>LN(B358/B357)</f>
        <v>-0.00969509405088624</v>
      </c>
      <c r="J358" s="15">
        <f>LN(C358/C357)</f>
        <v>0.015709235335312058</v>
      </c>
      <c r="K358" s="15">
        <f>LN(D358/D357)</f>
        <v>-0.00505614358621835</v>
      </c>
      <c r="L358" s="15">
        <f>LN(E358/E357)</f>
        <v>-0.0031703874707042848</v>
      </c>
      <c r="M358" s="15">
        <f>LN(F358/F357)</f>
        <v>-0.0009286696292790063</v>
      </c>
      <c r="O358" s="14">
        <v>44950</v>
      </c>
      <c r="P358" s="15">
        <f>I361</f>
        <v>-0.002959682132738419</v>
      </c>
      <c r="Q358" s="15">
        <f>J361</f>
        <v>-0.008059431414590411</v>
      </c>
      <c r="R358" s="15">
        <f>K361</f>
        <v>-0.02152170013722342</v>
      </c>
      <c r="S358" s="15">
        <f>L361</f>
        <v>-1.379810823647804e-05</v>
      </c>
      <c r="T358" s="15">
        <f>M361</f>
        <v>-0.010175165239881658</v>
      </c>
    </row>
    <row r="359" spans="1:20">
      <c r="A359" s="14">
        <v>44946</v>
      </c>
      <c r="B359" s="10">
        <v>815.2806396484375</v>
      </c>
      <c r="C359" s="10">
        <v>119.871955871582</v>
      </c>
      <c r="D359" s="10">
        <v>693.5233764648438</v>
      </c>
      <c r="E359" s="10">
        <v>18027.650390625</v>
      </c>
      <c r="F359" s="10">
        <v>427.4500122070313</v>
      </c>
      <c r="I359" s="15">
        <f>LN(B359/B358)</f>
        <v>-0.012132229280504189</v>
      </c>
      <c r="J359" s="15">
        <f>LN(C359/C358)</f>
        <v>-0.009478760766747328</v>
      </c>
      <c r="K359" s="15">
        <f>LN(D359/D358)</f>
        <v>-0.003970391913900198</v>
      </c>
      <c r="L359" s="15">
        <f>LN(E359/E358)</f>
        <v>-0.004438812272184146</v>
      </c>
      <c r="M359" s="15">
        <f>LN(F359/F358)</f>
        <v>-0.0072260817599516984</v>
      </c>
      <c r="O359" s="14">
        <v>44951</v>
      </c>
      <c r="P359" s="15">
        <f>I362</f>
        <v>-0.0223875460563336</v>
      </c>
      <c r="Q359" s="15">
        <f>J362</f>
        <v>-0.03422465147834348</v>
      </c>
      <c r="R359" s="15">
        <f>K362</f>
        <v>0.0012037610965998128</v>
      </c>
      <c r="S359" s="15">
        <f>L362</f>
        <v>-0.012571672991636754</v>
      </c>
      <c r="T359" s="15">
        <f>M362</f>
        <v>-0.018483512511922345</v>
      </c>
    </row>
    <row r="360" spans="1:20">
      <c r="A360" s="14">
        <v>44949</v>
      </c>
      <c r="B360" s="10">
        <v>812.82958984375</v>
      </c>
      <c r="C360" s="10">
        <v>117.4894104003906</v>
      </c>
      <c r="D360" s="10">
        <v>695.7604370117188</v>
      </c>
      <c r="E360" s="10">
        <v>18118.55078125</v>
      </c>
      <c r="F360" s="10">
        <v>424.75</v>
      </c>
      <c r="I360" s="15">
        <f>LN(B360/B359)</f>
        <v>-0.0030109161062656063</v>
      </c>
      <c r="J360" s="15">
        <f>LN(C360/C359)</f>
        <v>-0.020075933421283297</v>
      </c>
      <c r="K360" s="15">
        <f>LN(D360/D359)</f>
        <v>0.0032204542493255005</v>
      </c>
      <c r="L360" s="15">
        <f>LN(E360/E359)</f>
        <v>0.005029606393094338</v>
      </c>
      <c r="M360" s="15">
        <f>LN(F360/F359)</f>
        <v>-0.006336590478000192</v>
      </c>
      <c r="O360" s="14">
        <v>44953</v>
      </c>
      <c r="P360" s="15">
        <f>I363</f>
        <v>-0.007512853558484747</v>
      </c>
      <c r="Q360" s="15">
        <f>J363</f>
        <v>-0.06040423205417563</v>
      </c>
      <c r="R360" s="15">
        <f>K363</f>
        <v>-0.010850172611430876</v>
      </c>
      <c r="S360" s="15">
        <f>L363</f>
        <v>-0.016204838949638832</v>
      </c>
      <c r="T360" s="15">
        <f>M363</f>
        <v>-0.01267848821200132</v>
      </c>
    </row>
    <row r="361" spans="1:20">
      <c r="A361" s="14">
        <v>44950</v>
      </c>
      <c r="B361" s="10">
        <v>810.4274291992188</v>
      </c>
      <c r="C361" s="10">
        <v>116.5463180541992</v>
      </c>
      <c r="D361" s="10">
        <v>680.9464721679688</v>
      </c>
      <c r="E361" s="10">
        <v>18118.30078125</v>
      </c>
      <c r="F361" s="10">
        <v>420.4500122070313</v>
      </c>
      <c r="I361" s="15">
        <f>LN(B361/B360)</f>
        <v>-0.002959682132738419</v>
      </c>
      <c r="J361" s="15">
        <f>LN(C361/C360)</f>
        <v>-0.008059431414590411</v>
      </c>
      <c r="K361" s="15">
        <f>LN(D361/D360)</f>
        <v>-0.02152170013722342</v>
      </c>
      <c r="L361" s="15">
        <f>LN(E361/E360)</f>
        <v>-1.379810823647804e-05</v>
      </c>
      <c r="M361" s="15">
        <f>LN(F361/F360)</f>
        <v>-0.010175165239881658</v>
      </c>
      <c r="O361" s="14">
        <v>44956</v>
      </c>
      <c r="P361" s="15">
        <f>I364</f>
        <v>0.0016810698420003985</v>
      </c>
      <c r="Q361" s="15">
        <f>J364</f>
        <v>0.006532832414254022</v>
      </c>
      <c r="R361" s="15">
        <f>K364</f>
        <v>0.00855067755678122</v>
      </c>
      <c r="S361" s="15">
        <f>L364</f>
        <v>0.002530238851503625</v>
      </c>
      <c r="T361" s="15">
        <f>M364</f>
        <v>-0.001350409145641073</v>
      </c>
    </row>
    <row r="362" spans="1:20">
      <c r="A362" s="14">
        <v>44951</v>
      </c>
      <c r="B362" s="10">
        <v>792.4855346679688</v>
      </c>
      <c r="C362" s="10">
        <v>112.6250457763672</v>
      </c>
      <c r="D362" s="10">
        <v>681.7666625976562</v>
      </c>
      <c r="E362" s="10">
        <v>17891.94921875</v>
      </c>
      <c r="F362" s="10">
        <v>412.75</v>
      </c>
      <c r="I362" s="15">
        <f>LN(B362/B361)</f>
        <v>-0.0223875460563336</v>
      </c>
      <c r="J362" s="15">
        <f>LN(C362/C361)</f>
        <v>-0.03422465147834348</v>
      </c>
      <c r="K362" s="15">
        <f>LN(D362/D361)</f>
        <v>0.0012037610965998128</v>
      </c>
      <c r="L362" s="15">
        <f>LN(E362/E361)</f>
        <v>-0.012571672991636754</v>
      </c>
      <c r="M362" s="15">
        <f>LN(F362/F361)</f>
        <v>-0.018483512511922345</v>
      </c>
      <c r="O362" s="14">
        <v>44957</v>
      </c>
      <c r="P362" s="15">
        <f>I365</f>
        <v>0.02136082048864801</v>
      </c>
      <c r="Q362" s="15">
        <f>J365</f>
        <v>0.03608516646375785</v>
      </c>
      <c r="R362" s="15">
        <f>K365</f>
        <v>0.00025570092067834274</v>
      </c>
      <c r="S362" s="15">
        <f>L365</f>
        <v>0.0007477066778470427</v>
      </c>
      <c r="T362" s="15">
        <f>M365</f>
        <v>0.01111730431494394</v>
      </c>
    </row>
    <row r="363" spans="1:20">
      <c r="A363" s="14">
        <v>44953</v>
      </c>
      <c r="B363" s="10">
        <v>786.5540161132812</v>
      </c>
      <c r="C363" s="10">
        <v>106.0234069824219</v>
      </c>
      <c r="D363" s="10">
        <v>674.4093627929688</v>
      </c>
      <c r="E363" s="10">
        <v>17604.349609375</v>
      </c>
      <c r="F363" s="10">
        <v>407.5499877929687</v>
      </c>
      <c r="I363" s="15">
        <f>LN(B363/B362)</f>
        <v>-0.007512853558484747</v>
      </c>
      <c r="J363" s="15">
        <f>LN(C363/C362)</f>
        <v>-0.06040423205417563</v>
      </c>
      <c r="K363" s="15">
        <f>LN(D363/D362)</f>
        <v>-0.010850172611430876</v>
      </c>
      <c r="L363" s="15">
        <f>LN(E363/E362)</f>
        <v>-0.016204838949638832</v>
      </c>
      <c r="M363" s="15">
        <f>LN(F363/F362)</f>
        <v>-0.01267848821200132</v>
      </c>
      <c r="O363" s="14">
        <v>44958</v>
      </c>
      <c r="P363" s="15">
        <f>I366</f>
        <v>0.004799914079780892</v>
      </c>
      <c r="Q363" s="15">
        <f>J366</f>
        <v>-0.07836162351435666</v>
      </c>
      <c r="R363" s="15">
        <f>K366</f>
        <v>-0.00029231187678023</v>
      </c>
      <c r="S363" s="15">
        <f>L366</f>
        <v>-0.0025992997802722563</v>
      </c>
      <c r="T363" s="15">
        <f>M366</f>
        <v>-0.00939884999112171</v>
      </c>
    </row>
    <row r="364" spans="1:20">
      <c r="A364" s="14">
        <v>44956</v>
      </c>
      <c r="B364" s="10">
        <v>787.8773803710938</v>
      </c>
      <c r="C364" s="10">
        <v>106.7183074951172</v>
      </c>
      <c r="D364" s="10">
        <v>680.2007446289062</v>
      </c>
      <c r="E364" s="10">
        <v>17648.94921875</v>
      </c>
      <c r="F364" s="10">
        <v>407</v>
      </c>
      <c r="I364" s="15">
        <f>LN(B364/B363)</f>
        <v>0.0016810698420003985</v>
      </c>
      <c r="J364" s="15">
        <f>LN(C364/C363)</f>
        <v>0.006532832414254022</v>
      </c>
      <c r="K364" s="15">
        <f>LN(D364/D363)</f>
        <v>0.00855067755678122</v>
      </c>
      <c r="L364" s="15">
        <f>LN(E364/E363)</f>
        <v>0.002530238851503625</v>
      </c>
      <c r="M364" s="15">
        <f>LN(F364/F363)</f>
        <v>-0.001350409145641073</v>
      </c>
      <c r="O364" s="14">
        <v>44959</v>
      </c>
      <c r="P364" s="15">
        <f>I367</f>
        <v>0.024429478019694126</v>
      </c>
      <c r="Q364" s="15">
        <f>J367</f>
        <v>0.0004850131952677947</v>
      </c>
      <c r="R364" s="15">
        <f>K367</f>
        <v>-0.0009505592343207622</v>
      </c>
      <c r="S364" s="15">
        <f>L367</f>
        <v>-0.00033499535771969267</v>
      </c>
      <c r="T364" s="15">
        <f>M367</f>
        <v>0.003794576484826978</v>
      </c>
    </row>
    <row r="365" spans="1:20">
      <c r="A365" s="14">
        <v>44957</v>
      </c>
      <c r="B365" s="10">
        <v>804.8881225585938</v>
      </c>
      <c r="C365" s="10">
        <v>110.6395797729492</v>
      </c>
      <c r="D365" s="10">
        <v>680.3746948242188</v>
      </c>
      <c r="E365" s="10">
        <v>17662.150390625</v>
      </c>
      <c r="F365" s="10">
        <v>411.5499877929687</v>
      </c>
      <c r="I365" s="15">
        <f>LN(B365/B364)</f>
        <v>0.02136082048864801</v>
      </c>
      <c r="J365" s="15">
        <f>LN(C365/C364)</f>
        <v>0.03608516646375785</v>
      </c>
      <c r="K365" s="15">
        <f>LN(D365/D364)</f>
        <v>0.00025570092067834274</v>
      </c>
      <c r="L365" s="15">
        <f>LN(E365/E364)</f>
        <v>0.0007477066778470427</v>
      </c>
      <c r="M365" s="15">
        <f>LN(F365/F364)</f>
        <v>0.01111730431494394</v>
      </c>
      <c r="O365" s="14">
        <v>44960</v>
      </c>
      <c r="P365" s="15">
        <f>I368</f>
        <v>-0.019049558842708453</v>
      </c>
      <c r="Q365" s="15">
        <f>J368</f>
        <v>-0.0265371806469953</v>
      </c>
      <c r="R365" s="15">
        <f>K368</f>
        <v>0.0169376582627051</v>
      </c>
      <c r="S365" s="15">
        <f>L368</f>
        <v>0.013740758205234283</v>
      </c>
      <c r="T365" s="15">
        <f>M368</f>
        <v>-0.008219407443385717</v>
      </c>
    </row>
    <row r="366" spans="1:20">
      <c r="A366" s="14">
        <v>44958</v>
      </c>
      <c r="B366" s="10">
        <v>808.7608032226562</v>
      </c>
      <c r="C366" s="10">
        <v>102.3006744384766</v>
      </c>
      <c r="D366" s="10">
        <v>680.1758422851562</v>
      </c>
      <c r="E366" s="10">
        <v>17616.30078125</v>
      </c>
      <c r="F366" s="10">
        <v>407.7000122070313</v>
      </c>
      <c r="I366" s="15">
        <f>LN(B366/B365)</f>
        <v>0.004799914079780892</v>
      </c>
      <c r="J366" s="15">
        <f>LN(C366/C365)</f>
        <v>-0.07836162351435666</v>
      </c>
      <c r="K366" s="15">
        <f>LN(D366/D365)</f>
        <v>-0.00029231187678023</v>
      </c>
      <c r="L366" s="15">
        <f>LN(E366/E365)</f>
        <v>-0.0025992997802722563</v>
      </c>
      <c r="M366" s="15">
        <f>LN(F366/F365)</f>
        <v>-0.00939884999112171</v>
      </c>
      <c r="O366" s="14">
        <v>44963</v>
      </c>
      <c r="P366" s="15">
        <f>I369</f>
        <v>-0.009692967626154647</v>
      </c>
      <c r="Q366" s="15">
        <f>J369</f>
        <v>0.036189772334011175</v>
      </c>
      <c r="R366" s="15">
        <f>K369</f>
        <v>0.014389255964823445</v>
      </c>
      <c r="S366" s="15">
        <f>L369</f>
        <v>-0.005022725956678951</v>
      </c>
      <c r="T366" s="15">
        <f>M369</f>
        <v>0.005160365596303091</v>
      </c>
    </row>
    <row r="367" spans="1:20">
      <c r="A367" s="14">
        <v>44959</v>
      </c>
      <c r="B367" s="10">
        <v>828.76171875</v>
      </c>
      <c r="C367" s="10">
        <v>102.3503036499023</v>
      </c>
      <c r="D367" s="10">
        <v>679.5296020507812</v>
      </c>
      <c r="E367" s="10">
        <v>17610.400390625</v>
      </c>
      <c r="F367" s="10">
        <v>409.25</v>
      </c>
      <c r="I367" s="15">
        <f>LN(B367/B366)</f>
        <v>0.024429478019694126</v>
      </c>
      <c r="J367" s="15">
        <f>LN(C367/C366)</f>
        <v>0.0004850131952677947</v>
      </c>
      <c r="K367" s="15">
        <f>LN(D367/D366)</f>
        <v>-0.0009505592343207622</v>
      </c>
      <c r="L367" s="15">
        <f>LN(E367/E366)</f>
        <v>-0.00033499535771969267</v>
      </c>
      <c r="M367" s="15">
        <f>LN(F367/F366)</f>
        <v>0.003794576484826978</v>
      </c>
      <c r="O367" s="14">
        <v>44964</v>
      </c>
      <c r="P367" s="15">
        <f>I370</f>
        <v>0.009150268051927509</v>
      </c>
      <c r="Q367" s="15">
        <f>J370</f>
        <v>-0.002404445559165492</v>
      </c>
      <c r="R367" s="15">
        <f>K370</f>
        <v>0.023335015606029283</v>
      </c>
      <c r="S367" s="15">
        <f>L370</f>
        <v>-0.0024290993398515346</v>
      </c>
      <c r="T367" s="15">
        <f>M370</f>
        <v>0.00878484438448786</v>
      </c>
    </row>
    <row r="368" spans="1:20">
      <c r="A368" s="14">
        <v>44960</v>
      </c>
      <c r="B368" s="10">
        <v>813.1235961914062</v>
      </c>
      <c r="C368" s="10">
        <v>99.66993713378906</v>
      </c>
      <c r="D368" s="10">
        <v>691.1372680664062</v>
      </c>
      <c r="E368" s="10">
        <v>17854.05078125</v>
      </c>
      <c r="F368" s="10">
        <v>405.8999938964844</v>
      </c>
      <c r="I368" s="15">
        <f>LN(B368/B367)</f>
        <v>-0.019049558842708453</v>
      </c>
      <c r="J368" s="15">
        <f>LN(C368/C367)</f>
        <v>-0.0265371806469953</v>
      </c>
      <c r="K368" s="15">
        <f>LN(D368/D367)</f>
        <v>0.0169376582627051</v>
      </c>
      <c r="L368" s="15">
        <f>LN(E368/E367)</f>
        <v>0.013740758205234283</v>
      </c>
      <c r="M368" s="15">
        <f>LN(F368/F367)</f>
        <v>-0.008219407443385717</v>
      </c>
      <c r="O368" s="14">
        <v>44965</v>
      </c>
      <c r="P368" s="15">
        <f>I371</f>
        <v>0.012111201624416786</v>
      </c>
      <c r="Q368" s="15">
        <f>J371</f>
        <v>0.032214988303708184</v>
      </c>
      <c r="R368" s="15">
        <f>K371</f>
        <v>-0.03729287614920861</v>
      </c>
      <c r="S368" s="15">
        <f>L371</f>
        <v>0.00843982073038998</v>
      </c>
      <c r="T368" s="15">
        <f>M371</f>
        <v>0.00012144012883131549</v>
      </c>
    </row>
    <row r="369" spans="1:20">
      <c r="A369" s="14">
        <v>44963</v>
      </c>
      <c r="B369" s="10">
        <v>805.2800903320312</v>
      </c>
      <c r="C369" s="10">
        <v>103.3430328369141</v>
      </c>
      <c r="D369" s="10">
        <v>701.1541137695312</v>
      </c>
      <c r="E369" s="10">
        <v>17764.599609375</v>
      </c>
      <c r="F369" s="10">
        <v>408</v>
      </c>
      <c r="I369" s="15">
        <f>LN(B369/B368)</f>
        <v>-0.009692967626154647</v>
      </c>
      <c r="J369" s="15">
        <f>LN(C369/C368)</f>
        <v>0.036189772334011175</v>
      </c>
      <c r="K369" s="15">
        <f>LN(D369/D368)</f>
        <v>0.014389255964823445</v>
      </c>
      <c r="L369" s="15">
        <f>LN(E369/E368)</f>
        <v>-0.005022725956678951</v>
      </c>
      <c r="M369" s="15">
        <f>LN(F369/F368)</f>
        <v>0.005160365596303091</v>
      </c>
      <c r="O369" s="14">
        <v>44966</v>
      </c>
      <c r="P369" s="15">
        <f>I372</f>
        <v>0.0072443298688817685</v>
      </c>
      <c r="Q369" s="15">
        <f>J372</f>
        <v>0.0074315877498415716</v>
      </c>
      <c r="R369" s="15">
        <f>K372</f>
        <v>-0.018686678415440718</v>
      </c>
      <c r="S369" s="15">
        <f>L372</f>
        <v>0.0012162679944837883</v>
      </c>
      <c r="T369" s="15">
        <f>M372</f>
        <v>-0.005847242666236614</v>
      </c>
    </row>
    <row r="370" spans="1:20">
      <c r="A370" s="14">
        <v>44964</v>
      </c>
      <c r="B370" s="10">
        <v>812.6824340820312</v>
      </c>
      <c r="C370" s="10">
        <v>103.0948486328125</v>
      </c>
      <c r="D370" s="10">
        <v>717.7079467773438</v>
      </c>
      <c r="E370" s="10">
        <v>17721.5</v>
      </c>
      <c r="F370" s="10">
        <v>411.6000061035156</v>
      </c>
      <c r="I370" s="15">
        <f>LN(B370/B369)</f>
        <v>0.009150268051927509</v>
      </c>
      <c r="J370" s="15">
        <f>LN(C370/C369)</f>
        <v>-0.002404445559165492</v>
      </c>
      <c r="K370" s="15">
        <f>LN(D370/D369)</f>
        <v>0.023335015606029283</v>
      </c>
      <c r="L370" s="15">
        <f>LN(E370/E369)</f>
        <v>-0.0024290993398515346</v>
      </c>
      <c r="M370" s="15">
        <f>LN(F370/F369)</f>
        <v>0.00878484438448786</v>
      </c>
      <c r="O370" s="14">
        <v>44967</v>
      </c>
      <c r="P370" s="15">
        <f>I373</f>
        <v>0.016313893508620645</v>
      </c>
      <c r="Q370" s="15">
        <f>J373</f>
        <v>-0.007897900865108566</v>
      </c>
      <c r="R370" s="15">
        <f>K373</f>
        <v>0.013966361700049069</v>
      </c>
      <c r="S370" s="15">
        <f>L373</f>
        <v>-0.00206709283308457</v>
      </c>
      <c r="T370" s="15">
        <f>M373</f>
        <v>0.013470230675411796</v>
      </c>
    </row>
    <row r="371" spans="1:20">
      <c r="A371" s="14">
        <v>44965</v>
      </c>
      <c r="B371" s="10">
        <v>822.5848388671875</v>
      </c>
      <c r="C371" s="10">
        <v>106.4701232910156</v>
      </c>
      <c r="D371" s="10">
        <v>691.4354858398438</v>
      </c>
      <c r="E371" s="10">
        <v>17871.69921875</v>
      </c>
      <c r="F371" s="10">
        <v>411.6499938964844</v>
      </c>
      <c r="I371" s="15">
        <f>LN(B371/B370)</f>
        <v>0.012111201624416786</v>
      </c>
      <c r="J371" s="15">
        <f>LN(C371/C370)</f>
        <v>0.032214988303708184</v>
      </c>
      <c r="K371" s="15">
        <f>LN(D371/D370)</f>
        <v>-0.03729287614920861</v>
      </c>
      <c r="L371" s="15">
        <f>LN(E371/E370)</f>
        <v>0.00843982073038998</v>
      </c>
      <c r="M371" s="15">
        <f>LN(F371/F370)</f>
        <v>0.00012144012883131549</v>
      </c>
      <c r="O371" s="14">
        <v>44970</v>
      </c>
      <c r="P371" s="15">
        <f>I374</f>
        <v>-0.001805956446101272</v>
      </c>
      <c r="Q371" s="15">
        <f>J374</f>
        <v>-0.03271200045626846</v>
      </c>
      <c r="R371" s="15">
        <f>K374</f>
        <v>-0.027202257711033625</v>
      </c>
      <c r="S371" s="15">
        <f>L374</f>
        <v>-0.0048052775756446476</v>
      </c>
      <c r="T371" s="15">
        <f>M374</f>
        <v>-0.016896972214967748</v>
      </c>
    </row>
    <row r="372" spans="1:20">
      <c r="A372" s="14">
        <v>44966</v>
      </c>
      <c r="B372" s="10">
        <v>828.5655517578125</v>
      </c>
      <c r="C372" s="10">
        <v>107.2643127441406</v>
      </c>
      <c r="D372" s="10">
        <v>678.6348266601562</v>
      </c>
      <c r="E372" s="10">
        <v>17893.44921875</v>
      </c>
      <c r="F372" s="10">
        <v>409.25</v>
      </c>
      <c r="I372" s="15">
        <f>LN(B372/B371)</f>
        <v>0.0072443298688817685</v>
      </c>
      <c r="J372" s="15">
        <f>LN(C372/C371)</f>
        <v>0.0074315877498415716</v>
      </c>
      <c r="K372" s="15">
        <f>LN(D372/D371)</f>
        <v>-0.018686678415440718</v>
      </c>
      <c r="L372" s="15">
        <f>LN(E372/E371)</f>
        <v>0.0012162679944837883</v>
      </c>
      <c r="M372" s="15">
        <f>LN(F372/F371)</f>
        <v>-0.005847242666236614</v>
      </c>
      <c r="O372" s="14">
        <v>44971</v>
      </c>
      <c r="P372" s="15">
        <f>I375</f>
        <v>-0.002159936525718798</v>
      </c>
      <c r="Q372" s="15">
        <f>J375</f>
        <v>0.004807667994555779</v>
      </c>
      <c r="R372" s="15">
        <f>K375</f>
        <v>-0.03385810252277793</v>
      </c>
      <c r="S372" s="15">
        <f>L375</f>
        <v>0.008904589905162998</v>
      </c>
      <c r="T372" s="15">
        <f>M375</f>
        <v>-0.018560294947596277</v>
      </c>
    </row>
    <row r="373" spans="1:20">
      <c r="A373" s="14">
        <v>44967</v>
      </c>
      <c r="B373" s="10">
        <v>842.1935424804688</v>
      </c>
      <c r="C373" s="10">
        <v>106.4204864501953</v>
      </c>
      <c r="D373" s="10">
        <v>688.1793823242188</v>
      </c>
      <c r="E373" s="10">
        <v>17856.5</v>
      </c>
      <c r="F373" s="10">
        <v>414.7999877929687</v>
      </c>
      <c r="I373" s="15">
        <f>LN(B373/B372)</f>
        <v>0.016313893508620645</v>
      </c>
      <c r="J373" s="15">
        <f>LN(C373/C372)</f>
        <v>-0.007897900865108566</v>
      </c>
      <c r="K373" s="15">
        <f>LN(D373/D372)</f>
        <v>0.013966361700049069</v>
      </c>
      <c r="L373" s="15">
        <f>LN(E373/E372)</f>
        <v>-0.00206709283308457</v>
      </c>
      <c r="M373" s="15">
        <f>LN(F373/F372)</f>
        <v>0.013470230675411796</v>
      </c>
      <c r="O373" s="14">
        <v>44972</v>
      </c>
      <c r="P373" s="15">
        <f>I376</f>
        <v>0.009769867791310042</v>
      </c>
      <c r="Q373" s="15">
        <f>J376</f>
        <v>0.01994370238659783</v>
      </c>
      <c r="R373" s="15">
        <f>K376</f>
        <v>0.008639175054382511</v>
      </c>
      <c r="S373" s="15">
        <f>L376</f>
        <v>0.004785004379327248</v>
      </c>
      <c r="T373" s="15">
        <f>M376</f>
        <v>0.012904960652319681</v>
      </c>
    </row>
    <row r="374" spans="1:20">
      <c r="A374" s="14">
        <v>44970</v>
      </c>
      <c r="B374" s="10">
        <v>840.6739501953125</v>
      </c>
      <c r="C374" s="10">
        <v>102.9955825805664</v>
      </c>
      <c r="D374" s="10">
        <v>669.711669921875</v>
      </c>
      <c r="E374" s="10">
        <v>17770.900390625</v>
      </c>
      <c r="F374" s="10">
        <v>407.8500061035156</v>
      </c>
      <c r="I374" s="15">
        <f>LN(B374/B373)</f>
        <v>-0.001805956446101272</v>
      </c>
      <c r="J374" s="15">
        <f>LN(C374/C373)</f>
        <v>-0.03271200045626846</v>
      </c>
      <c r="K374" s="15">
        <f>LN(D374/D373)</f>
        <v>-0.027202257711033625</v>
      </c>
      <c r="L374" s="15">
        <f>LN(E374/E373)</f>
        <v>-0.0048052775756446476</v>
      </c>
      <c r="M374" s="15">
        <f>LN(F374/F373)</f>
        <v>-0.016896972214967748</v>
      </c>
      <c r="O374" s="14">
        <v>44973</v>
      </c>
      <c r="P374" s="15">
        <f>I377</f>
        <v>0.022940845748464576</v>
      </c>
      <c r="Q374" s="15">
        <f>J377</f>
        <v>0.031013801393226424</v>
      </c>
      <c r="R374" s="15">
        <f>K377</f>
        <v>0.019860170178471012</v>
      </c>
      <c r="S374" s="15">
        <f>L377</f>
        <v>0.00110951785824931</v>
      </c>
      <c r="T374" s="15">
        <f>M377</f>
        <v>0.013227441882516575</v>
      </c>
    </row>
    <row r="375" spans="1:20">
      <c r="A375" s="14">
        <v>44971</v>
      </c>
      <c r="B375" s="10">
        <v>838.860107421875</v>
      </c>
      <c r="C375" s="10">
        <v>103.491943359375</v>
      </c>
      <c r="D375" s="10">
        <v>647.4160766601562</v>
      </c>
      <c r="E375" s="10">
        <v>17929.849609375</v>
      </c>
      <c r="F375" s="10">
        <v>400.3500061035156</v>
      </c>
      <c r="I375" s="15">
        <f>LN(B375/B374)</f>
        <v>-0.002159936525718798</v>
      </c>
      <c r="J375" s="15">
        <f>LN(C375/C374)</f>
        <v>0.004807667994555779</v>
      </c>
      <c r="K375" s="15">
        <f>LN(D375/D374)</f>
        <v>-0.03385810252277793</v>
      </c>
      <c r="L375" s="15">
        <f>LN(E375/E374)</f>
        <v>0.008904589905162998</v>
      </c>
      <c r="M375" s="15">
        <f>LN(F375/F374)</f>
        <v>-0.018560294947596277</v>
      </c>
      <c r="O375" s="14">
        <v>44974</v>
      </c>
      <c r="P375" s="15">
        <f>I378</f>
        <v>-0.026361027659714407</v>
      </c>
      <c r="Q375" s="15">
        <f>J378</f>
        <v>0.02475931168484738</v>
      </c>
      <c r="R375" s="15">
        <f>K378</f>
        <v>-0.030305304387067987</v>
      </c>
      <c r="S375" s="15">
        <f>L378</f>
        <v>-0.005094522761127012</v>
      </c>
      <c r="T375" s="15">
        <f>M378</f>
        <v>-0.017923431578715662</v>
      </c>
    </row>
    <row r="376" spans="1:20">
      <c r="A376" s="14">
        <v>44972</v>
      </c>
      <c r="B376" s="10">
        <v>847.0958251953125</v>
      </c>
      <c r="C376" s="10">
        <v>105.5766754150391</v>
      </c>
      <c r="D376" s="10">
        <v>653.033447265625</v>
      </c>
      <c r="E376" s="10">
        <v>18015.849609375</v>
      </c>
      <c r="F376" s="10">
        <v>405.5499877929687</v>
      </c>
      <c r="I376" s="15">
        <f>LN(B376/B375)</f>
        <v>0.009769867791310042</v>
      </c>
      <c r="J376" s="15">
        <f>LN(C376/C375)</f>
        <v>0.01994370238659783</v>
      </c>
      <c r="K376" s="15">
        <f>LN(D376/D375)</f>
        <v>0.008639175054382511</v>
      </c>
      <c r="L376" s="15">
        <f>LN(E376/E375)</f>
        <v>0.004785004379327248</v>
      </c>
      <c r="M376" s="15">
        <f>LN(F376/F375)</f>
        <v>0.012904960652319681</v>
      </c>
      <c r="O376" s="14">
        <v>44977</v>
      </c>
      <c r="P376" s="15">
        <f>I379</f>
        <v>-0.004656330210065155</v>
      </c>
      <c r="Q376" s="15">
        <f>J379</f>
        <v>0.027194684310019226</v>
      </c>
      <c r="R376" s="15">
        <f>K379</f>
        <v>-0.0018864365458403098</v>
      </c>
      <c r="S376" s="15">
        <f>L379</f>
        <v>-0.005565979846782634</v>
      </c>
      <c r="T376" s="15">
        <f>M379</f>
        <v>-0.006960843004819381</v>
      </c>
    </row>
    <row r="377" spans="1:20">
      <c r="A377" s="14">
        <v>44973</v>
      </c>
      <c r="B377" s="10">
        <v>866.7535400390625</v>
      </c>
      <c r="C377" s="10">
        <v>108.9023132324219</v>
      </c>
      <c r="D377" s="10">
        <v>666.1324462890625</v>
      </c>
      <c r="E377" s="10">
        <v>18035.849609375</v>
      </c>
      <c r="F377" s="10">
        <v>410.9500122070313</v>
      </c>
      <c r="I377" s="15">
        <f>LN(B377/B376)</f>
        <v>0.022940845748464576</v>
      </c>
      <c r="J377" s="15">
        <f>LN(C377/C376)</f>
        <v>0.031013801393226424</v>
      </c>
      <c r="K377" s="15">
        <f>LN(D377/D376)</f>
        <v>0.019860170178471012</v>
      </c>
      <c r="L377" s="15">
        <f>LN(E377/E376)</f>
        <v>0.00110951785824931</v>
      </c>
      <c r="M377" s="15">
        <f>LN(F377/F376)</f>
        <v>0.013227441882516575</v>
      </c>
      <c r="O377" s="14">
        <v>44978</v>
      </c>
      <c r="P377" s="15">
        <f>I380</f>
        <v>-0.0009338880172349101</v>
      </c>
      <c r="Q377" s="15">
        <f>J380</f>
        <v>0.0034556896102722477</v>
      </c>
      <c r="R377" s="15">
        <f>K380</f>
        <v>-0.005331949896476676</v>
      </c>
      <c r="S377" s="15">
        <f>L380</f>
        <v>-0.0010036299610954843</v>
      </c>
      <c r="T377" s="15">
        <f>M380</f>
        <v>-0.012046872627050202</v>
      </c>
    </row>
    <row r="378" spans="1:20">
      <c r="A378" s="14">
        <v>44974</v>
      </c>
      <c r="B378" s="10">
        <v>844.2035522460938</v>
      </c>
      <c r="C378" s="10">
        <v>111.6323165893555</v>
      </c>
      <c r="D378" s="10">
        <v>646.2479248046875</v>
      </c>
      <c r="E378" s="10">
        <v>17944.19921875</v>
      </c>
      <c r="F378" s="10">
        <v>403.6499938964844</v>
      </c>
      <c r="I378" s="15">
        <f>LN(B378/B377)</f>
        <v>-0.026361027659714407</v>
      </c>
      <c r="J378" s="15">
        <f>LN(C378/C377)</f>
        <v>0.02475931168484738</v>
      </c>
      <c r="K378" s="15">
        <f>LN(D378/D377)</f>
        <v>-0.030305304387067987</v>
      </c>
      <c r="L378" s="15">
        <f>LN(E378/E377)</f>
        <v>-0.005094522761127012</v>
      </c>
      <c r="M378" s="15">
        <f>LN(F378/F377)</f>
        <v>-0.017923431578715662</v>
      </c>
      <c r="O378" s="14">
        <v>44979</v>
      </c>
      <c r="P378" s="15">
        <f>I381</f>
        <v>-0.017198189172076845</v>
      </c>
      <c r="Q378" s="15">
        <f>J381</f>
        <v>-0.03555340964572296</v>
      </c>
      <c r="R378" s="15">
        <f>K381</f>
        <v>0.008256275035110072</v>
      </c>
      <c r="S378" s="15">
        <f>L381</f>
        <v>-0.015398310946496917</v>
      </c>
      <c r="T378" s="15">
        <f>M381</f>
        <v>-0.016804916378102448</v>
      </c>
    </row>
    <row r="379" spans="1:20">
      <c r="A379" s="14">
        <v>44977</v>
      </c>
      <c r="B379" s="10">
        <v>840.2817993164062</v>
      </c>
      <c r="C379" s="10">
        <v>114.7097778320312</v>
      </c>
      <c r="D379" s="10">
        <v>645.0299682617188</v>
      </c>
      <c r="E379" s="10">
        <v>17844.599609375</v>
      </c>
      <c r="F379" s="10">
        <v>400.8500061035156</v>
      </c>
      <c r="I379" s="15">
        <f>LN(B379/B378)</f>
        <v>-0.004656330210065155</v>
      </c>
      <c r="J379" s="15">
        <f>LN(C379/C378)</f>
        <v>0.027194684310019226</v>
      </c>
      <c r="K379" s="15">
        <f>LN(D379/D378)</f>
        <v>-0.0018864365458403098</v>
      </c>
      <c r="L379" s="15">
        <f>LN(E379/E378)</f>
        <v>-0.005565979846782634</v>
      </c>
      <c r="M379" s="15">
        <f>LN(F379/F378)</f>
        <v>-0.006960843004819381</v>
      </c>
      <c r="O379" s="14">
        <v>44980</v>
      </c>
      <c r="P379" s="15">
        <f>I382</f>
        <v>-0.005599830477328227</v>
      </c>
      <c r="Q379" s="15">
        <f>J382</f>
        <v>0.004458291040236903</v>
      </c>
      <c r="R379" s="15">
        <f>K382</f>
        <v>-0.010699904036358902</v>
      </c>
      <c r="S379" s="15">
        <f>L382</f>
        <v>-0.0024554471223785586</v>
      </c>
      <c r="T379" s="15">
        <f>M382</f>
        <v>-0.018006865443650218</v>
      </c>
    </row>
    <row r="380" spans="1:20">
      <c r="A380" s="14">
        <v>44978</v>
      </c>
      <c r="B380" s="10">
        <v>839.4974365234375</v>
      </c>
      <c r="C380" s="10">
        <v>115.1068649291992</v>
      </c>
      <c r="D380" s="10">
        <v>641.599853515625</v>
      </c>
      <c r="E380" s="10">
        <v>17826.69921875</v>
      </c>
      <c r="F380" s="10">
        <v>396.0499877929687</v>
      </c>
      <c r="I380" s="15">
        <f>LN(B380/B379)</f>
        <v>-0.0009338880172349101</v>
      </c>
      <c r="J380" s="15">
        <f>LN(C380/C379)</f>
        <v>0.0034556896102722477</v>
      </c>
      <c r="K380" s="15">
        <f>LN(D380/D379)</f>
        <v>-0.005331949896476676</v>
      </c>
      <c r="L380" s="15">
        <f>LN(E380/E379)</f>
        <v>-0.0010036299610954843</v>
      </c>
      <c r="M380" s="15">
        <f>LN(F380/F379)</f>
        <v>-0.012046872627050202</v>
      </c>
      <c r="O380" s="14">
        <v>44981</v>
      </c>
      <c r="P380" s="15">
        <f>I383</f>
        <v>0.009868065080797938</v>
      </c>
      <c r="Q380" s="15">
        <f>J383</f>
        <v>-0.039932768326961146</v>
      </c>
      <c r="R380" s="15">
        <f>K383</f>
        <v>0.02105834816198029</v>
      </c>
      <c r="S380" s="15">
        <f>L383</f>
        <v>-0.002598803690668268</v>
      </c>
      <c r="T380" s="15">
        <f>M383</f>
        <v>-0.005373858558289009</v>
      </c>
    </row>
    <row r="381" spans="1:20">
      <c r="A381" s="14">
        <v>44979</v>
      </c>
      <c r="B381" s="10">
        <v>825.1830444335938</v>
      </c>
      <c r="C381" s="10">
        <v>111.0863189697266</v>
      </c>
      <c r="D381" s="10">
        <v>646.9190063476562</v>
      </c>
      <c r="E381" s="10">
        <v>17554.30078125</v>
      </c>
      <c r="F381" s="10">
        <v>389.4500122070313</v>
      </c>
      <c r="I381" s="15">
        <f>LN(B381/B380)</f>
        <v>-0.017198189172076845</v>
      </c>
      <c r="J381" s="15">
        <f>LN(C381/C380)</f>
        <v>-0.03555340964572296</v>
      </c>
      <c r="K381" s="15">
        <f>LN(D381/D380)</f>
        <v>0.008256275035110072</v>
      </c>
      <c r="L381" s="15">
        <f>LN(E381/E380)</f>
        <v>-0.015398310946496917</v>
      </c>
      <c r="M381" s="15">
        <f>LN(F381/F380)</f>
        <v>-0.016804916378102448</v>
      </c>
      <c r="O381" s="14">
        <v>44984</v>
      </c>
      <c r="P381" s="15">
        <f>I384</f>
        <v>0.009595922783833262</v>
      </c>
      <c r="Q381" s="15">
        <f>J384</f>
        <v>-0.038702219368282505</v>
      </c>
      <c r="R381" s="15">
        <f>K384</f>
        <v>0.006330182502844513</v>
      </c>
      <c r="S381" s="15">
        <f>L384</f>
        <v>-0.004194194796816341</v>
      </c>
      <c r="T381" s="15">
        <f>M384</f>
        <v>0.02158166878514231</v>
      </c>
    </row>
    <row r="382" spans="1:20">
      <c r="A382" s="14">
        <v>44980</v>
      </c>
      <c r="B382" s="10">
        <v>820.5750732421875</v>
      </c>
      <c r="C382" s="10">
        <v>111.5826797485352</v>
      </c>
      <c r="D382" s="10">
        <v>640.033935546875</v>
      </c>
      <c r="E382" s="10">
        <v>17511.25</v>
      </c>
      <c r="F382" s="10">
        <v>382.5</v>
      </c>
      <c r="I382" s="15">
        <f>LN(B382/B381)</f>
        <v>-0.005599830477328227</v>
      </c>
      <c r="J382" s="15">
        <f>LN(C382/C381)</f>
        <v>0.004458291040236903</v>
      </c>
      <c r="K382" s="15">
        <f>LN(D382/D381)</f>
        <v>-0.010699904036358902</v>
      </c>
      <c r="L382" s="15">
        <f>LN(E382/E381)</f>
        <v>-0.0024554471223785586</v>
      </c>
      <c r="M382" s="15">
        <f>LN(F382/F381)</f>
        <v>-0.018006865443650218</v>
      </c>
      <c r="O382" s="14">
        <v>44985</v>
      </c>
      <c r="P382" s="15">
        <f>I385</f>
        <v>0.004676126423696346</v>
      </c>
      <c r="Q382" s="15">
        <f>J385</f>
        <v>0.008147655153876847</v>
      </c>
      <c r="R382" s="15">
        <f>K385</f>
        <v>0.04423652433910974</v>
      </c>
      <c r="S382" s="15">
        <f>L385</f>
        <v>-0.005115779048087727</v>
      </c>
      <c r="T382" s="15">
        <f>M385</f>
        <v>0.011381955824916393</v>
      </c>
    </row>
    <row r="383" spans="1:20">
      <c r="A383" s="14">
        <v>44981</v>
      </c>
      <c r="B383" s="10">
        <v>828.712646484375</v>
      </c>
      <c r="C383" s="10">
        <v>107.2146682739258</v>
      </c>
      <c r="D383" s="10">
        <v>653.6549072265625</v>
      </c>
      <c r="E383" s="10">
        <v>17465.80078125</v>
      </c>
      <c r="F383" s="10">
        <v>380.4500122070313</v>
      </c>
      <c r="I383" s="15">
        <f>LN(B383/B382)</f>
        <v>0.009868065080797938</v>
      </c>
      <c r="J383" s="15">
        <f>LN(C383/C382)</f>
        <v>-0.039932768326961146</v>
      </c>
      <c r="K383" s="15">
        <f>LN(D383/D382)</f>
        <v>0.02105834816198029</v>
      </c>
      <c r="L383" s="15">
        <f>LN(E383/E382)</f>
        <v>-0.002598803690668268</v>
      </c>
      <c r="M383" s="15">
        <f>LN(F383/F382)</f>
        <v>-0.005373858558289009</v>
      </c>
      <c r="O383" s="14">
        <v>44986</v>
      </c>
      <c r="P383" s="15">
        <f>I386</f>
        <v>0.012920713981999654</v>
      </c>
      <c r="Q383" s="15">
        <f>J386</f>
        <v>0.027308604759964723</v>
      </c>
      <c r="R383" s="15">
        <f>K386</f>
        <v>0.012144824655725034</v>
      </c>
      <c r="S383" s="15">
        <f>L386</f>
        <v>0.008456491641293511</v>
      </c>
      <c r="T383" s="15">
        <f>M386</f>
        <v>0.011505247899536029</v>
      </c>
    </row>
    <row r="384" spans="1:20">
      <c r="A384" s="14">
        <v>44984</v>
      </c>
      <c r="B384" s="10">
        <v>836.7031860351562</v>
      </c>
      <c r="C384" s="10">
        <v>103.1444931030273</v>
      </c>
      <c r="D384" s="10">
        <v>657.8057861328125</v>
      </c>
      <c r="E384" s="10">
        <v>17392.69921875</v>
      </c>
      <c r="F384" s="10">
        <v>388.75</v>
      </c>
      <c r="I384" s="15">
        <f>LN(B384/B383)</f>
        <v>0.009595922783833262</v>
      </c>
      <c r="J384" s="15">
        <f>LN(C384/C383)</f>
        <v>-0.038702219368282505</v>
      </c>
      <c r="K384" s="15">
        <f>LN(D384/D383)</f>
        <v>0.006330182502844513</v>
      </c>
      <c r="L384" s="15">
        <f>LN(E384/E383)</f>
        <v>-0.004194194796816341</v>
      </c>
      <c r="M384" s="15">
        <f>LN(F384/F383)</f>
        <v>0.02158166878514231</v>
      </c>
      <c r="O384" s="14">
        <v>44987</v>
      </c>
      <c r="P384" s="15">
        <f>I387</f>
        <v>0.0038495447684504967</v>
      </c>
      <c r="Q384" s="15">
        <f>J387</f>
        <v>0.0454005440867892</v>
      </c>
      <c r="R384" s="15">
        <f>K387</f>
        <v>-0.005874307288848977</v>
      </c>
      <c r="S384" s="15">
        <f>L387</f>
        <v>-0.007419626196212839</v>
      </c>
      <c r="T384" s="15">
        <f>M387</f>
        <v>0.020406362160841598</v>
      </c>
    </row>
    <row r="385" spans="1:20">
      <c r="A385" s="14">
        <v>44985</v>
      </c>
      <c r="B385" s="10">
        <v>840.6248779296875</v>
      </c>
      <c r="C385" s="10">
        <v>103.9883117675781</v>
      </c>
      <c r="D385" s="10">
        <v>687.5580444335938</v>
      </c>
      <c r="E385" s="10">
        <v>17303.94921875</v>
      </c>
      <c r="F385" s="10">
        <v>393.2000122070313</v>
      </c>
      <c r="I385" s="15">
        <f>LN(B385/B384)</f>
        <v>0.004676126423696346</v>
      </c>
      <c r="J385" s="15">
        <f>LN(C385/C384)</f>
        <v>0.008147655153876847</v>
      </c>
      <c r="K385" s="15">
        <f>LN(D385/D384)</f>
        <v>0.04423652433910974</v>
      </c>
      <c r="L385" s="15">
        <f>LN(E385/E384)</f>
        <v>-0.005115779048087727</v>
      </c>
      <c r="M385" s="15">
        <f>LN(F385/F384)</f>
        <v>0.011381955824916393</v>
      </c>
      <c r="O385" s="14">
        <v>44988</v>
      </c>
      <c r="P385" s="15">
        <f>I388</f>
        <v>0.021220553134977622</v>
      </c>
      <c r="Q385" s="15">
        <f>J388</f>
        <v>0.02411855255361695</v>
      </c>
      <c r="R385" s="15">
        <f>K388</f>
        <v>-0.007862469864740224</v>
      </c>
      <c r="S385" s="15">
        <f>L388</f>
        <v>0.015606186138582535</v>
      </c>
      <c r="T385" s="15">
        <f>M388</f>
        <v>0.014793319970788655</v>
      </c>
    </row>
    <row r="386" spans="1:20">
      <c r="A386" s="14">
        <v>44986</v>
      </c>
      <c r="B386" s="10">
        <v>851.5568237304688</v>
      </c>
      <c r="C386" s="10">
        <v>106.8672180175781</v>
      </c>
      <c r="D386" s="10">
        <v>695.959228515625</v>
      </c>
      <c r="E386" s="10">
        <v>17450.900390625</v>
      </c>
      <c r="F386" s="10">
        <v>397.75</v>
      </c>
      <c r="I386" s="15">
        <f>LN(B386/B385)</f>
        <v>0.012920713981999654</v>
      </c>
      <c r="J386" s="15">
        <f>LN(C386/C385)</f>
        <v>0.027308604759964723</v>
      </c>
      <c r="K386" s="15">
        <f>LN(D386/D385)</f>
        <v>0.012144824655725034</v>
      </c>
      <c r="L386" s="15">
        <f>LN(E386/E385)</f>
        <v>0.008456491641293511</v>
      </c>
      <c r="M386" s="15">
        <f>LN(F386/F385)</f>
        <v>0.011505247899536029</v>
      </c>
      <c r="O386" s="14">
        <v>44991</v>
      </c>
      <c r="P386" s="15">
        <f>I389</f>
        <v>-0.006533693151514967</v>
      </c>
      <c r="Q386" s="15">
        <f>J389</f>
        <v>0.004754749746482274</v>
      </c>
      <c r="R386" s="15">
        <f>K389</f>
        <v>-0.0038454635638518115</v>
      </c>
      <c r="S386" s="15">
        <f>L389</f>
        <v>0.006633473404126094</v>
      </c>
      <c r="T386" s="15">
        <f>M389</f>
        <v>-0.0052320953584150285</v>
      </c>
    </row>
    <row r="387" spans="1:20">
      <c r="A387" s="14">
        <v>44987</v>
      </c>
      <c r="B387" s="10">
        <v>854.8412475585938</v>
      </c>
      <c r="C387" s="10">
        <v>111.8308715820312</v>
      </c>
      <c r="D387" s="10">
        <v>691.8829345703125</v>
      </c>
      <c r="E387" s="10">
        <v>17321.900390625</v>
      </c>
      <c r="F387" s="10">
        <v>405.9500122070313</v>
      </c>
      <c r="I387" s="15">
        <f>LN(B387/B386)</f>
        <v>0.0038495447684504967</v>
      </c>
      <c r="J387" s="15">
        <f>LN(C387/C386)</f>
        <v>0.0454005440867892</v>
      </c>
      <c r="K387" s="15">
        <f>LN(D387/D386)</f>
        <v>-0.005874307288848977</v>
      </c>
      <c r="L387" s="15">
        <f>LN(E387/E386)</f>
        <v>-0.007419626196212839</v>
      </c>
      <c r="M387" s="15">
        <f>LN(F387/F386)</f>
        <v>0.020406362160841598</v>
      </c>
      <c r="O387" s="14">
        <v>44993</v>
      </c>
      <c r="P387" s="15">
        <f>I390</f>
        <v>0.02196541310358372</v>
      </c>
      <c r="Q387" s="15">
        <f>J390</f>
        <v>-0.006923429174908012</v>
      </c>
      <c r="R387" s="15">
        <f>K390</f>
        <v>-0.03796827668111532</v>
      </c>
      <c r="S387" s="15">
        <f>L390</f>
        <v>0.0024221155475668</v>
      </c>
      <c r="T387" s="15">
        <f>M390</f>
        <v>-0.006855255960146843</v>
      </c>
    </row>
    <row r="388" spans="1:20">
      <c r="A388" s="14">
        <v>44988</v>
      </c>
      <c r="B388" s="10">
        <v>873.17529296875</v>
      </c>
      <c r="C388" s="10">
        <v>114.5608596801758</v>
      </c>
      <c r="D388" s="10">
        <v>686.46435546875</v>
      </c>
      <c r="E388" s="10">
        <v>17594.349609375</v>
      </c>
      <c r="F388" s="10">
        <v>412</v>
      </c>
      <c r="I388" s="15">
        <f>LN(B388/B387)</f>
        <v>0.021220553134977622</v>
      </c>
      <c r="J388" s="15">
        <f>LN(C388/C387)</f>
        <v>0.02411855255361695</v>
      </c>
      <c r="K388" s="15">
        <f>LN(D388/D387)</f>
        <v>-0.007862469864740224</v>
      </c>
      <c r="L388" s="15">
        <f>LN(E388/E387)</f>
        <v>0.015606186138582535</v>
      </c>
      <c r="M388" s="15">
        <f>LN(F388/F387)</f>
        <v>0.014793319970788655</v>
      </c>
      <c r="O388" s="14">
        <v>44994</v>
      </c>
      <c r="P388" s="15">
        <f>I391</f>
        <v>-0.01683609259569996</v>
      </c>
      <c r="Q388" s="15">
        <f>J391</f>
        <v>0.030363603125339846</v>
      </c>
      <c r="R388" s="15">
        <f>K391</f>
        <v>-0.02183212012021341</v>
      </c>
      <c r="S388" s="15">
        <f>L391</f>
        <v>-0.009325598438082557</v>
      </c>
      <c r="T388" s="15">
        <f>M391</f>
        <v>-0.011737949418327892</v>
      </c>
    </row>
    <row r="389" spans="1:20">
      <c r="A389" s="14">
        <v>44991</v>
      </c>
      <c r="B389" s="10">
        <v>867.4888305664062</v>
      </c>
      <c r="C389" s="10">
        <v>115.1068649291992</v>
      </c>
      <c r="D389" s="10">
        <v>683.8296508789062</v>
      </c>
      <c r="E389" s="10">
        <v>17711.44921875</v>
      </c>
      <c r="F389" s="10">
        <v>409.8500061035156</v>
      </c>
      <c r="I389" s="15">
        <f>LN(B389/B388)</f>
        <v>-0.006533693151514967</v>
      </c>
      <c r="J389" s="15">
        <f>LN(C389/C388)</f>
        <v>0.004754749746482274</v>
      </c>
      <c r="K389" s="15">
        <f>LN(D389/D388)</f>
        <v>-0.0038454635638518115</v>
      </c>
      <c r="L389" s="15">
        <f>LN(E389/E388)</f>
        <v>0.006633473404126094</v>
      </c>
      <c r="M389" s="15">
        <f>LN(F389/F388)</f>
        <v>-0.0052320953584150285</v>
      </c>
      <c r="O389" s="14">
        <v>44995</v>
      </c>
      <c r="P389" s="15">
        <f>I392</f>
        <v>-0.011421529454449473</v>
      </c>
      <c r="Q389" s="15">
        <f>J392</f>
        <v>-0.021716830107890973</v>
      </c>
      <c r="R389" s="15">
        <f>K392</f>
        <v>0.01660844427659417</v>
      </c>
      <c r="S389" s="15">
        <f>L392</f>
        <v>-0.010096462811863625</v>
      </c>
      <c r="T389" s="15">
        <f>M392</f>
        <v>-0.010369245238871746</v>
      </c>
    </row>
    <row r="390" spans="1:20">
      <c r="A390" s="14">
        <v>44993</v>
      </c>
      <c r="B390" s="10">
        <v>886.75439453125</v>
      </c>
      <c r="C390" s="10">
        <v>114.3126831054688</v>
      </c>
      <c r="D390" s="10">
        <v>658.3525390625</v>
      </c>
      <c r="E390" s="10">
        <v>17754.400390625</v>
      </c>
      <c r="F390" s="10">
        <v>407.0499877929687</v>
      </c>
      <c r="I390" s="15">
        <f>LN(B390/B389)</f>
        <v>0.02196541310358372</v>
      </c>
      <c r="J390" s="15">
        <f>LN(C390/C389)</f>
        <v>-0.006923429174908012</v>
      </c>
      <c r="K390" s="15">
        <f>LN(D390/D389)</f>
        <v>-0.03796827668111532</v>
      </c>
      <c r="L390" s="15">
        <f>LN(E390/E389)</f>
        <v>0.0024221155475668</v>
      </c>
      <c r="M390" s="15">
        <f>LN(F390/F389)</f>
        <v>-0.006855255960146843</v>
      </c>
      <c r="O390" s="14">
        <v>44998</v>
      </c>
      <c r="P390" s="15">
        <f>I393</f>
        <v>-0.019408319319071207</v>
      </c>
      <c r="Q390" s="15">
        <f>J393</f>
        <v>-0.052131910170625954</v>
      </c>
      <c r="R390" s="15">
        <f>K393</f>
        <v>0.005752255120965449</v>
      </c>
      <c r="S390" s="15">
        <f>L393</f>
        <v>-0.014962416687813755</v>
      </c>
      <c r="T390" s="15">
        <f>M393</f>
        <v>-0.020041243978223374</v>
      </c>
    </row>
    <row r="391" spans="1:20">
      <c r="A391" s="14">
        <v>44994</v>
      </c>
      <c r="B391" s="10">
        <v>871.9498901367188</v>
      </c>
      <c r="C391" s="10">
        <v>117.8368606567383</v>
      </c>
      <c r="D391" s="10">
        <v>644.1350708007812</v>
      </c>
      <c r="E391" s="10">
        <v>17589.599609375</v>
      </c>
      <c r="F391" s="10">
        <v>402.2999877929687</v>
      </c>
      <c r="I391" s="15">
        <f>LN(B391/B390)</f>
        <v>-0.01683609259569996</v>
      </c>
      <c r="J391" s="15">
        <f>LN(C391/C390)</f>
        <v>0.030363603125339846</v>
      </c>
      <c r="K391" s="15">
        <f>LN(D391/D390)</f>
        <v>-0.02183212012021341</v>
      </c>
      <c r="L391" s="15">
        <f>LN(E391/E390)</f>
        <v>-0.009325598438082557</v>
      </c>
      <c r="M391" s="15">
        <f>LN(F391/F390)</f>
        <v>-0.011737949418327892</v>
      </c>
      <c r="O391" s="14">
        <v>44999</v>
      </c>
      <c r="P391" s="15">
        <f>I394</f>
        <v>-0.009846903641126975</v>
      </c>
      <c r="Q391" s="15">
        <f>J394</f>
        <v>0.01217049992314521</v>
      </c>
      <c r="R391" s="15">
        <f>K394</f>
        <v>-0.025917019694081674</v>
      </c>
      <c r="S391" s="15">
        <f>L394</f>
        <v>-0.006491706128142258</v>
      </c>
      <c r="T391" s="15">
        <f>M394</f>
        <v>-0.010173321323180263</v>
      </c>
    </row>
    <row r="392" spans="1:20">
      <c r="A392" s="14">
        <v>44995</v>
      </c>
      <c r="B392" s="10">
        <v>862.0475463867188</v>
      </c>
      <c r="C392" s="10">
        <v>115.3054046630859</v>
      </c>
      <c r="D392" s="10">
        <v>654.9224853515625</v>
      </c>
      <c r="E392" s="10">
        <v>17412.900390625</v>
      </c>
      <c r="F392" s="10">
        <v>398.1499938964844</v>
      </c>
      <c r="I392" s="15">
        <f>LN(B392/B391)</f>
        <v>-0.011421529454449473</v>
      </c>
      <c r="J392" s="15">
        <f>LN(C392/C391)</f>
        <v>-0.021716830107890973</v>
      </c>
      <c r="K392" s="15">
        <f>LN(D392/D391)</f>
        <v>0.01660844427659417</v>
      </c>
      <c r="L392" s="15">
        <f>LN(E392/E391)</f>
        <v>-0.010096462811863625</v>
      </c>
      <c r="M392" s="15">
        <f>LN(F392/F391)</f>
        <v>-0.010369245238871746</v>
      </c>
      <c r="O392" s="14">
        <v>45000</v>
      </c>
      <c r="P392" s="15">
        <f>I395</f>
        <v>-0.007700436082881505</v>
      </c>
      <c r="Q392" s="15">
        <f>J395</f>
        <v>0.02521700592813187</v>
      </c>
      <c r="R392" s="15">
        <f>K395</f>
        <v>-0.046326470720737145</v>
      </c>
      <c r="S392" s="15">
        <f>L395</f>
        <v>-0.004183422059139645</v>
      </c>
      <c r="T392" s="15">
        <f>M395</f>
        <v>-0.00857924889171521</v>
      </c>
    </row>
    <row r="393" spans="1:20">
      <c r="A393" s="14">
        <v>44998</v>
      </c>
      <c r="B393" s="10">
        <v>845.4779663085938</v>
      </c>
      <c r="C393" s="10">
        <v>109.4483108520508</v>
      </c>
      <c r="D393" s="10">
        <v>658.7006225585938</v>
      </c>
      <c r="E393" s="10">
        <v>17154.30078125</v>
      </c>
      <c r="F393" s="10">
        <v>390.25</v>
      </c>
      <c r="I393" s="15">
        <f>LN(B393/B392)</f>
        <v>-0.019408319319071207</v>
      </c>
      <c r="J393" s="15">
        <f>LN(C393/C392)</f>
        <v>-0.052131910170625954</v>
      </c>
      <c r="K393" s="15">
        <f>LN(D393/D392)</f>
        <v>0.005752255120965449</v>
      </c>
      <c r="L393" s="15">
        <f>LN(E393/E392)</f>
        <v>-0.014962416687813755</v>
      </c>
      <c r="M393" s="15">
        <f>LN(F393/F392)</f>
        <v>-0.020041243978223374</v>
      </c>
      <c r="O393" s="14">
        <v>45001</v>
      </c>
      <c r="P393" s="15">
        <f>I396</f>
        <v>0.00805162819710393</v>
      </c>
      <c r="Q393" s="15">
        <f>J396</f>
        <v>-0.007014488034974027</v>
      </c>
      <c r="R393" s="15">
        <f>K396</f>
        <v>-0.005490752019162369</v>
      </c>
      <c r="S393" s="15">
        <f>L396</f>
        <v>0.0007921148752918237</v>
      </c>
      <c r="T393" s="15">
        <f>M396</f>
        <v>0.011035490116331995</v>
      </c>
    </row>
    <row r="394" spans="1:20">
      <c r="A394" s="14">
        <v>44999</v>
      </c>
      <c r="B394" s="10">
        <v>837.1934814453125</v>
      </c>
      <c r="C394" s="10">
        <v>110.7884902954102</v>
      </c>
      <c r="D394" s="10">
        <v>641.848388671875</v>
      </c>
      <c r="E394" s="10">
        <v>17043.30078125</v>
      </c>
      <c r="F394" s="10">
        <v>386.2999877929687</v>
      </c>
      <c r="I394" s="15">
        <f>LN(B394/B393)</f>
        <v>-0.009846903641126975</v>
      </c>
      <c r="J394" s="15">
        <f>LN(C394/C393)</f>
        <v>0.01217049992314521</v>
      </c>
      <c r="K394" s="15">
        <f>LN(D394/D393)</f>
        <v>-0.025917019694081674</v>
      </c>
      <c r="L394" s="15">
        <f>LN(E394/E393)</f>
        <v>-0.006491706128142258</v>
      </c>
      <c r="M394" s="15">
        <f>LN(F394/F393)</f>
        <v>-0.010173321323180263</v>
      </c>
      <c r="O394" s="14">
        <v>45002</v>
      </c>
      <c r="P394" s="15">
        <f>I397</f>
        <v>0.0138351597254463</v>
      </c>
      <c r="Q394" s="15">
        <f>J397</f>
        <v>0.033740308992528924</v>
      </c>
      <c r="R394" s="15">
        <f>K397</f>
        <v>0.02278185584455163</v>
      </c>
      <c r="S394" s="15">
        <f>L397</f>
        <v>0.0067155298897271865</v>
      </c>
      <c r="T394" s="15">
        <f>M397</f>
        <v>0.029890937592885365</v>
      </c>
    </row>
    <row r="395" spans="1:20">
      <c r="A395" s="14">
        <v>45000</v>
      </c>
      <c r="B395" s="10">
        <v>830.771484375</v>
      </c>
      <c r="C395" s="10">
        <v>113.6177673339844</v>
      </c>
      <c r="D395" s="10">
        <v>612.7920532226562</v>
      </c>
      <c r="E395" s="10">
        <v>16972.150390625</v>
      </c>
      <c r="F395" s="10">
        <v>383</v>
      </c>
      <c r="I395" s="15">
        <f>LN(B395/B394)</f>
        <v>-0.007700436082881505</v>
      </c>
      <c r="J395" s="15">
        <f>LN(C395/C394)</f>
        <v>0.02521700592813187</v>
      </c>
      <c r="K395" s="15">
        <f>LN(D395/D394)</f>
        <v>-0.046326470720737145</v>
      </c>
      <c r="L395" s="15">
        <f>LN(E395/E394)</f>
        <v>-0.004183422059139645</v>
      </c>
      <c r="M395" s="15">
        <f>LN(F395/F394)</f>
        <v>-0.00857924889171521</v>
      </c>
      <c r="O395" s="14">
        <v>45005</v>
      </c>
      <c r="P395" s="15">
        <f>I398</f>
        <v>-0.007068055752150996</v>
      </c>
      <c r="Q395" s="15">
        <f>J398</f>
        <v>-0.03462053050174027</v>
      </c>
      <c r="R395" s="15">
        <f>K398</f>
        <v>0.03178110692855536</v>
      </c>
      <c r="S395" s="15">
        <f>L398</f>
        <v>-0.006550651968001941</v>
      </c>
      <c r="T395" s="15">
        <f>M398</f>
        <v>-0.010075651988741587</v>
      </c>
    </row>
    <row r="396" spans="1:20">
      <c r="A396" s="14">
        <v>45001</v>
      </c>
      <c r="B396" s="10">
        <v>837.487548828125</v>
      </c>
      <c r="C396" s="10">
        <v>112.8235855102539</v>
      </c>
      <c r="D396" s="10">
        <v>609.4365844726562</v>
      </c>
      <c r="E396" s="10">
        <v>16985.599609375</v>
      </c>
      <c r="F396" s="10">
        <v>387.25</v>
      </c>
      <c r="I396" s="15">
        <f>LN(B396/B395)</f>
        <v>0.00805162819710393</v>
      </c>
      <c r="J396" s="15">
        <f>LN(C396/C395)</f>
        <v>-0.007014488034974027</v>
      </c>
      <c r="K396" s="15">
        <f>LN(D396/D395)</f>
        <v>-0.005490752019162369</v>
      </c>
      <c r="L396" s="15">
        <f>LN(E396/E395)</f>
        <v>0.0007921148752918237</v>
      </c>
      <c r="M396" s="15">
        <f>LN(F396/F395)</f>
        <v>0.011035490116331995</v>
      </c>
      <c r="O396" s="14">
        <v>45006</v>
      </c>
      <c r="P396" s="15">
        <f>I399</f>
        <v>0.0023227445351445466</v>
      </c>
      <c r="Q396" s="15">
        <f>J399</f>
        <v>0.0750510804590122</v>
      </c>
      <c r="R396" s="15">
        <f>K399</f>
        <v>0.02192524683049734</v>
      </c>
      <c r="S396" s="15">
        <f>L399</f>
        <v>0.006986182644570191</v>
      </c>
      <c r="T396" s="15">
        <f>M399</f>
        <v>-0.0007597513049550375</v>
      </c>
    </row>
    <row r="397" spans="1:20">
      <c r="A397" s="14">
        <v>45002</v>
      </c>
      <c r="B397" s="10">
        <v>849.1548461914062</v>
      </c>
      <c r="C397" s="10">
        <v>116.6952362060547</v>
      </c>
      <c r="D397" s="10">
        <v>623.4800415039062</v>
      </c>
      <c r="E397" s="10">
        <v>17100.05078125</v>
      </c>
      <c r="F397" s="10">
        <v>399</v>
      </c>
      <c r="I397" s="15">
        <f>LN(B397/B396)</f>
        <v>0.0138351597254463</v>
      </c>
      <c r="J397" s="15">
        <f>LN(C397/C396)</f>
        <v>0.033740308992528924</v>
      </c>
      <c r="K397" s="15">
        <f>LN(D397/D396)</f>
        <v>0.02278185584455163</v>
      </c>
      <c r="L397" s="15">
        <f>LN(E397/E396)</f>
        <v>0.0067155298897271865</v>
      </c>
      <c r="M397" s="15">
        <f>LN(F397/F396)</f>
        <v>0.029890937592885365</v>
      </c>
      <c r="O397" s="14">
        <v>45007</v>
      </c>
      <c r="P397" s="15">
        <f>I400</f>
        <v>0.00011597767204499435</v>
      </c>
      <c r="Q397" s="15">
        <f>J400</f>
        <v>-0.006968664925308414</v>
      </c>
      <c r="R397" s="15">
        <f>K400</f>
        <v>0.013435078595661214</v>
      </c>
      <c r="S397" s="15">
        <f>L400</f>
        <v>0.002592013577443892</v>
      </c>
      <c r="T397" s="15">
        <f>M400</f>
        <v>-0.0010140036713261402</v>
      </c>
    </row>
    <row r="398" spans="1:20">
      <c r="A398" s="14">
        <v>45005</v>
      </c>
      <c r="B398" s="10">
        <v>843.1741333007812</v>
      </c>
      <c r="C398" s="10">
        <v>112.7243194580078</v>
      </c>
      <c r="D398" s="10">
        <v>643.6131591796875</v>
      </c>
      <c r="E398" s="10">
        <v>16988.400390625</v>
      </c>
      <c r="F398" s="10">
        <v>395</v>
      </c>
      <c r="I398" s="15">
        <f>LN(B398/B397)</f>
        <v>-0.007068055752150996</v>
      </c>
      <c r="J398" s="15">
        <f>LN(C398/C397)</f>
        <v>-0.03462053050174027</v>
      </c>
      <c r="K398" s="15">
        <f>LN(D398/D397)</f>
        <v>0.03178110692855536</v>
      </c>
      <c r="L398" s="15">
        <f>LN(E398/E397)</f>
        <v>-0.006550651968001941</v>
      </c>
      <c r="M398" s="15">
        <f>LN(F398/F397)</f>
        <v>-0.010075651988741587</v>
      </c>
      <c r="O398" s="14">
        <v>45008</v>
      </c>
      <c r="P398" s="15">
        <f>I401</f>
        <v>-0.007451276762180476</v>
      </c>
      <c r="Q398" s="15">
        <f>J401</f>
        <v>-0.01617286783626692</v>
      </c>
      <c r="R398" s="15">
        <f>K401</f>
        <v>-0.033354080926819116</v>
      </c>
      <c r="S398" s="15">
        <f>L401</f>
        <v>-0.0043822814890137705</v>
      </c>
      <c r="T398" s="15">
        <f>M401</f>
        <v>-0.010837105186587004</v>
      </c>
    </row>
    <row r="399" spans="1:20">
      <c r="A399" s="14">
        <v>45006</v>
      </c>
      <c r="B399" s="10">
        <v>845.1348876953125</v>
      </c>
      <c r="C399" s="10">
        <v>121.5099639892578</v>
      </c>
      <c r="D399" s="10">
        <v>657.88037109375</v>
      </c>
      <c r="E399" s="10">
        <v>17107.5</v>
      </c>
      <c r="F399" s="10">
        <v>394.7000122070313</v>
      </c>
      <c r="I399" s="15">
        <f>LN(B399/B398)</f>
        <v>0.0023227445351445466</v>
      </c>
      <c r="J399" s="15">
        <f>LN(C399/C398)</f>
        <v>0.0750510804590122</v>
      </c>
      <c r="K399" s="15">
        <f>LN(D399/D398)</f>
        <v>0.02192524683049734</v>
      </c>
      <c r="L399" s="15">
        <f>LN(E399/E398)</f>
        <v>0.006986182644570191</v>
      </c>
      <c r="M399" s="15">
        <f>LN(F399/F398)</f>
        <v>-0.0007597513049550375</v>
      </c>
      <c r="O399" s="14">
        <v>45009</v>
      </c>
      <c r="P399" s="15">
        <f>I402</f>
        <v>-0.013648950874743106</v>
      </c>
      <c r="Q399" s="15">
        <f>J402</f>
        <v>-0.015589175606771772</v>
      </c>
      <c r="R399" s="15">
        <f>K402</f>
        <v>-0.012019837918448581</v>
      </c>
      <c r="S399" s="15">
        <f>L402</f>
        <v>-0.007750894050448838</v>
      </c>
      <c r="T399" s="15">
        <f>M402</f>
        <v>-0.023606739775578145</v>
      </c>
    </row>
    <row r="400" spans="1:20">
      <c r="A400" s="14">
        <v>45007</v>
      </c>
      <c r="B400" s="10">
        <v>845.23291015625</v>
      </c>
      <c r="C400" s="10">
        <v>120.666145324707</v>
      </c>
      <c r="D400" s="10">
        <v>666.7786865234375</v>
      </c>
      <c r="E400" s="10">
        <v>17151.900390625</v>
      </c>
      <c r="F400" s="10">
        <v>394.2999877929687</v>
      </c>
      <c r="I400" s="15">
        <f>LN(B400/B399)</f>
        <v>0.00011597767204499435</v>
      </c>
      <c r="J400" s="15">
        <f>LN(C400/C399)</f>
        <v>-0.006968664925308414</v>
      </c>
      <c r="K400" s="15">
        <f>LN(D400/D399)</f>
        <v>0.013435078595661214</v>
      </c>
      <c r="L400" s="15">
        <f>LN(E400/E399)</f>
        <v>0.002592013577443892</v>
      </c>
      <c r="M400" s="15">
        <f>LN(F400/F399)</f>
        <v>-0.0010140036713261402</v>
      </c>
      <c r="O400" s="14">
        <v>45012</v>
      </c>
      <c r="P400" s="15">
        <f>I403</f>
        <v>-0.02319068462703262</v>
      </c>
      <c r="Q400" s="15">
        <f>J403</f>
        <v>-0.018427735019000184</v>
      </c>
      <c r="R400" s="15">
        <f>K403</f>
        <v>0.027129130705483145</v>
      </c>
      <c r="S400" s="15">
        <f>L403</f>
        <v>0.002395965721106003</v>
      </c>
      <c r="T400" s="15">
        <f>M403</f>
        <v>-0.01161735683340415</v>
      </c>
    </row>
    <row r="401" spans="1:20">
      <c r="A401" s="14">
        <v>45008</v>
      </c>
      <c r="B401" s="10">
        <v>838.958251953125</v>
      </c>
      <c r="C401" s="10">
        <v>118.7303237915039</v>
      </c>
      <c r="D401" s="10">
        <v>644.9057006835938</v>
      </c>
      <c r="E401" s="10">
        <v>17076.900390625</v>
      </c>
      <c r="F401" s="10">
        <v>390.0499877929687</v>
      </c>
      <c r="I401" s="15">
        <f>LN(B401/B400)</f>
        <v>-0.007451276762180476</v>
      </c>
      <c r="J401" s="15">
        <f>LN(C401/C400)</f>
        <v>-0.01617286783626692</v>
      </c>
      <c r="K401" s="15">
        <f>LN(D401/D400)</f>
        <v>-0.033354080926819116</v>
      </c>
      <c r="L401" s="15">
        <f>LN(E401/E400)</f>
        <v>-0.0043822814890137705</v>
      </c>
      <c r="M401" s="15">
        <f>LN(F401/F400)</f>
        <v>-0.010837105186587004</v>
      </c>
      <c r="O401" s="14">
        <v>45013</v>
      </c>
      <c r="P401" s="15">
        <f>I404</f>
        <v>-0.007729104491391617</v>
      </c>
      <c r="Q401" s="15">
        <f>J404</f>
        <v>0.0</v>
      </c>
      <c r="R401" s="15">
        <f>K404</f>
        <v>-0.02102360612684804</v>
      </c>
      <c r="S401" s="15">
        <f>L404</f>
        <v>-0.0020036899079230227</v>
      </c>
      <c r="T401" s="15">
        <f>M404</f>
        <v>-0.012156953856124912</v>
      </c>
    </row>
    <row r="402" spans="1:20">
      <c r="A402" s="14">
        <v>45009</v>
      </c>
      <c r="B402" s="10">
        <v>827.5851440429688</v>
      </c>
      <c r="C402" s="10">
        <v>116.8937683105469</v>
      </c>
      <c r="D402" s="10">
        <v>637.200439453125</v>
      </c>
      <c r="E402" s="10">
        <v>16945.05078125</v>
      </c>
      <c r="F402" s="10">
        <v>380.9500122070313</v>
      </c>
      <c r="I402" s="15">
        <f>LN(B402/B401)</f>
        <v>-0.013648950874743106</v>
      </c>
      <c r="J402" s="15">
        <f>LN(C402/C401)</f>
        <v>-0.015589175606771772</v>
      </c>
      <c r="K402" s="15">
        <f>LN(D402/D401)</f>
        <v>-0.012019837918448581</v>
      </c>
      <c r="L402" s="15">
        <f>LN(E402/E401)</f>
        <v>-0.007750894050448838</v>
      </c>
      <c r="M402" s="15">
        <f>LN(F402/F401)</f>
        <v>-0.023606739775578145</v>
      </c>
      <c r="O402" s="14">
        <v>45014</v>
      </c>
      <c r="P402" s="15">
        <f>I405</f>
        <v>0.010393134912128869</v>
      </c>
      <c r="Q402" s="15">
        <f>J405</f>
        <v>0.020972417420187434</v>
      </c>
      <c r="R402" s="15">
        <f>K405</f>
        <v>0.038820951132947354</v>
      </c>
      <c r="S402" s="15">
        <f>L405</f>
        <v>0.0075810476927372725</v>
      </c>
      <c r="T402" s="15">
        <f>M405</f>
        <v>0.024299128147714483</v>
      </c>
    </row>
    <row r="403" spans="1:20">
      <c r="A403" s="14">
        <v>45012</v>
      </c>
      <c r="B403" s="10">
        <v>808.6137084960938</v>
      </c>
      <c r="C403" s="10">
        <v>114.759407043457</v>
      </c>
      <c r="D403" s="10">
        <v>654.7237548828125</v>
      </c>
      <c r="E403" s="10">
        <v>16985.69921875</v>
      </c>
      <c r="F403" s="10">
        <v>376.5499877929687</v>
      </c>
      <c r="I403" s="15">
        <f>LN(B403/B402)</f>
        <v>-0.02319068462703262</v>
      </c>
      <c r="J403" s="15">
        <f>LN(C403/C402)</f>
        <v>-0.018427735019000184</v>
      </c>
      <c r="K403" s="15">
        <f>LN(D403/D402)</f>
        <v>0.027129130705483145</v>
      </c>
      <c r="L403" s="15">
        <f>LN(E403/E402)</f>
        <v>0.002395965721106003</v>
      </c>
      <c r="M403" s="15">
        <f>LN(F403/F402)</f>
        <v>-0.01161735683340415</v>
      </c>
      <c r="O403" s="14">
        <v>45016</v>
      </c>
      <c r="P403" s="15">
        <f>I406</f>
        <v>0.01874789751360031</v>
      </c>
      <c r="Q403" s="15">
        <f>J406</f>
        <v>0.0341414363728274</v>
      </c>
      <c r="R403" s="15">
        <f>K406</f>
        <v>-0.03009716574252714</v>
      </c>
      <c r="S403" s="15">
        <f>L406</f>
        <v>0.016205182818433635</v>
      </c>
      <c r="T403" s="15">
        <f>M406</f>
        <v>0.016135710414157893</v>
      </c>
    </row>
    <row r="404" spans="1:20">
      <c r="A404" s="14">
        <v>45013</v>
      </c>
      <c r="B404" s="10">
        <v>802.387939453125</v>
      </c>
      <c r="C404" s="10">
        <v>114.759407043457</v>
      </c>
      <c r="D404" s="10">
        <v>641.102783203125</v>
      </c>
      <c r="E404" s="10">
        <v>16951.69921875</v>
      </c>
      <c r="F404" s="10">
        <v>372</v>
      </c>
      <c r="I404" s="15">
        <f>LN(B404/B403)</f>
        <v>-0.007729104491391617</v>
      </c>
      <c r="J404" s="15">
        <f>LN(C404/C403)</f>
        <v>0.0</v>
      </c>
      <c r="K404" s="15">
        <f>LN(D404/D403)</f>
        <v>-0.02102360612684804</v>
      </c>
      <c r="L404" s="15">
        <f>LN(E404/E403)</f>
        <v>-0.0020036899079230227</v>
      </c>
      <c r="M404" s="15">
        <f>LN(F404/F403)</f>
        <v>-0.012156953856124912</v>
      </c>
      <c r="O404" s="14">
        <v>45019</v>
      </c>
      <c r="P404" s="15">
        <f>I407</f>
        <v>0.0027260807648985604</v>
      </c>
      <c r="Q404" s="15">
        <f>J407</f>
        <v>0.028250456471543024</v>
      </c>
      <c r="R404" s="15">
        <f>K407</f>
        <v>0.015029383446610334</v>
      </c>
      <c r="S404" s="15">
        <f>L407</f>
        <v>0.002203867672376198</v>
      </c>
      <c r="T404" s="15">
        <f>M407</f>
        <v>0.008995177447325408</v>
      </c>
    </row>
    <row r="405" spans="1:20">
      <c r="A405" s="14">
        <v>45014</v>
      </c>
      <c r="B405" s="10">
        <v>810.770751953125</v>
      </c>
      <c r="C405" s="10">
        <v>117.1916046142578</v>
      </c>
      <c r="D405" s="10">
        <v>666.4804077148438</v>
      </c>
      <c r="E405" s="10">
        <v>17080.69921875</v>
      </c>
      <c r="F405" s="10">
        <v>381.1499938964844</v>
      </c>
      <c r="I405" s="15">
        <f>LN(B405/B404)</f>
        <v>0.010393134912128869</v>
      </c>
      <c r="J405" s="15">
        <f>LN(C405/C404)</f>
        <v>0.020972417420187434</v>
      </c>
      <c r="K405" s="15">
        <f>LN(D405/D404)</f>
        <v>0.038820951132947354</v>
      </c>
      <c r="L405" s="15">
        <f>LN(E405/E404)</f>
        <v>0.0075810476927372725</v>
      </c>
      <c r="M405" s="15">
        <f>LN(F405/F404)</f>
        <v>0.024299128147714483</v>
      </c>
      <c r="O405" s="14">
        <v>45021</v>
      </c>
      <c r="P405" s="15">
        <f>I408</f>
        <v>0.020036925892674935</v>
      </c>
      <c r="Q405" s="15">
        <f>J408</f>
        <v>0.05910198636678545</v>
      </c>
      <c r="R405" s="15">
        <f>K408</f>
        <v>-0.018880080661328163</v>
      </c>
      <c r="S405" s="15">
        <f>L408</f>
        <v>0.00909744726853034</v>
      </c>
      <c r="T405" s="15">
        <f>M408</f>
        <v>0.00510400487598999</v>
      </c>
    </row>
    <row r="406" spans="1:20">
      <c r="A406" s="14">
        <v>45016</v>
      </c>
      <c r="B406" s="10">
        <v>826.1143798828125</v>
      </c>
      <c r="C406" s="10">
        <v>121.2617797851562</v>
      </c>
      <c r="D406" s="10">
        <v>646.7200927734375</v>
      </c>
      <c r="E406" s="10">
        <v>17359.75</v>
      </c>
      <c r="F406" s="10">
        <v>387.3500061035156</v>
      </c>
      <c r="I406" s="15">
        <f>LN(B406/B405)</f>
        <v>0.01874789751360031</v>
      </c>
      <c r="J406" s="15">
        <f>LN(C406/C405)</f>
        <v>0.0341414363728274</v>
      </c>
      <c r="K406" s="15">
        <f>LN(D406/D405)</f>
        <v>-0.03009716574252714</v>
      </c>
      <c r="L406" s="15">
        <f>LN(E406/E405)</f>
        <v>0.016205182818433635</v>
      </c>
      <c r="M406" s="15">
        <f>LN(F406/F405)</f>
        <v>0.016135710414157893</v>
      </c>
      <c r="O406" s="14">
        <v>45022</v>
      </c>
      <c r="P406" s="15">
        <f>I409</f>
        <v>0.039521864472999234</v>
      </c>
      <c r="Q406" s="15">
        <f>J409</f>
        <v>0.01710717774388016</v>
      </c>
      <c r="R406" s="15">
        <f>K409</f>
        <v>-0.011095766422293643</v>
      </c>
      <c r="S406" s="15">
        <f>L409</f>
        <v>0.002395004471214228</v>
      </c>
      <c r="T406" s="15">
        <f>M409</f>
        <v>0.02798700280281558</v>
      </c>
    </row>
    <row r="407" spans="1:20">
      <c r="A407" s="14">
        <v>45019</v>
      </c>
      <c r="B407" s="10">
        <v>828.3695068359375</v>
      </c>
      <c r="C407" s="10">
        <v>124.736328125</v>
      </c>
      <c r="D407" s="10">
        <v>656.5133056640625</v>
      </c>
      <c r="E407" s="10">
        <v>17398.05078125</v>
      </c>
      <c r="F407" s="10">
        <v>390.8500061035156</v>
      </c>
      <c r="I407" s="15">
        <f>LN(B407/B406)</f>
        <v>0.0027260807648985604</v>
      </c>
      <c r="J407" s="15">
        <f>LN(C407/C406)</f>
        <v>0.028250456471543024</v>
      </c>
      <c r="K407" s="15">
        <f>LN(D407/D406)</f>
        <v>0.015029383446610334</v>
      </c>
      <c r="L407" s="15">
        <f>LN(E407/E406)</f>
        <v>0.002203867672376198</v>
      </c>
      <c r="M407" s="15">
        <f>LN(F407/F406)</f>
        <v>0.008995177447325408</v>
      </c>
      <c r="O407" s="14">
        <v>45026</v>
      </c>
      <c r="P407" s="15">
        <f>I410</f>
        <v>0.011310263947125072</v>
      </c>
      <c r="Q407" s="15">
        <f>J410</f>
        <v>-0.0033241307130120403</v>
      </c>
      <c r="R407" s="15">
        <f>K410</f>
        <v>0.006377657350425475</v>
      </c>
      <c r="S407" s="15">
        <f>L410</f>
        <v>0.0014138632460749291</v>
      </c>
      <c r="T407" s="15">
        <f>M410</f>
        <v>0.042048978742831235</v>
      </c>
    </row>
    <row r="408" spans="1:20">
      <c r="A408" s="14">
        <v>45021</v>
      </c>
      <c r="B408" s="10">
        <v>845.1348876953125</v>
      </c>
      <c r="C408" s="10">
        <v>132.3307037353516</v>
      </c>
      <c r="D408" s="10">
        <v>644.2345581054688</v>
      </c>
      <c r="E408" s="10">
        <v>17557.05078125</v>
      </c>
      <c r="F408" s="10">
        <v>392.8500061035156</v>
      </c>
      <c r="I408" s="15">
        <f>LN(B408/B407)</f>
        <v>0.020036925892674935</v>
      </c>
      <c r="J408" s="15">
        <f>LN(C408/C407)</f>
        <v>0.05910198636678545</v>
      </c>
      <c r="K408" s="15">
        <f>LN(D408/D407)</f>
        <v>-0.018880080661328163</v>
      </c>
      <c r="L408" s="15">
        <f>LN(E408/E407)</f>
        <v>0.00909744726853034</v>
      </c>
      <c r="M408" s="15">
        <f>LN(F408/F407)</f>
        <v>0.00510400487598999</v>
      </c>
      <c r="O408" s="14">
        <v>45027</v>
      </c>
      <c r="P408" s="15">
        <f>I411</f>
        <v>-0.005971844354705276</v>
      </c>
      <c r="Q408" s="15">
        <f>J411</f>
        <v>0.019418136160581207</v>
      </c>
      <c r="R408" s="15">
        <f>K411</f>
        <v>-0.0021730409404769743</v>
      </c>
      <c r="S408" s="15">
        <f>L411</f>
        <v>0.005559286811614234</v>
      </c>
      <c r="T408" s="15">
        <f>M411</f>
        <v>-0.0028520808567461284</v>
      </c>
    </row>
    <row r="409" spans="1:20">
      <c r="A409" s="14">
        <v>45022</v>
      </c>
      <c r="B409" s="10">
        <v>879.2050170898438</v>
      </c>
      <c r="C409" s="10">
        <v>134.6139831542969</v>
      </c>
      <c r="D409" s="10">
        <v>637.1257934570312</v>
      </c>
      <c r="E409" s="10">
        <v>17599.150390625</v>
      </c>
      <c r="F409" s="10">
        <v>404</v>
      </c>
      <c r="I409" s="15">
        <f>LN(B409/B408)</f>
        <v>0.039521864472999234</v>
      </c>
      <c r="J409" s="15">
        <f>LN(C409/C408)</f>
        <v>0.01710717774388016</v>
      </c>
      <c r="K409" s="15">
        <f>LN(D409/D408)</f>
        <v>-0.011095766422293643</v>
      </c>
      <c r="L409" s="15">
        <f>LN(E409/E408)</f>
        <v>0.002395004471214228</v>
      </c>
      <c r="M409" s="15">
        <f>LN(F409/F408)</f>
        <v>0.02798700280281558</v>
      </c>
      <c r="O409" s="14">
        <v>45028</v>
      </c>
      <c r="P409" s="15">
        <f>I412</f>
        <v>0.005696147705769404</v>
      </c>
      <c r="Q409" s="15">
        <f>J412</f>
        <v>0.026142829044933126</v>
      </c>
      <c r="R409" s="15">
        <f>K412</f>
        <v>-0.00245056784766174</v>
      </c>
      <c r="S409" s="15">
        <f>L412</f>
        <v>0.005071088231309614</v>
      </c>
      <c r="T409" s="15">
        <f>M412</f>
        <v>0.0007138194649243975</v>
      </c>
    </row>
    <row r="410" spans="1:20">
      <c r="A410" s="14">
        <v>45026</v>
      </c>
      <c r="B410" s="10">
        <v>889.2055053710938</v>
      </c>
      <c r="C410" s="10">
        <v>134.1672515869141</v>
      </c>
      <c r="D410" s="10">
        <v>641.2021484375</v>
      </c>
      <c r="E410" s="10">
        <v>17624.05078125</v>
      </c>
      <c r="F410" s="10">
        <v>421.3500061035156</v>
      </c>
      <c r="I410" s="15">
        <f>LN(B410/B409)</f>
        <v>0.011310263947125072</v>
      </c>
      <c r="J410" s="15">
        <f>LN(C410/C409)</f>
        <v>-0.0033241307130120403</v>
      </c>
      <c r="K410" s="15">
        <f>LN(D410/D409)</f>
        <v>0.006377657350425475</v>
      </c>
      <c r="L410" s="15">
        <f>LN(E410/E409)</f>
        <v>0.0014138632460749291</v>
      </c>
      <c r="M410" s="15">
        <f>LN(F410/F409)</f>
        <v>0.042048978742831235</v>
      </c>
      <c r="O410" s="14">
        <v>45029</v>
      </c>
      <c r="P410" s="15">
        <f>I413</f>
        <v>0.007909534210002815</v>
      </c>
      <c r="Q410" s="15">
        <f>J413</f>
        <v>0.0014130490070205029</v>
      </c>
      <c r="R410" s="15">
        <f>K413</f>
        <v>0.01261570298311751</v>
      </c>
      <c r="S410" s="15">
        <f>L413</f>
        <v>0.0008753891763391581</v>
      </c>
      <c r="T410" s="15">
        <f>M413</f>
        <v>0.011234079864549266</v>
      </c>
    </row>
    <row r="411" spans="1:20">
      <c r="A411" s="14">
        <v>45027</v>
      </c>
      <c r="B411" s="10">
        <v>883.9111328125</v>
      </c>
      <c r="C411" s="10">
        <v>136.7979888916016</v>
      </c>
      <c r="D411" s="10">
        <v>639.810302734375</v>
      </c>
      <c r="E411" s="10">
        <v>17722.30078125</v>
      </c>
      <c r="F411" s="10">
        <v>420.1499938964844</v>
      </c>
      <c r="I411" s="15">
        <f>LN(B411/B410)</f>
        <v>-0.005971844354705276</v>
      </c>
      <c r="J411" s="15">
        <f>LN(C411/C410)</f>
        <v>0.019418136160581207</v>
      </c>
      <c r="K411" s="15">
        <f>LN(D411/D410)</f>
        <v>-0.0021730409404769743</v>
      </c>
      <c r="L411" s="15">
        <f>LN(E411/E410)</f>
        <v>0.005559286811614234</v>
      </c>
      <c r="M411" s="15">
        <f>LN(F411/F410)</f>
        <v>-0.0028520808567461284</v>
      </c>
      <c r="O411" s="14">
        <v>45033</v>
      </c>
      <c r="P411" s="15">
        <f>I414</f>
        <v>0.003168189979518493</v>
      </c>
      <c r="Q411" s="15">
        <f>J414</f>
        <v>0.005982823271001464</v>
      </c>
      <c r="R411" s="15">
        <f>K414</f>
        <v>0.026226023800749166</v>
      </c>
      <c r="S411" s="15">
        <f>L414</f>
        <v>-0.00681870678285114</v>
      </c>
      <c r="T411" s="15">
        <f>M414</f>
        <v>0.009829196053915704</v>
      </c>
    </row>
    <row r="412" spans="1:20">
      <c r="A412" s="14">
        <v>45028</v>
      </c>
      <c r="B412" s="10">
        <v>888.9603881835938</v>
      </c>
      <c r="C412" s="10">
        <v>140.4214324951172</v>
      </c>
      <c r="D412" s="10">
        <v>638.2443237304688</v>
      </c>
      <c r="E412" s="10">
        <v>17812.400390625</v>
      </c>
      <c r="F412" s="10">
        <v>420.4500122070313</v>
      </c>
      <c r="I412" s="15">
        <f>LN(B412/B411)</f>
        <v>0.005696147705769404</v>
      </c>
      <c r="J412" s="15">
        <f>LN(C412/C411)</f>
        <v>0.026142829044933126</v>
      </c>
      <c r="K412" s="15">
        <f>LN(D412/D411)</f>
        <v>-0.00245056784766174</v>
      </c>
      <c r="L412" s="15">
        <f>LN(E412/E411)</f>
        <v>0.005071088231309614</v>
      </c>
      <c r="M412" s="15">
        <f>LN(F412/F411)</f>
        <v>0.0007138194649243975</v>
      </c>
      <c r="O412" s="14">
        <v>45034</v>
      </c>
      <c r="P412" s="15">
        <f>I415</f>
        <v>0.007498012281594635</v>
      </c>
      <c r="Q412" s="15">
        <f>J415</f>
        <v>-0.025587965209584184</v>
      </c>
      <c r="R412" s="15">
        <f>K415</f>
        <v>0.011693864171849427</v>
      </c>
      <c r="S412" s="15">
        <f>L415</f>
        <v>-0.0026408372714739102</v>
      </c>
      <c r="T412" s="15">
        <f>M415</f>
        <v>0.010309995077136468</v>
      </c>
    </row>
    <row r="413" spans="1:20">
      <c r="A413" s="14">
        <v>45029</v>
      </c>
      <c r="B413" s="10">
        <v>896.01953125</v>
      </c>
      <c r="C413" s="10">
        <v>140.6199951171875</v>
      </c>
      <c r="D413" s="10">
        <v>646.3472290039062</v>
      </c>
      <c r="E413" s="10">
        <v>17828</v>
      </c>
      <c r="F413" s="10">
        <v>425.2000122070313</v>
      </c>
      <c r="I413" s="15">
        <f>LN(B413/B412)</f>
        <v>0.007909534210002815</v>
      </c>
      <c r="J413" s="15">
        <f>LN(C413/C412)</f>
        <v>0.0014130490070205029</v>
      </c>
      <c r="K413" s="15">
        <f>LN(D413/D412)</f>
        <v>0.01261570298311751</v>
      </c>
      <c r="L413" s="15">
        <f>LN(E413/E412)</f>
        <v>0.0008753891763391581</v>
      </c>
      <c r="M413" s="15">
        <f>LN(F413/F412)</f>
        <v>0.011234079864549266</v>
      </c>
      <c r="O413" s="14">
        <v>45035</v>
      </c>
      <c r="P413" s="15">
        <f>I416</f>
        <v>-0.00032489864391918317</v>
      </c>
      <c r="Q413" s="15">
        <f>J416</f>
        <v>-0.02478259637377745</v>
      </c>
      <c r="R413" s="15">
        <f>K416</f>
        <v>0.008149157031520532</v>
      </c>
      <c r="S413" s="15">
        <f>L416</f>
        <v>-0.0023470351496987078</v>
      </c>
      <c r="T413" s="15">
        <f>M416</f>
        <v>0.0016121184845068704</v>
      </c>
    </row>
    <row r="414" spans="1:20">
      <c r="A414" s="14">
        <v>45033</v>
      </c>
      <c r="B414" s="10">
        <v>898.86279296875</v>
      </c>
      <c r="C414" s="10">
        <v>141.4638214111328</v>
      </c>
      <c r="D414" s="10">
        <v>663.5225830078125</v>
      </c>
      <c r="E414" s="10">
        <v>17706.849609375</v>
      </c>
      <c r="F414" s="10">
        <v>429.3999938964844</v>
      </c>
      <c r="I414" s="15">
        <f>LN(B414/B413)</f>
        <v>0.003168189979518493</v>
      </c>
      <c r="J414" s="15">
        <f>LN(C414/C413)</f>
        <v>0.005982823271001464</v>
      </c>
      <c r="K414" s="15">
        <f>LN(D414/D413)</f>
        <v>0.026226023800749166</v>
      </c>
      <c r="L414" s="15">
        <f>LN(E414/E413)</f>
        <v>-0.00681870678285114</v>
      </c>
      <c r="M414" s="15">
        <f>LN(F414/F413)</f>
        <v>0.009829196053915704</v>
      </c>
      <c r="O414" s="14">
        <v>45036</v>
      </c>
      <c r="P414" s="15">
        <f>I417</f>
        <v>-0.010779126417149735</v>
      </c>
      <c r="Q414" s="15">
        <f>J417</f>
        <v>0.001106408192876644</v>
      </c>
      <c r="R414" s="15">
        <f>K417</f>
        <v>0.014438114527593991</v>
      </c>
      <c r="S414" s="15">
        <f>L417</f>
        <v>0.00032342232975522987</v>
      </c>
      <c r="T414" s="15">
        <f>M417</f>
        <v>-0.004266309350125047</v>
      </c>
    </row>
    <row r="415" spans="1:20">
      <c r="A415" s="14">
        <v>45034</v>
      </c>
      <c r="B415" s="10">
        <v>905.6278076171876</v>
      </c>
      <c r="C415" s="10">
        <v>137.8899688720703</v>
      </c>
      <c r="D415" s="10">
        <v>671.3272705078125</v>
      </c>
      <c r="E415" s="10">
        <v>17660.150390625</v>
      </c>
      <c r="F415" s="10">
        <v>433.8500061035156</v>
      </c>
      <c r="I415" s="15">
        <f>LN(B415/B414)</f>
        <v>0.007498012281594635</v>
      </c>
      <c r="J415" s="15">
        <f>LN(C415/C414)</f>
        <v>-0.025587965209584184</v>
      </c>
      <c r="K415" s="15">
        <f>LN(D415/D414)</f>
        <v>0.011693864171849427</v>
      </c>
      <c r="L415" s="15">
        <f>LN(E415/E414)</f>
        <v>-0.0026408372714739102</v>
      </c>
      <c r="M415" s="15">
        <f>LN(F415/F414)</f>
        <v>0.010309995077136468</v>
      </c>
      <c r="O415" s="14">
        <v>45037</v>
      </c>
      <c r="P415" s="15">
        <f>I418</f>
        <v>-0.04494695825601849</v>
      </c>
      <c r="Q415" s="15">
        <f>J418</f>
        <v>0.027986686513637997</v>
      </c>
      <c r="R415" s="15">
        <f>K418</f>
        <v>-0.021699042013624516</v>
      </c>
      <c r="S415" s="15">
        <f>L418</f>
        <v>-2.260734499433094e-05</v>
      </c>
      <c r="T415" s="15">
        <f>M418</f>
        <v>-0.021491161350033795</v>
      </c>
    </row>
    <row r="416" spans="1:20">
      <c r="A416" s="14">
        <v>45035</v>
      </c>
      <c r="B416" s="10">
        <v>905.3336181640624</v>
      </c>
      <c r="C416" s="10">
        <v>134.5146942138672</v>
      </c>
      <c r="D416" s="10">
        <v>676.8203735351562</v>
      </c>
      <c r="E416" s="10">
        <v>17618.75</v>
      </c>
      <c r="F416" s="10">
        <v>434.5499877929687</v>
      </c>
      <c r="I416" s="15">
        <f>LN(B416/B415)</f>
        <v>-0.00032489864391918317</v>
      </c>
      <c r="J416" s="15">
        <f>LN(C416/C415)</f>
        <v>-0.02478259637377745</v>
      </c>
      <c r="K416" s="15">
        <f>LN(D416/D415)</f>
        <v>0.008149157031520532</v>
      </c>
      <c r="L416" s="15">
        <f>LN(E416/E415)</f>
        <v>-0.0023470351496987078</v>
      </c>
      <c r="M416" s="15">
        <f>LN(F416/F415)</f>
        <v>0.0016121184845068704</v>
      </c>
      <c r="O416" s="14">
        <v>45040</v>
      </c>
      <c r="P416" s="15">
        <f>I419</f>
        <v>0.004911643662701592</v>
      </c>
      <c r="Q416" s="15">
        <f>J419</f>
        <v>0.005361878327737798</v>
      </c>
      <c r="R416" s="15">
        <f>K419</f>
        <v>0.005680550434316205</v>
      </c>
      <c r="S416" s="15">
        <f>L419</f>
        <v>0.006749146939408538</v>
      </c>
      <c r="T416" s="15">
        <f>M419</f>
        <v>0.010569681489687642</v>
      </c>
    </row>
    <row r="417" spans="1:20">
      <c r="A417" s="14">
        <v>45036</v>
      </c>
      <c r="B417" s="10">
        <v>895.6273193359375</v>
      </c>
      <c r="C417" s="10">
        <v>134.6636047363281</v>
      </c>
      <c r="D417" s="10">
        <v>686.6632690429688</v>
      </c>
      <c r="E417" s="10">
        <v>17624.44921875</v>
      </c>
      <c r="F417" s="10">
        <v>432.7000122070313</v>
      </c>
      <c r="I417" s="15">
        <f>LN(B417/B416)</f>
        <v>-0.010779126417149735</v>
      </c>
      <c r="J417" s="15">
        <f>LN(C417/C416)</f>
        <v>0.001106408192876644</v>
      </c>
      <c r="K417" s="15">
        <f>LN(D417/D416)</f>
        <v>0.014438114527593991</v>
      </c>
      <c r="L417" s="15">
        <f>LN(E417/E416)</f>
        <v>0.00032342232975522987</v>
      </c>
      <c r="M417" s="15">
        <f>LN(F417/F416)</f>
        <v>-0.004266309350125047</v>
      </c>
      <c r="O417" s="14">
        <v>45041</v>
      </c>
      <c r="P417" s="15">
        <f>I420</f>
        <v>0.015432975207169755</v>
      </c>
      <c r="Q417" s="15">
        <f>J420</f>
        <v>0.004623913431417637</v>
      </c>
      <c r="R417" s="15">
        <f>K420</f>
        <v>0.007950059230660039</v>
      </c>
      <c r="S417" s="15">
        <f>L420</f>
        <v>0.0014557975062981768</v>
      </c>
      <c r="T417" s="15">
        <f>M420</f>
        <v>0.004894558398815903</v>
      </c>
    </row>
    <row r="418" spans="1:20">
      <c r="A418" s="14">
        <v>45037</v>
      </c>
      <c r="B418" s="10">
        <v>856.2628784179688</v>
      </c>
      <c r="C418" s="10">
        <v>138.4856262207031</v>
      </c>
      <c r="D418" s="10">
        <v>671.923828125</v>
      </c>
      <c r="E418" s="10">
        <v>17624.05078125</v>
      </c>
      <c r="F418" s="10">
        <v>423.5</v>
      </c>
      <c r="I418" s="15">
        <f>LN(B418/B417)</f>
        <v>-0.04494695825601849</v>
      </c>
      <c r="J418" s="15">
        <f>LN(C418/C417)</f>
        <v>0.027986686513637997</v>
      </c>
      <c r="K418" s="15">
        <f>LN(D418/D417)</f>
        <v>-0.021699042013624516</v>
      </c>
      <c r="L418" s="15">
        <f>LN(E418/E417)</f>
        <v>-2.260734499433094e-05</v>
      </c>
      <c r="M418" s="15">
        <f>LN(F418/F417)</f>
        <v>-0.021491161350033795</v>
      </c>
      <c r="O418" s="14">
        <v>45042</v>
      </c>
      <c r="P418" s="15">
        <f>I421</f>
        <v>0.016082341947818542</v>
      </c>
      <c r="Q418" s="15">
        <f>J421</f>
        <v>-0.005693903814989946</v>
      </c>
      <c r="R418" s="15">
        <f>K421</f>
        <v>0.014167150180604734</v>
      </c>
      <c r="S418" s="15">
        <f>L421</f>
        <v>0.002492753268886545</v>
      </c>
      <c r="T418" s="15">
        <f>M421</f>
        <v>0.013509831894200228</v>
      </c>
    </row>
    <row r="419" spans="1:20">
      <c r="A419" s="14">
        <v>45040</v>
      </c>
      <c r="B419" s="10">
        <v>860.4788818359375</v>
      </c>
      <c r="C419" s="10">
        <v>139.2301635742188</v>
      </c>
      <c r="D419" s="10">
        <v>675.7515869140625</v>
      </c>
      <c r="E419" s="10">
        <v>17743.400390625</v>
      </c>
      <c r="F419" s="10">
        <v>428</v>
      </c>
      <c r="I419" s="15">
        <f>LN(B419/B418)</f>
        <v>0.004911643662701592</v>
      </c>
      <c r="J419" s="15">
        <f>LN(C419/C418)</f>
        <v>0.005361878327737798</v>
      </c>
      <c r="K419" s="15">
        <f>LN(D419/D418)</f>
        <v>0.005680550434316205</v>
      </c>
      <c r="L419" s="15">
        <f>LN(E419/E418)</f>
        <v>0.006749146939408538</v>
      </c>
      <c r="M419" s="15">
        <f>LN(F419/F418)</f>
        <v>0.010569681489687642</v>
      </c>
      <c r="O419" s="14">
        <v>45043</v>
      </c>
      <c r="P419" s="15">
        <f>I422</f>
        <v>0.010106040809963164</v>
      </c>
      <c r="Q419" s="15">
        <f>J422</f>
        <v>0.014877970979868337</v>
      </c>
      <c r="R419" s="15">
        <f>K422</f>
        <v>0.016626632941882744</v>
      </c>
      <c r="S419" s="15">
        <f>L422</f>
        <v>0.005678996739265909</v>
      </c>
      <c r="T419" s="15">
        <f>M422</f>
        <v>0.015138855532275364</v>
      </c>
    </row>
    <row r="420" spans="1:20">
      <c r="A420" s="14">
        <v>45041</v>
      </c>
      <c r="B420" s="10">
        <v>873.8616333007812</v>
      </c>
      <c r="C420" s="10">
        <v>139.8754425048828</v>
      </c>
      <c r="D420" s="10">
        <v>681.145263671875</v>
      </c>
      <c r="E420" s="10">
        <v>17769.25</v>
      </c>
      <c r="F420" s="10">
        <v>430.1000061035156</v>
      </c>
      <c r="I420" s="15">
        <f>LN(B420/B419)</f>
        <v>0.015432975207169755</v>
      </c>
      <c r="J420" s="15">
        <f>LN(C420/C419)</f>
        <v>0.004623913431417637</v>
      </c>
      <c r="K420" s="15">
        <f>LN(D420/D419)</f>
        <v>0.007950059230660039</v>
      </c>
      <c r="L420" s="15">
        <f>LN(E420/E419)</f>
        <v>0.0014557975062981768</v>
      </c>
      <c r="M420" s="15">
        <f>LN(F420/F419)</f>
        <v>0.004894558398815903</v>
      </c>
      <c r="O420" s="14">
        <v>45044</v>
      </c>
      <c r="P420" s="15">
        <f>I423</f>
        <v>0.00016396281142460752</v>
      </c>
      <c r="Q420" s="15">
        <f>J423</f>
        <v>-0.004228371834552073</v>
      </c>
      <c r="R420" s="15">
        <f>K423</f>
        <v>0.02284307320772985</v>
      </c>
      <c r="S420" s="15">
        <f>L423</f>
        <v>0.008335179280697748</v>
      </c>
      <c r="T420" s="15">
        <f>M423</f>
        <v>0.005632548327404139</v>
      </c>
    </row>
    <row r="421" spans="1:20">
      <c r="A421" s="14">
        <v>45042</v>
      </c>
      <c r="B421" s="10">
        <v>888.0289916992188</v>
      </c>
      <c r="C421" s="10">
        <v>139.0812683105469</v>
      </c>
      <c r="D421" s="10">
        <v>690.8638305664062</v>
      </c>
      <c r="E421" s="10">
        <v>17813.599609375</v>
      </c>
      <c r="F421" s="10">
        <v>435.9500122070313</v>
      </c>
      <c r="I421" s="15">
        <f>LN(B421/B420)</f>
        <v>0.016082341947818542</v>
      </c>
      <c r="J421" s="15">
        <f>LN(C421/C420)</f>
        <v>-0.005693903814989946</v>
      </c>
      <c r="K421" s="15">
        <f>LN(D421/D420)</f>
        <v>0.014167150180604734</v>
      </c>
      <c r="L421" s="15">
        <f>LN(E421/E420)</f>
        <v>0.002492753268886545</v>
      </c>
      <c r="M421" s="15">
        <f>LN(F421/F420)</f>
        <v>0.013509831894200228</v>
      </c>
      <c r="O421" s="14">
        <v>45048</v>
      </c>
      <c r="P421" s="15">
        <f>I424</f>
        <v>0.0004369214465170257</v>
      </c>
      <c r="Q421" s="15">
        <f>J424</f>
        <v>-0.0031829446580144715</v>
      </c>
      <c r="R421" s="15">
        <f>K424</f>
        <v>0.0029010579150109453</v>
      </c>
      <c r="S421" s="15">
        <f>L424</f>
        <v>0.004564732669242972</v>
      </c>
      <c r="T421" s="15">
        <f>M424</f>
        <v>-0.00033704599700805544</v>
      </c>
    </row>
    <row r="422" spans="1:20">
      <c r="A422" s="14">
        <v>45043</v>
      </c>
      <c r="B422" s="10">
        <v>897.0489501953125</v>
      </c>
      <c r="C422" s="10">
        <v>141.1659851074219</v>
      </c>
      <c r="D422" s="10">
        <v>702.4465942382812</v>
      </c>
      <c r="E422" s="10">
        <v>17915.05078125</v>
      </c>
      <c r="F422" s="10">
        <v>442.6000061035156</v>
      </c>
      <c r="I422" s="15">
        <f>LN(B422/B421)</f>
        <v>0.010106040809963164</v>
      </c>
      <c r="J422" s="15">
        <f>LN(C422/C421)</f>
        <v>0.014877970979868337</v>
      </c>
      <c r="K422" s="15">
        <f>LN(D422/D421)</f>
        <v>0.016626632941882744</v>
      </c>
      <c r="L422" s="15">
        <f>LN(E422/E421)</f>
        <v>0.005678996739265909</v>
      </c>
      <c r="M422" s="15">
        <f>LN(F422/F421)</f>
        <v>0.015138855532275364</v>
      </c>
      <c r="O422" s="14">
        <v>45049</v>
      </c>
      <c r="P422" s="15">
        <f>I425</f>
        <v>0.008700397714743525</v>
      </c>
      <c r="Q422" s="15">
        <f>J425</f>
        <v>-0.022207293271732337</v>
      </c>
      <c r="R422" s="15">
        <f>K425</f>
        <v>-0.009041414410235041</v>
      </c>
      <c r="S422" s="15">
        <f>L425</f>
        <v>-0.003190111363585117</v>
      </c>
      <c r="T422" s="15">
        <f>M425</f>
        <v>0.0028053656187046524</v>
      </c>
    </row>
    <row r="423" spans="1:20">
      <c r="A423" s="14">
        <v>45044</v>
      </c>
      <c r="B423" s="10">
        <v>897.196044921875</v>
      </c>
      <c r="C423" s="10">
        <v>140.5703430175781</v>
      </c>
      <c r="D423" s="10">
        <v>718.6773071289062</v>
      </c>
      <c r="E423" s="10">
        <v>18065</v>
      </c>
      <c r="F423" s="10">
        <v>445.1000061035156</v>
      </c>
      <c r="I423" s="15">
        <f>LN(B423/B422)</f>
        <v>0.00016396281142460752</v>
      </c>
      <c r="J423" s="15">
        <f>LN(C423/C422)</f>
        <v>-0.004228371834552073</v>
      </c>
      <c r="K423" s="15">
        <f>LN(D423/D422)</f>
        <v>0.02284307320772985</v>
      </c>
      <c r="L423" s="15">
        <f>LN(E423/E422)</f>
        <v>0.008335179280697748</v>
      </c>
      <c r="M423" s="15">
        <f>LN(F423/F422)</f>
        <v>0.005632548327404139</v>
      </c>
      <c r="O423" s="14">
        <v>45050</v>
      </c>
      <c r="P423" s="15">
        <f>I426</f>
        <v>0.005022556879303888</v>
      </c>
      <c r="Q423" s="15">
        <f>J426</f>
        <v>0.00901401834174307</v>
      </c>
      <c r="R423" s="15">
        <f>K426</f>
        <v>0.007108396072671781</v>
      </c>
      <c r="S423" s="15">
        <f>L426</f>
        <v>0.009131894646700034</v>
      </c>
      <c r="T423" s="15">
        <f>M426</f>
        <v>0.0004480880381618722</v>
      </c>
    </row>
    <row r="424" spans="1:20">
      <c r="A424" s="14">
        <v>45048</v>
      </c>
      <c r="B424" s="10">
        <v>897.588134765625</v>
      </c>
      <c r="C424" s="10">
        <v>140.1236267089844</v>
      </c>
      <c r="D424" s="10">
        <v>720.7652587890625</v>
      </c>
      <c r="E424" s="10">
        <v>18147.650390625</v>
      </c>
      <c r="F424" s="10">
        <v>444.9500122070313</v>
      </c>
      <c r="I424" s="15">
        <f>LN(B424/B423)</f>
        <v>0.0004369214465170257</v>
      </c>
      <c r="J424" s="15">
        <f>LN(C424/C423)</f>
        <v>-0.0031829446580144715</v>
      </c>
      <c r="K424" s="15">
        <f>LN(D424/D423)</f>
        <v>0.0029010579150109453</v>
      </c>
      <c r="L424" s="15">
        <f>LN(E424/E423)</f>
        <v>0.004564732669242972</v>
      </c>
      <c r="M424" s="15">
        <f>LN(F424/F423)</f>
        <v>-0.00033704599700805544</v>
      </c>
      <c r="O424" s="14">
        <v>45051</v>
      </c>
      <c r="P424" s="15">
        <f>I427</f>
        <v>-0.005184960791943252</v>
      </c>
      <c r="Q424" s="15">
        <f>J427</f>
        <v>-0.029135252719999203</v>
      </c>
      <c r="R424" s="15">
        <f>K427</f>
        <v>-0.0002765477473828497</v>
      </c>
      <c r="S424" s="15">
        <f>L427</f>
        <v>-0.010285117822267788</v>
      </c>
      <c r="T424" s="15">
        <f>M427</f>
        <v>-0.0030287894178601072</v>
      </c>
    </row>
    <row r="425" spans="1:20">
      <c r="A425" s="14">
        <v>45049</v>
      </c>
      <c r="B425" s="10">
        <v>905.4315795898438</v>
      </c>
      <c r="C425" s="10">
        <v>137.0461578369141</v>
      </c>
      <c r="D425" s="10">
        <v>714.2778930664062</v>
      </c>
      <c r="E425" s="10">
        <v>18089.849609375</v>
      </c>
      <c r="F425" s="10">
        <v>446.2000122070313</v>
      </c>
      <c r="I425" s="15">
        <f>LN(B425/B424)</f>
        <v>0.008700397714743525</v>
      </c>
      <c r="J425" s="15">
        <f>LN(C425/C424)</f>
        <v>-0.022207293271732337</v>
      </c>
      <c r="K425" s="15">
        <f>LN(D425/D424)</f>
        <v>-0.009041414410235041</v>
      </c>
      <c r="L425" s="15">
        <f>LN(E425/E424)</f>
        <v>-0.003190111363585117</v>
      </c>
      <c r="M425" s="15">
        <f>LN(F425/F424)</f>
        <v>0.0028053656187046524</v>
      </c>
      <c r="O425" s="14">
        <v>45054</v>
      </c>
      <c r="P425" s="15">
        <f>I428</f>
        <v>0.016647599955071674</v>
      </c>
      <c r="Q425" s="15">
        <f>J428</f>
        <v>0.05779458673985578</v>
      </c>
      <c r="R425" s="15">
        <f>K428</f>
        <v>0.007025869545166052</v>
      </c>
      <c r="S425" s="15">
        <f>L428</f>
        <v>0.010756068652657526</v>
      </c>
      <c r="T425" s="15">
        <f>M428</f>
        <v>0.016269621988164708</v>
      </c>
    </row>
    <row r="426" spans="1:20">
      <c r="A426" s="14">
        <v>45050</v>
      </c>
      <c r="B426" s="10">
        <v>909.9906005859376</v>
      </c>
      <c r="C426" s="10">
        <v>138.2870788574219</v>
      </c>
      <c r="D426" s="10">
        <v>719.3733520507812</v>
      </c>
      <c r="E426" s="10">
        <v>18255.80078125</v>
      </c>
      <c r="F426" s="10">
        <v>446.3999938964844</v>
      </c>
      <c r="I426" s="15">
        <f>LN(B426/B425)</f>
        <v>0.005022556879303888</v>
      </c>
      <c r="J426" s="15">
        <f>LN(C426/C425)</f>
        <v>0.00901401834174307</v>
      </c>
      <c r="K426" s="15">
        <f>LN(D426/D425)</f>
        <v>0.007108396072671781</v>
      </c>
      <c r="L426" s="15">
        <f>LN(E426/E425)</f>
        <v>0.009131894646700034</v>
      </c>
      <c r="M426" s="15">
        <f>LN(F426/F425)</f>
        <v>0.0004480880381618722</v>
      </c>
      <c r="O426" s="14">
        <v>45055</v>
      </c>
      <c r="P426" s="15">
        <f>I429</f>
        <v>-0.007859775969546347</v>
      </c>
      <c r="Q426" s="15">
        <f>J429</f>
        <v>-0.017238809762179196</v>
      </c>
      <c r="R426" s="15">
        <f>K429</f>
        <v>0.0038021241177189544</v>
      </c>
      <c r="S426" s="15">
        <f>L429</f>
        <v>8.479678637020549e-05</v>
      </c>
      <c r="T426" s="15">
        <f>M429</f>
        <v>-0.008547548465804876</v>
      </c>
    </row>
    <row r="427" spans="1:20">
      <c r="A427" s="14">
        <v>45051</v>
      </c>
      <c r="B427" s="10">
        <v>905.2845458984376</v>
      </c>
      <c r="C427" s="10">
        <v>134.3161773681641</v>
      </c>
      <c r="D427" s="10">
        <v>719.1744384765625</v>
      </c>
      <c r="E427" s="10">
        <v>18069</v>
      </c>
      <c r="F427" s="10">
        <v>445.0499877929687</v>
      </c>
      <c r="I427" s="15">
        <f>LN(B427/B426)</f>
        <v>-0.005184960791943252</v>
      </c>
      <c r="J427" s="15">
        <f>LN(C427/C426)</f>
        <v>-0.029135252719999203</v>
      </c>
      <c r="K427" s="15">
        <f>LN(D427/D426)</f>
        <v>-0.0002765477473828497</v>
      </c>
      <c r="L427" s="15">
        <f>LN(E427/E426)</f>
        <v>-0.010285117822267788</v>
      </c>
      <c r="M427" s="15">
        <f>LN(F427/F426)</f>
        <v>-0.0030287894178601072</v>
      </c>
      <c r="O427" s="14">
        <v>45056</v>
      </c>
      <c r="P427" s="15">
        <f>I430</f>
        <v>0.008817796996205558</v>
      </c>
      <c r="Q427" s="15">
        <f>J430</f>
        <v>0.013744716835975002</v>
      </c>
      <c r="R427" s="15">
        <f>K430</f>
        <v>0.0021857959695773354</v>
      </c>
      <c r="S427" s="15">
        <f>L430</f>
        <v>0.0026872067245805376</v>
      </c>
      <c r="T427" s="15">
        <f>M430</f>
        <v>0.008547548465804787</v>
      </c>
    </row>
    <row r="428" spans="1:20">
      <c r="A428" s="14">
        <v>45054</v>
      </c>
      <c r="B428" s="10">
        <v>920.4815063476562</v>
      </c>
      <c r="C428" s="10">
        <v>142.3076324462891</v>
      </c>
      <c r="D428" s="10">
        <v>724.2450561523438</v>
      </c>
      <c r="E428" s="10">
        <v>18264.400390625</v>
      </c>
      <c r="F428" s="10">
        <v>452.3500061035156</v>
      </c>
      <c r="I428" s="15">
        <f>LN(B428/B427)</f>
        <v>0.016647599955071674</v>
      </c>
      <c r="J428" s="15">
        <f>LN(C428/C427)</f>
        <v>0.05779458673985578</v>
      </c>
      <c r="K428" s="15">
        <f>LN(D428/D427)</f>
        <v>0.007025869545166052</v>
      </c>
      <c r="L428" s="15">
        <f>LN(E428/E427)</f>
        <v>0.010756068652657526</v>
      </c>
      <c r="M428" s="15">
        <f>LN(F428/F427)</f>
        <v>0.016269621988164708</v>
      </c>
      <c r="O428" s="14">
        <v>45057</v>
      </c>
      <c r="P428" s="15">
        <f>I431</f>
        <v>0.010532309064765568</v>
      </c>
      <c r="Q428" s="15">
        <f>J431</f>
        <v>-0.016587780279837924</v>
      </c>
      <c r="R428" s="15">
        <f>K431</f>
        <v>0.013216874253943987</v>
      </c>
      <c r="S428" s="15">
        <f>L431</f>
        <v>-0.0009887229108728535</v>
      </c>
      <c r="T428" s="15">
        <f>M431</f>
        <v>0.004741683652877808</v>
      </c>
    </row>
    <row r="429" spans="1:20">
      <c r="A429" s="14">
        <v>45055</v>
      </c>
      <c r="B429" s="10">
        <v>913.2750854492188</v>
      </c>
      <c r="C429" s="10">
        <v>139.8754425048828</v>
      </c>
      <c r="D429" s="10">
        <v>727.0039672851562</v>
      </c>
      <c r="E429" s="10">
        <v>18265.94921875</v>
      </c>
      <c r="F429" s="10">
        <v>448.5</v>
      </c>
      <c r="I429" s="15">
        <f>LN(B429/B428)</f>
        <v>-0.007859775969546347</v>
      </c>
      <c r="J429" s="15">
        <f>LN(C429/C428)</f>
        <v>-0.017238809762179196</v>
      </c>
      <c r="K429" s="15">
        <f>LN(D429/D428)</f>
        <v>0.0038021241177189544</v>
      </c>
      <c r="L429" s="15">
        <f>LN(E429/E428)</f>
        <v>8.479678637020549e-05</v>
      </c>
      <c r="M429" s="15">
        <f>LN(F429/F428)</f>
        <v>-0.008547548465804876</v>
      </c>
      <c r="O429" s="14">
        <v>45058</v>
      </c>
      <c r="P429" s="15">
        <f>I432</f>
        <v>-0.009096830839353125</v>
      </c>
      <c r="Q429" s="15">
        <f>J432</f>
        <v>-0.004279533830848022</v>
      </c>
      <c r="R429" s="15">
        <f>K432</f>
        <v>-0.014787474001851753</v>
      </c>
      <c r="S429" s="15">
        <f>L432</f>
        <v>0.0009724068345624825</v>
      </c>
      <c r="T429" s="15">
        <f>M432</f>
        <v>-0.003526576531884807</v>
      </c>
    </row>
    <row r="430" spans="1:20">
      <c r="A430" s="14">
        <v>45056</v>
      </c>
      <c r="B430" s="10">
        <v>921.36376953125</v>
      </c>
      <c r="C430" s="10">
        <v>141.8112640380859</v>
      </c>
      <c r="D430" s="10">
        <v>728.5947875976562</v>
      </c>
      <c r="E430" s="10">
        <v>18315.099609375</v>
      </c>
      <c r="F430" s="10">
        <v>452.3500061035156</v>
      </c>
      <c r="I430" s="15">
        <f>LN(B430/B429)</f>
        <v>0.008817796996205558</v>
      </c>
      <c r="J430" s="15">
        <f>LN(C430/C429)</f>
        <v>0.013744716835975002</v>
      </c>
      <c r="K430" s="15">
        <f>LN(D430/D429)</f>
        <v>0.0021857959695773354</v>
      </c>
      <c r="L430" s="15">
        <f>LN(E430/E429)</f>
        <v>0.0026872067245805376</v>
      </c>
      <c r="M430" s="15">
        <f>LN(F430/F429)</f>
        <v>0.008547548465804787</v>
      </c>
      <c r="O430" s="14">
        <v>45061</v>
      </c>
      <c r="P430" s="15">
        <f>I433</f>
        <v>0.04751938741200523</v>
      </c>
      <c r="Q430" s="15">
        <f>J433</f>
        <v>0.019115786488221754</v>
      </c>
      <c r="R430" s="15">
        <f>K433</f>
        <v>0.010468845709366131</v>
      </c>
      <c r="S430" s="15">
        <f>L433</f>
        <v>0.004578622613795238</v>
      </c>
      <c r="T430" s="15">
        <f>M433</f>
        <v>0.04226060998070684</v>
      </c>
    </row>
    <row r="431" spans="1:20">
      <c r="A431" s="14">
        <v>45057</v>
      </c>
      <c r="B431" s="10">
        <v>931.119140625</v>
      </c>
      <c r="C431" s="10">
        <v>139.4783325195312</v>
      </c>
      <c r="D431" s="10">
        <v>738.2884521484375</v>
      </c>
      <c r="E431" s="10">
        <v>18297</v>
      </c>
      <c r="F431" s="10">
        <v>454.5</v>
      </c>
      <c r="I431" s="15">
        <f>LN(B431/B430)</f>
        <v>0.010532309064765568</v>
      </c>
      <c r="J431" s="15">
        <f>LN(C431/C430)</f>
        <v>-0.016587780279837924</v>
      </c>
      <c r="K431" s="15">
        <f>LN(D431/D430)</f>
        <v>0.013216874253943987</v>
      </c>
      <c r="L431" s="15">
        <f>LN(E431/E430)</f>
        <v>-0.0009887229108728535</v>
      </c>
      <c r="M431" s="15">
        <f>LN(F431/F430)</f>
        <v>0.004741683652877808</v>
      </c>
      <c r="O431" s="14">
        <v>45062</v>
      </c>
      <c r="P431" s="15">
        <f>I434</f>
        <v>-0.011977443517167985</v>
      </c>
      <c r="Q431" s="15">
        <f>J434</f>
        <v>0.028686766478621638</v>
      </c>
      <c r="R431" s="15">
        <f>K434</f>
        <v>0.0024315332452230103</v>
      </c>
      <c r="S431" s="15">
        <f>L434</f>
        <v>-0.0061250587396132535</v>
      </c>
      <c r="T431" s="15">
        <f>M434</f>
        <v>-0.0007411065856765542</v>
      </c>
    </row>
    <row r="432" spans="1:20">
      <c r="A432" s="14">
        <v>45058</v>
      </c>
      <c r="B432" s="10">
        <v>922.6873168945312</v>
      </c>
      <c r="C432" s="10">
        <v>138.8827056884766</v>
      </c>
      <c r="D432" s="10">
        <v>727.4513549804688</v>
      </c>
      <c r="E432" s="10">
        <v>18314.80078125</v>
      </c>
      <c r="F432" s="10">
        <v>452.8999938964844</v>
      </c>
      <c r="I432" s="15">
        <f>LN(B432/B431)</f>
        <v>-0.009096830839353125</v>
      </c>
      <c r="J432" s="15">
        <f>LN(C432/C431)</f>
        <v>-0.004279533830848022</v>
      </c>
      <c r="K432" s="15">
        <f>LN(D432/D431)</f>
        <v>-0.014787474001851753</v>
      </c>
      <c r="L432" s="15">
        <f>LN(E432/E431)</f>
        <v>0.0009724068345624825</v>
      </c>
      <c r="M432" s="15">
        <f>LN(F432/F431)</f>
        <v>-0.003526576531884807</v>
      </c>
      <c r="O432" s="14">
        <v>45063</v>
      </c>
      <c r="P432" s="15">
        <f>I435</f>
        <v>-0.06377669481332818</v>
      </c>
      <c r="Q432" s="15">
        <f>J435</f>
        <v>-0.00546630259738039</v>
      </c>
      <c r="R432" s="15">
        <f>K435</f>
        <v>-0.012080565885589062</v>
      </c>
      <c r="S432" s="15">
        <f>L435</f>
        <v>-0.005744738948538704</v>
      </c>
      <c r="T432" s="15">
        <f>M435</f>
        <v>-0.013434509237032414</v>
      </c>
    </row>
    <row r="433" spans="1:20">
      <c r="A433" s="14">
        <v>45061</v>
      </c>
      <c r="B433" s="10">
        <v>967.59130859375</v>
      </c>
      <c r="C433" s="10">
        <v>141.5630950927734</v>
      </c>
      <c r="D433" s="10">
        <v>735.10693359375</v>
      </c>
      <c r="E433" s="10">
        <v>18398.849609375</v>
      </c>
      <c r="F433" s="10">
        <v>472.4500122070313</v>
      </c>
      <c r="I433" s="15">
        <f>LN(B433/B432)</f>
        <v>0.04751938741200523</v>
      </c>
      <c r="J433" s="15">
        <f>LN(C433/C432)</f>
        <v>0.019115786488221754</v>
      </c>
      <c r="K433" s="15">
        <f>LN(D433/D432)</f>
        <v>0.010468845709366131</v>
      </c>
      <c r="L433" s="15">
        <f>LN(E433/E432)</f>
        <v>0.004578622613795238</v>
      </c>
      <c r="M433" s="15">
        <f>LN(F433/F432)</f>
        <v>0.04226060998070684</v>
      </c>
      <c r="O433" s="14">
        <v>45064</v>
      </c>
      <c r="P433" s="15">
        <f>I436</f>
        <v>-0.027537017853285755</v>
      </c>
      <c r="Q433" s="15">
        <f>J436</f>
        <v>-0.000685301376895516</v>
      </c>
      <c r="R433" s="15">
        <f>K436</f>
        <v>-0.012608731547322654</v>
      </c>
      <c r="S433" s="15">
        <f>L436</f>
        <v>-0.0028531199312594804</v>
      </c>
      <c r="T433" s="15">
        <f>M436</f>
        <v>-0.024008513845415018</v>
      </c>
    </row>
    <row r="434" spans="1:20">
      <c r="A434" s="14">
        <v>45062</v>
      </c>
      <c r="B434" s="10">
        <v>956.0711669921876</v>
      </c>
      <c r="C434" s="10">
        <v>145.6828918457031</v>
      </c>
      <c r="D434" s="10">
        <v>736.8965454101562</v>
      </c>
      <c r="E434" s="10">
        <v>18286.5</v>
      </c>
      <c r="F434" s="10">
        <v>472.1000061035156</v>
      </c>
      <c r="I434" s="15">
        <f>LN(B434/B433)</f>
        <v>-0.011977443517167985</v>
      </c>
      <c r="J434" s="15">
        <f>LN(C434/C433)</f>
        <v>0.028686766478621638</v>
      </c>
      <c r="K434" s="15">
        <f>LN(D434/D433)</f>
        <v>0.0024315332452230103</v>
      </c>
      <c r="L434" s="15">
        <f>LN(E434/E433)</f>
        <v>-0.0061250587396132535</v>
      </c>
      <c r="M434" s="15">
        <f>LN(F434/F433)</f>
        <v>-0.0007411065856765542</v>
      </c>
      <c r="O434" s="14">
        <v>45065</v>
      </c>
      <c r="P434" s="15">
        <f>I437</f>
        <v>0.03140983496700543</v>
      </c>
      <c r="Q434" s="15">
        <f>J437</f>
        <v>-0.004122440794139511</v>
      </c>
      <c r="R434" s="15">
        <f>K437</f>
        <v>-0.02191584857607646</v>
      </c>
      <c r="S434" s="15">
        <f>L437</f>
        <v>0.004043187469679982</v>
      </c>
      <c r="T434" s="15">
        <f>M437</f>
        <v>0.008648610817127337</v>
      </c>
    </row>
    <row r="435" spans="1:20">
      <c r="A435" s="14">
        <v>45063</v>
      </c>
      <c r="B435" s="10">
        <v>896.9998168945312</v>
      </c>
      <c r="C435" s="10">
        <v>144.8887176513672</v>
      </c>
      <c r="D435" s="10">
        <v>728.0479736328125</v>
      </c>
      <c r="E435" s="10">
        <v>18181.75</v>
      </c>
      <c r="F435" s="10">
        <v>465.7999877929687</v>
      </c>
      <c r="I435" s="15">
        <f>LN(B435/B434)</f>
        <v>-0.06377669481332818</v>
      </c>
      <c r="J435" s="15">
        <f>LN(C435/C434)</f>
        <v>-0.00546630259738039</v>
      </c>
      <c r="K435" s="15">
        <f>LN(D435/D434)</f>
        <v>-0.012080565885589062</v>
      </c>
      <c r="L435" s="15">
        <f>LN(E435/E434)</f>
        <v>-0.005744738948538704</v>
      </c>
      <c r="M435" s="15">
        <f>LN(F435/F434)</f>
        <v>-0.013434509237032414</v>
      </c>
      <c r="O435" s="14">
        <v>45068</v>
      </c>
      <c r="P435" s="15">
        <f>I438</f>
        <v>0.007700590157995341</v>
      </c>
      <c r="Q435" s="15">
        <f>J438</f>
        <v>-0.010728586998435943</v>
      </c>
      <c r="R435" s="15">
        <f>K438</f>
        <v>0.0088660859202646</v>
      </c>
      <c r="S435" s="15">
        <f>L438</f>
        <v>0.0060792457091855085</v>
      </c>
      <c r="T435" s="15">
        <f>M438</f>
        <v>0.007060258326400306</v>
      </c>
    </row>
    <row r="436" spans="1:20">
      <c r="A436" s="14">
        <v>45064</v>
      </c>
      <c r="B436" s="10">
        <v>872.6361083984375</v>
      </c>
      <c r="C436" s="10">
        <v>144.7894592285156</v>
      </c>
      <c r="D436" s="10">
        <v>718.9258422851562</v>
      </c>
      <c r="E436" s="10">
        <v>18129.94921875</v>
      </c>
      <c r="F436" s="10">
        <v>454.75</v>
      </c>
      <c r="I436" s="15">
        <f>LN(B436/B435)</f>
        <v>-0.027537017853285755</v>
      </c>
      <c r="J436" s="15">
        <f>LN(C436/C435)</f>
        <v>-0.000685301376895516</v>
      </c>
      <c r="K436" s="15">
        <f>LN(D436/D435)</f>
        <v>-0.012608731547322654</v>
      </c>
      <c r="L436" s="15">
        <f>LN(E436/E435)</f>
        <v>-0.0028531199312594804</v>
      </c>
      <c r="M436" s="15">
        <f>LN(F436/F435)</f>
        <v>-0.024008513845415018</v>
      </c>
      <c r="O436" s="14">
        <v>45069</v>
      </c>
      <c r="P436" s="15">
        <f>I439</f>
        <v>0.00010814937133589688</v>
      </c>
      <c r="Q436" s="15">
        <f>J439</f>
        <v>-0.0013927696623945048</v>
      </c>
      <c r="R436" s="15">
        <f>K439</f>
        <v>-0.008477392216850583</v>
      </c>
      <c r="S436" s="15">
        <f>L439</f>
        <v>0.0018329197446846867</v>
      </c>
      <c r="T436" s="15">
        <f>M439</f>
        <v>-0.000757958125348754</v>
      </c>
    </row>
    <row r="437" spans="1:20">
      <c r="A437" s="14">
        <v>45065</v>
      </c>
      <c r="B437" s="10">
        <v>900.48046875</v>
      </c>
      <c r="C437" s="10">
        <v>144.1938018798828</v>
      </c>
      <c r="D437" s="10">
        <v>703.3413696289062</v>
      </c>
      <c r="E437" s="10">
        <v>18203.400390625</v>
      </c>
      <c r="F437" s="10">
        <v>458.7000122070313</v>
      </c>
      <c r="I437" s="15">
        <f>LN(B437/B436)</f>
        <v>0.03140983496700543</v>
      </c>
      <c r="J437" s="15">
        <f>LN(C437/C436)</f>
        <v>-0.004122440794139511</v>
      </c>
      <c r="K437" s="15">
        <f>LN(D437/D436)</f>
        <v>-0.02191584857607646</v>
      </c>
      <c r="L437" s="15">
        <f>LN(E437/E436)</f>
        <v>0.004043187469679982</v>
      </c>
      <c r="M437" s="15">
        <f>LN(F437/F436)</f>
        <v>0.008648610817127337</v>
      </c>
      <c r="O437" s="14">
        <v>45070</v>
      </c>
      <c r="P437" s="15">
        <f>I440</f>
        <v>-0.0009728905205200243</v>
      </c>
      <c r="Q437" s="15">
        <f>J440</f>
        <v>-0.01828455426288647</v>
      </c>
      <c r="R437" s="15">
        <f>K440</f>
        <v>0.004933410654778959</v>
      </c>
      <c r="S437" s="15">
        <f>L440</f>
        <v>-0.003417628155656871</v>
      </c>
      <c r="T437" s="15">
        <f>M440</f>
        <v>-0.00010836442815703173</v>
      </c>
    </row>
    <row r="438" spans="1:20">
      <c r="A438" s="14">
        <v>45068</v>
      </c>
      <c r="B438" s="10">
        <v>907.4414672851562</v>
      </c>
      <c r="C438" s="10">
        <v>142.6550750732422</v>
      </c>
      <c r="D438" s="10">
        <v>709.60498046875</v>
      </c>
      <c r="E438" s="10">
        <v>18314.400390625</v>
      </c>
      <c r="F438" s="10">
        <v>461.9500122070313</v>
      </c>
      <c r="I438" s="15">
        <f>LN(B438/B437)</f>
        <v>0.007700590157995341</v>
      </c>
      <c r="J438" s="15">
        <f>LN(C438/C437)</f>
        <v>-0.010728586998435943</v>
      </c>
      <c r="K438" s="15">
        <f>LN(D438/D437)</f>
        <v>0.0088660859202646</v>
      </c>
      <c r="L438" s="15">
        <f>LN(E438/E437)</f>
        <v>0.0060792457091855085</v>
      </c>
      <c r="M438" s="15">
        <f>LN(F438/F437)</f>
        <v>0.007060258326400306</v>
      </c>
      <c r="O438" s="14">
        <v>45071</v>
      </c>
      <c r="P438" s="15">
        <f>I441</f>
        <v>0.017685491997296427</v>
      </c>
      <c r="Q438" s="15">
        <f>J441</f>
        <v>0.020372982003508587</v>
      </c>
      <c r="R438" s="15">
        <f>K441</f>
        <v>-0.014731231782580278</v>
      </c>
      <c r="S438" s="15">
        <f>L441</f>
        <v>0.0019532029433287895</v>
      </c>
      <c r="T438" s="15">
        <f>M441</f>
        <v>0.011096315123572044</v>
      </c>
    </row>
    <row r="439" spans="1:20">
      <c r="A439" s="14">
        <v>45069</v>
      </c>
      <c r="B439" s="10">
        <v>907.5396118164062</v>
      </c>
      <c r="C439" s="10">
        <v>142.4565277099609</v>
      </c>
      <c r="D439" s="10">
        <v>703.6148071289062</v>
      </c>
      <c r="E439" s="10">
        <v>18348</v>
      </c>
      <c r="F439" s="10">
        <v>461.6000061035156</v>
      </c>
      <c r="I439" s="15">
        <f>LN(B439/B438)</f>
        <v>0.00010814937133589688</v>
      </c>
      <c r="J439" s="15">
        <f>LN(C439/C438)</f>
        <v>-0.0013927696623945048</v>
      </c>
      <c r="K439" s="15">
        <f>LN(D439/D438)</f>
        <v>-0.008477392216850583</v>
      </c>
      <c r="L439" s="15">
        <f>LN(E439/E438)</f>
        <v>0.0018329197446846867</v>
      </c>
      <c r="M439" s="15">
        <f>LN(F439/F438)</f>
        <v>-0.000757958125348754</v>
      </c>
      <c r="O439" s="14">
        <v>45072</v>
      </c>
      <c r="P439" s="15">
        <f>I442</f>
        <v>-0.008910779953799113</v>
      </c>
      <c r="Q439" s="15">
        <f>J442</f>
        <v>0.02234919728865586</v>
      </c>
      <c r="R439" s="15">
        <f>K442</f>
        <v>0.053886994996801815</v>
      </c>
      <c r="S439" s="15">
        <f>L442</f>
        <v>0.009679423693686186</v>
      </c>
      <c r="T439" s="15">
        <f>M442</f>
        <v>0.012456856496985955</v>
      </c>
    </row>
    <row r="440" spans="1:20">
      <c r="A440" s="14">
        <v>45070</v>
      </c>
      <c r="B440" s="10">
        <v>906.6571044921876</v>
      </c>
      <c r="C440" s="10">
        <v>139.8754425048828</v>
      </c>
      <c r="D440" s="10">
        <v>707.0946044921875</v>
      </c>
      <c r="E440" s="10">
        <v>18285.400390625</v>
      </c>
      <c r="F440" s="10">
        <v>461.5499877929687</v>
      </c>
      <c r="I440" s="15">
        <f>LN(B440/B439)</f>
        <v>-0.0009728905205200243</v>
      </c>
      <c r="J440" s="15">
        <f>LN(C440/C439)</f>
        <v>-0.01828455426288647</v>
      </c>
      <c r="K440" s="15">
        <f>LN(D440/D439)</f>
        <v>0.004933410654778959</v>
      </c>
      <c r="L440" s="15">
        <f>LN(E440/E439)</f>
        <v>-0.003417628155656871</v>
      </c>
      <c r="M440" s="15">
        <f>LN(F440/F439)</f>
        <v>-0.00010836442815703173</v>
      </c>
      <c r="O440" s="14">
        <v>45075</v>
      </c>
      <c r="P440" s="15">
        <f>I443</f>
        <v>-0.0034898293286501846</v>
      </c>
      <c r="Q440" s="15">
        <f>J443</f>
        <v>0.025844814928166596</v>
      </c>
      <c r="R440" s="15">
        <f>K443</f>
        <v>-0.01067057663497884</v>
      </c>
      <c r="S440" s="15">
        <f>L443</f>
        <v>0.005353443226476252</v>
      </c>
      <c r="T440" s="15">
        <f>M443</f>
        <v>0.007694424078203717</v>
      </c>
    </row>
    <row r="441" spans="1:20">
      <c r="A441" s="14">
        <v>45071</v>
      </c>
      <c r="B441" s="10">
        <v>922.8344116210938</v>
      </c>
      <c r="C441" s="10">
        <v>142.7543487548828</v>
      </c>
      <c r="D441" s="10">
        <v>696.7545776367188</v>
      </c>
      <c r="E441" s="10">
        <v>18321.150390625</v>
      </c>
      <c r="F441" s="10">
        <v>466.7000122070313</v>
      </c>
      <c r="I441" s="15">
        <f>LN(B441/B440)</f>
        <v>0.017685491997296427</v>
      </c>
      <c r="J441" s="15">
        <f>LN(C441/C440)</f>
        <v>0.020372982003508587</v>
      </c>
      <c r="K441" s="15">
        <f>LN(D441/D440)</f>
        <v>-0.014731231782580278</v>
      </c>
      <c r="L441" s="15">
        <f>LN(E441/E440)</f>
        <v>0.0019532029433287895</v>
      </c>
      <c r="M441" s="15">
        <f>LN(F441/F440)</f>
        <v>0.011096315123572044</v>
      </c>
      <c r="O441" s="14">
        <v>45076</v>
      </c>
      <c r="P441" s="15">
        <f>I444</f>
        <v>0.0037577175136578197</v>
      </c>
      <c r="Q441" s="15">
        <f>J444</f>
        <v>-0.0013263732206353625</v>
      </c>
      <c r="R441" s="15">
        <f>K444</f>
        <v>0.02376725178578035</v>
      </c>
      <c r="S441" s="15">
        <f>L444</f>
        <v>0.0018907797884415813</v>
      </c>
      <c r="T441" s="15">
        <f>M444</f>
        <v>-0.0021021659503830943</v>
      </c>
    </row>
    <row r="442" spans="1:20">
      <c r="A442" s="14">
        <v>45072</v>
      </c>
      <c r="B442" s="10">
        <v>914.6477661132812</v>
      </c>
      <c r="C442" s="10">
        <v>145.980712890625</v>
      </c>
      <c r="D442" s="10">
        <v>735.3306274414062</v>
      </c>
      <c r="E442" s="10">
        <v>18499.349609375</v>
      </c>
      <c r="F442" s="10">
        <v>472.5499877929687</v>
      </c>
      <c r="I442" s="15">
        <f>LN(B442/B441)</f>
        <v>-0.008910779953799113</v>
      </c>
      <c r="J442" s="15">
        <f>LN(C442/C441)</f>
        <v>0.02234919728865586</v>
      </c>
      <c r="K442" s="15">
        <f>LN(D442/D441)</f>
        <v>0.053886994996801815</v>
      </c>
      <c r="L442" s="15">
        <f>LN(E442/E441)</f>
        <v>0.009679423693686186</v>
      </c>
      <c r="M442" s="15">
        <f>LN(F442/F441)</f>
        <v>0.012456856496985955</v>
      </c>
      <c r="O442" s="14">
        <v>45077</v>
      </c>
      <c r="P442" s="15">
        <f>I445</f>
        <v>-0.002575228899845903</v>
      </c>
      <c r="Q442" s="15">
        <f>J445</f>
        <v>0.008918282564689432</v>
      </c>
      <c r="R442" s="15">
        <f>K445</f>
        <v>-0.021310412484062694</v>
      </c>
      <c r="S442" s="15">
        <f>L445</f>
        <v>-0.005351312266430236</v>
      </c>
      <c r="T442" s="15">
        <f>M445</f>
        <v>0.0075471544521328975</v>
      </c>
    </row>
    <row r="443" spans="1:20">
      <c r="A443" s="14">
        <v>45075</v>
      </c>
      <c r="B443" s="10">
        <v>911.4613647460938</v>
      </c>
      <c r="C443" s="10">
        <v>149.802734375</v>
      </c>
      <c r="D443" s="10">
        <v>727.5259399414062</v>
      </c>
      <c r="E443" s="10">
        <v>18598.650390625</v>
      </c>
      <c r="F443" s="10">
        <v>476.2000122070313</v>
      </c>
      <c r="I443" s="15">
        <f>LN(B443/B442)</f>
        <v>-0.0034898293286501846</v>
      </c>
      <c r="J443" s="15">
        <f>LN(C443/C442)</f>
        <v>0.025844814928166596</v>
      </c>
      <c r="K443" s="15">
        <f>LN(D443/D442)</f>
        <v>-0.01067057663497884</v>
      </c>
      <c r="L443" s="15">
        <f>LN(E443/E442)</f>
        <v>0.005353443226476252</v>
      </c>
      <c r="M443" s="15">
        <f>LN(F443/F442)</f>
        <v>0.007694424078203717</v>
      </c>
      <c r="O443" s="14">
        <v>45078</v>
      </c>
      <c r="P443" s="15">
        <f>I446</f>
        <v>0.010474179398538234</v>
      </c>
      <c r="Q443" s="15">
        <f>J446</f>
        <v>-0.0013160313716858462</v>
      </c>
      <c r="R443" s="15">
        <f>K446</f>
        <v>0.01562268982847503</v>
      </c>
      <c r="S443" s="15">
        <f>L446</f>
        <v>-0.0025201353688439534</v>
      </c>
      <c r="T443" s="15">
        <f>M446</f>
        <v>0.010801958527866855</v>
      </c>
    </row>
    <row r="444" spans="1:20">
      <c r="A444" s="14">
        <v>45076</v>
      </c>
      <c r="B444" s="10">
        <v>914.892822265625</v>
      </c>
      <c r="C444" s="10">
        <v>149.6041717529297</v>
      </c>
      <c r="D444" s="10">
        <v>745.0243530273438</v>
      </c>
      <c r="E444" s="10">
        <v>18633.849609375</v>
      </c>
      <c r="F444" s="10">
        <v>475.2000122070313</v>
      </c>
      <c r="I444" s="15">
        <f>LN(B444/B443)</f>
        <v>0.0037577175136578197</v>
      </c>
      <c r="J444" s="15">
        <f>LN(C444/C443)</f>
        <v>-0.0013263732206353625</v>
      </c>
      <c r="K444" s="15">
        <f>LN(D444/D443)</f>
        <v>0.02376725178578035</v>
      </c>
      <c r="L444" s="15">
        <f>LN(E444/E443)</f>
        <v>0.0018907797884415813</v>
      </c>
      <c r="M444" s="15">
        <f>LN(F444/F443)</f>
        <v>-0.0021021659503830943</v>
      </c>
      <c r="O444" s="14">
        <v>45079</v>
      </c>
      <c r="P444" s="15">
        <f>I447</f>
        <v>0.019269834075834293</v>
      </c>
      <c r="Q444" s="15">
        <f>J447</f>
        <v>0.027283205127488535</v>
      </c>
      <c r="R444" s="15">
        <f>K447</f>
        <v>0.0018102208928368801</v>
      </c>
      <c r="S444" s="15">
        <f>L447</f>
        <v>0.002503906967370625</v>
      </c>
      <c r="T444" s="15">
        <f>M447</f>
        <v>0.01405368785648267</v>
      </c>
    </row>
    <row r="445" spans="1:20">
      <c r="A445" s="14">
        <v>45077</v>
      </c>
      <c r="B445" s="10">
        <v>912.539794921875</v>
      </c>
      <c r="C445" s="10">
        <v>150.9443511962891</v>
      </c>
      <c r="D445" s="10">
        <v>729.3155517578125</v>
      </c>
      <c r="E445" s="10">
        <v>18534.400390625</v>
      </c>
      <c r="F445" s="10">
        <v>478.7999877929687</v>
      </c>
      <c r="I445" s="15">
        <f>LN(B445/B444)</f>
        <v>-0.002575228899845903</v>
      </c>
      <c r="J445" s="15">
        <f>LN(C445/C444)</f>
        <v>0.008918282564689432</v>
      </c>
      <c r="K445" s="15">
        <f>LN(D445/D444)</f>
        <v>-0.021310412484062694</v>
      </c>
      <c r="L445" s="15">
        <f>LN(E445/E444)</f>
        <v>-0.005351312266430236</v>
      </c>
      <c r="M445" s="15">
        <f>LN(F445/F444)</f>
        <v>0.0075471544521328975</v>
      </c>
      <c r="O445" s="14">
        <v>45082</v>
      </c>
      <c r="P445" s="15">
        <f>I448</f>
        <v>0.0008860255896854882</v>
      </c>
      <c r="Q445" s="15">
        <f>J448</f>
        <v>0.014315422974728336</v>
      </c>
      <c r="R445" s="15">
        <f>K448</f>
        <v>0.013968570072661366</v>
      </c>
      <c r="S445" s="15">
        <f>L448</f>
        <v>0.0032186023111129003</v>
      </c>
      <c r="T445" s="15">
        <f>M448</f>
        <v>0.003457358945239007</v>
      </c>
    </row>
    <row r="446" spans="1:20">
      <c r="A446" s="14">
        <v>45078</v>
      </c>
      <c r="B446" s="10">
        <v>922.1481323242188</v>
      </c>
      <c r="C446" s="10">
        <v>150.7458343505859</v>
      </c>
      <c r="D446" s="10">
        <v>740.7988891601562</v>
      </c>
      <c r="E446" s="10">
        <v>18487.75</v>
      </c>
      <c r="F446" s="10">
        <v>484</v>
      </c>
      <c r="I446" s="15">
        <f>LN(B446/B445)</f>
        <v>0.010474179398538234</v>
      </c>
      <c r="J446" s="15">
        <f>LN(C446/C445)</f>
        <v>-0.0013160313716858462</v>
      </c>
      <c r="K446" s="15">
        <f>LN(D446/D445)</f>
        <v>0.01562268982847503</v>
      </c>
      <c r="L446" s="15">
        <f>LN(E446/E445)</f>
        <v>-0.0025201353688439534</v>
      </c>
      <c r="M446" s="15">
        <f>LN(F446/F445)</f>
        <v>0.010801958527866855</v>
      </c>
      <c r="O446" s="14">
        <v>45083</v>
      </c>
      <c r="P446" s="15">
        <f>I449</f>
        <v>0.026173260534637137</v>
      </c>
      <c r="Q446" s="15">
        <f>J449</f>
        <v>0.015358429361746617</v>
      </c>
      <c r="R446" s="15">
        <f>K449</f>
        <v>0.010742015238169996</v>
      </c>
      <c r="S446" s="15">
        <f>L449</f>
        <v>0.00027695595857881204</v>
      </c>
      <c r="T446" s="15">
        <f>M449</f>
        <v>0.011807001708670653</v>
      </c>
    </row>
    <row r="447" spans="1:20">
      <c r="A447" s="14">
        <v>45079</v>
      </c>
      <c r="B447" s="10">
        <v>940.090087890625</v>
      </c>
      <c r="C447" s="10">
        <v>154.915283203125</v>
      </c>
      <c r="D447" s="10">
        <v>742.14111328125</v>
      </c>
      <c r="E447" s="10">
        <v>18534.099609375</v>
      </c>
      <c r="F447" s="10">
        <v>490.8500061035156</v>
      </c>
      <c r="I447" s="15">
        <f>LN(B447/B446)</f>
        <v>0.019269834075834293</v>
      </c>
      <c r="J447" s="15">
        <f>LN(C447/C446)</f>
        <v>0.027283205127488535</v>
      </c>
      <c r="K447" s="15">
        <f>LN(D447/D446)</f>
        <v>0.0018102208928368801</v>
      </c>
      <c r="L447" s="15">
        <f>LN(E447/E446)</f>
        <v>0.002503906967370625</v>
      </c>
      <c r="M447" s="15">
        <f>LN(F447/F446)</f>
        <v>0.01405368785648267</v>
      </c>
      <c r="O447" s="14">
        <v>45084</v>
      </c>
      <c r="P447" s="15">
        <f>I450</f>
        <v>-0.004272584013771519</v>
      </c>
      <c r="Q447" s="15">
        <f>J450</f>
        <v>0.023667841793711192</v>
      </c>
      <c r="R447" s="15">
        <f>K450</f>
        <v>0.05798216443295285</v>
      </c>
      <c r="S447" s="15">
        <f>L450</f>
        <v>0.006826497990157328</v>
      </c>
      <c r="T447" s="15">
        <f>M450</f>
        <v>0.015726399638565803</v>
      </c>
    </row>
    <row r="448" spans="1:20">
      <c r="A448" s="14">
        <v>45082</v>
      </c>
      <c r="B448" s="10">
        <v>940.9234008789062</v>
      </c>
      <c r="C448" s="10">
        <v>157.1489105224609</v>
      </c>
      <c r="D448" s="10">
        <v>752.5805053710938</v>
      </c>
      <c r="E448" s="10">
        <v>18593.849609375</v>
      </c>
      <c r="F448" s="10">
        <v>492.5499877929687</v>
      </c>
      <c r="I448" s="15">
        <f>LN(B448/B447)</f>
        <v>0.0008860255896854882</v>
      </c>
      <c r="J448" s="15">
        <f>LN(C448/C447)</f>
        <v>0.014315422974728336</v>
      </c>
      <c r="K448" s="15">
        <f>LN(D448/D447)</f>
        <v>0.013968570072661366</v>
      </c>
      <c r="L448" s="15">
        <f>LN(E448/E447)</f>
        <v>0.0032186023111129003</v>
      </c>
      <c r="M448" s="15">
        <f>LN(F448/F447)</f>
        <v>0.003457358945239007</v>
      </c>
      <c r="O448" s="14">
        <v>45085</v>
      </c>
      <c r="P448" s="15">
        <f>I451</f>
        <v>-0.014271168404414643</v>
      </c>
      <c r="Q448" s="15">
        <f>J451</f>
        <v>-0.005482756690368393</v>
      </c>
      <c r="R448" s="15">
        <f>K451</f>
        <v>-0.007210202101473134</v>
      </c>
      <c r="S448" s="15">
        <f>L451</f>
        <v>-0.004916887367083021</v>
      </c>
      <c r="T448" s="15">
        <f>M451</f>
        <v>-0.016027395772685957</v>
      </c>
    </row>
    <row r="449" spans="1:20">
      <c r="A449" s="14">
        <v>45083</v>
      </c>
      <c r="B449" s="10">
        <v>965.8755493164062</v>
      </c>
      <c r="C449" s="10">
        <v>159.5811004638672</v>
      </c>
      <c r="D449" s="10">
        <v>760.7083129882812</v>
      </c>
      <c r="E449" s="10">
        <v>18599</v>
      </c>
      <c r="F449" s="10">
        <v>498.3999938964844</v>
      </c>
      <c r="I449" s="15">
        <f>LN(B449/B448)</f>
        <v>0.026173260534637137</v>
      </c>
      <c r="J449" s="15">
        <f>LN(C449/C448)</f>
        <v>0.015358429361746617</v>
      </c>
      <c r="K449" s="15">
        <f>LN(D449/D448)</f>
        <v>0.010742015238169996</v>
      </c>
      <c r="L449" s="15">
        <f>LN(E449/E448)</f>
        <v>0.00027695595857881204</v>
      </c>
      <c r="M449" s="15">
        <f>LN(F449/F448)</f>
        <v>0.011807001708670653</v>
      </c>
      <c r="O449" s="14">
        <v>45086</v>
      </c>
      <c r="P449" s="15">
        <f>I452</f>
        <v>-0.001241584560325388</v>
      </c>
      <c r="Q449" s="15">
        <f>J452</f>
        <v>-0.003978615829821086</v>
      </c>
      <c r="R449" s="15">
        <f>K452</f>
        <v>-0.02953203669604535</v>
      </c>
      <c r="S449" s="15">
        <f>L452</f>
        <v>-0.003825505177262602</v>
      </c>
      <c r="T449" s="15">
        <f>M452</f>
        <v>0.0004013488657902018</v>
      </c>
    </row>
    <row r="450" spans="1:20">
      <c r="A450" s="14">
        <v>45084</v>
      </c>
      <c r="B450" s="10">
        <v>961.757568359375</v>
      </c>
      <c r="C450" s="10">
        <v>163.4030914306641</v>
      </c>
      <c r="D450" s="10">
        <v>806.11962890625</v>
      </c>
      <c r="E450" s="10">
        <v>18726.400390625</v>
      </c>
      <c r="F450" s="10">
        <v>506.2999877929687</v>
      </c>
      <c r="I450" s="15">
        <f>LN(B450/B449)</f>
        <v>-0.004272584013771519</v>
      </c>
      <c r="J450" s="15">
        <f>LN(C450/C449)</f>
        <v>0.023667841793711192</v>
      </c>
      <c r="K450" s="15">
        <f>LN(D450/D449)</f>
        <v>0.05798216443295285</v>
      </c>
      <c r="L450" s="15">
        <f>LN(E450/E449)</f>
        <v>0.006826497990157328</v>
      </c>
      <c r="M450" s="15">
        <f>LN(F450/F449)</f>
        <v>0.015726399638565803</v>
      </c>
      <c r="O450" s="14">
        <v>45089</v>
      </c>
      <c r="P450" s="15">
        <f>I453</f>
        <v>-0.002384295759894605</v>
      </c>
      <c r="Q450" s="15">
        <f>J453</f>
        <v>0.030502301621793314</v>
      </c>
      <c r="R450" s="15">
        <f>K453</f>
        <v>0.017471646296914316</v>
      </c>
      <c r="S450" s="15">
        <f>L453</f>
        <v>0.0020503013499982166</v>
      </c>
      <c r="T450" s="15">
        <f>M453</f>
        <v>0.01404473050183191</v>
      </c>
    </row>
    <row r="451" spans="1:20">
      <c r="A451" s="14">
        <v>45085</v>
      </c>
      <c r="B451" s="10">
        <v>948.129638671875</v>
      </c>
      <c r="C451" s="10">
        <v>162.5096435546875</v>
      </c>
      <c r="D451" s="10">
        <v>800.3282470703125</v>
      </c>
      <c r="E451" s="10">
        <v>18634.55078125</v>
      </c>
      <c r="F451" s="10">
        <v>498.25</v>
      </c>
      <c r="I451" s="15">
        <f>LN(B451/B450)</f>
        <v>-0.014271168404414643</v>
      </c>
      <c r="J451" s="15">
        <f>LN(C451/C450)</f>
        <v>-0.005482756690368393</v>
      </c>
      <c r="K451" s="15">
        <f>LN(D451/D450)</f>
        <v>-0.007210202101473134</v>
      </c>
      <c r="L451" s="15">
        <f>LN(E451/E450)</f>
        <v>-0.004916887367083021</v>
      </c>
      <c r="M451" s="15">
        <f>LN(F451/F450)</f>
        <v>-0.016027395772685957</v>
      </c>
      <c r="O451" s="14">
        <v>45090</v>
      </c>
      <c r="P451" s="15">
        <f>I454</f>
        <v>0.02110321273451981</v>
      </c>
      <c r="Q451" s="15">
        <f>J454</f>
        <v>0.002673241094817512</v>
      </c>
      <c r="R451" s="15">
        <f>K454</f>
        <v>-0.012812264018999034</v>
      </c>
      <c r="S451" s="15">
        <f>L454</f>
        <v>0.00614458574708609</v>
      </c>
      <c r="T451" s="15">
        <f>M454</f>
        <v>0.029626045151828567</v>
      </c>
    </row>
    <row r="452" spans="1:20">
      <c r="A452" s="14">
        <v>45086</v>
      </c>
      <c r="B452" s="10">
        <v>946.9531860351562</v>
      </c>
      <c r="C452" s="10">
        <v>161.8643646240234</v>
      </c>
      <c r="D452" s="10">
        <v>777.0385131835938</v>
      </c>
      <c r="E452" s="10">
        <v>18563.400390625</v>
      </c>
      <c r="F452" s="10">
        <v>498.4500122070313</v>
      </c>
      <c r="I452" s="15">
        <f>LN(B452/B451)</f>
        <v>-0.001241584560325388</v>
      </c>
      <c r="J452" s="15">
        <f>LN(C452/C451)</f>
        <v>-0.003978615829821086</v>
      </c>
      <c r="K452" s="15">
        <f>LN(D452/D451)</f>
        <v>-0.02953203669604535</v>
      </c>
      <c r="L452" s="15">
        <f>LN(E452/E451)</f>
        <v>-0.003825505177262602</v>
      </c>
      <c r="M452" s="15">
        <f>LN(F452/F451)</f>
        <v>0.0004013488657902018</v>
      </c>
      <c r="O452" s="14">
        <v>45091</v>
      </c>
      <c r="P452" s="15">
        <f>I455</f>
        <v>0.03489849228223511</v>
      </c>
      <c r="Q452" s="15">
        <f>J455</f>
        <v>0.0002966064027909889</v>
      </c>
      <c r="R452" s="15">
        <f>K455</f>
        <v>-0.002869609353795792</v>
      </c>
      <c r="S452" s="15">
        <f>L455</f>
        <v>0.002121582036807868</v>
      </c>
      <c r="T452" s="15">
        <f>M455</f>
        <v>0.0027808660700005786</v>
      </c>
    </row>
    <row r="453" spans="1:20">
      <c r="A453" s="14">
        <v>45089</v>
      </c>
      <c r="B453" s="10">
        <v>944.6980590820312</v>
      </c>
      <c r="C453" s="10">
        <v>166.8776702880859</v>
      </c>
      <c r="D453" s="10">
        <v>790.7339477539062</v>
      </c>
      <c r="E453" s="10">
        <v>18601.5</v>
      </c>
      <c r="F453" s="10">
        <v>505.5</v>
      </c>
      <c r="I453" s="15">
        <f>LN(B453/B452)</f>
        <v>-0.002384295759894605</v>
      </c>
      <c r="J453" s="15">
        <f>LN(C453/C452)</f>
        <v>0.030502301621793314</v>
      </c>
      <c r="K453" s="15">
        <f>LN(D453/D452)</f>
        <v>0.017471646296914316</v>
      </c>
      <c r="L453" s="15">
        <f>LN(E453/E452)</f>
        <v>0.0020503013499982166</v>
      </c>
      <c r="M453" s="15">
        <f>LN(F453/F452)</f>
        <v>0.01404473050183191</v>
      </c>
      <c r="O453" s="14">
        <v>45092</v>
      </c>
      <c r="P453" s="15">
        <f>I456</f>
        <v>-0.024687667416278074</v>
      </c>
      <c r="Q453" s="15">
        <f>J456</f>
        <v>-0.027052998972160285</v>
      </c>
      <c r="R453" s="15">
        <f>K456</f>
        <v>-0.005089926394973497</v>
      </c>
      <c r="S453" s="15">
        <f>L456</f>
        <v>-0.0036214536561356998</v>
      </c>
      <c r="T453" s="15">
        <f>M456</f>
        <v>-0.007593657997743774</v>
      </c>
    </row>
    <row r="454" spans="1:20">
      <c r="A454" s="14">
        <v>45090</v>
      </c>
      <c r="B454" s="10">
        <v>964.8460693359376</v>
      </c>
      <c r="C454" s="10">
        <v>167.3243713378906</v>
      </c>
      <c r="D454" s="10">
        <v>780.66748046875</v>
      </c>
      <c r="E454" s="10">
        <v>18716.150390625</v>
      </c>
      <c r="F454" s="10">
        <v>520.7000122070312</v>
      </c>
      <c r="I454" s="15">
        <f>LN(B454/B453)</f>
        <v>0.02110321273451981</v>
      </c>
      <c r="J454" s="15">
        <f>LN(C454/C453)</f>
        <v>0.002673241094817512</v>
      </c>
      <c r="K454" s="15">
        <f>LN(D454/D453)</f>
        <v>-0.012812264018999034</v>
      </c>
      <c r="L454" s="15">
        <f>LN(E454/E453)</f>
        <v>0.00614458574708609</v>
      </c>
      <c r="M454" s="15">
        <f>LN(F454/F453)</f>
        <v>0.029626045151828567</v>
      </c>
      <c r="O454" s="14">
        <v>45093</v>
      </c>
      <c r="P454" s="15">
        <f>I457</f>
        <v>0.0200648104171102</v>
      </c>
      <c r="Q454" s="15">
        <f>J457</f>
        <v>0.02050734075486297</v>
      </c>
      <c r="R454" s="15">
        <f>K457</f>
        <v>0.014686578633909758</v>
      </c>
      <c r="S454" s="15">
        <f>L457</f>
        <v>0.007351956368470602</v>
      </c>
      <c r="T454" s="15">
        <f>M457</f>
        <v>-0.0021250594958627063</v>
      </c>
    </row>
    <row r="455" spans="1:20">
      <c r="A455" s="14">
        <v>45091</v>
      </c>
      <c r="B455" s="10">
        <v>999.1121826171876</v>
      </c>
      <c r="C455" s="10">
        <v>167.3740081787109</v>
      </c>
      <c r="D455" s="10">
        <v>778.4304809570312</v>
      </c>
      <c r="E455" s="10">
        <v>18755.900390625</v>
      </c>
      <c r="F455" s="10">
        <v>522.1500244140625</v>
      </c>
      <c r="I455" s="15">
        <f>LN(B455/B454)</f>
        <v>0.03489849228223511</v>
      </c>
      <c r="J455" s="15">
        <f>LN(C455/C454)</f>
        <v>0.0002966064027909889</v>
      </c>
      <c r="K455" s="15">
        <f>LN(D455/D454)</f>
        <v>-0.002869609353795792</v>
      </c>
      <c r="L455" s="15">
        <f>LN(E455/E454)</f>
        <v>0.002121582036807868</v>
      </c>
      <c r="M455" s="15">
        <f>LN(F455/F454)</f>
        <v>0.0027808660700005786</v>
      </c>
      <c r="O455" s="14">
        <v>45096</v>
      </c>
      <c r="P455" s="15">
        <f>I458</f>
        <v>-0.005188916828094238</v>
      </c>
      <c r="Q455" s="15">
        <f>J458</f>
        <v>0.010098180729521192</v>
      </c>
      <c r="R455" s="15">
        <f>K458</f>
        <v>-0.009086033089986947</v>
      </c>
      <c r="S455" s="15">
        <f>L458</f>
        <v>-0.003754557931873424</v>
      </c>
      <c r="T455" s="15">
        <f>M458</f>
        <v>-0.0072784060020941056</v>
      </c>
    </row>
    <row r="456" spans="1:20">
      <c r="A456" s="14">
        <v>45092</v>
      </c>
      <c r="B456" s="10">
        <v>974.7484130859376</v>
      </c>
      <c r="C456" s="10">
        <v>162.90673828125</v>
      </c>
      <c r="D456" s="10">
        <v>774.4783935546875</v>
      </c>
      <c r="E456" s="10">
        <v>18688.099609375</v>
      </c>
      <c r="F456" s="10">
        <v>518.2000122070312</v>
      </c>
      <c r="I456" s="15">
        <f>LN(B456/B455)</f>
        <v>-0.024687667416278074</v>
      </c>
      <c r="J456" s="15">
        <f>LN(C456/C455)</f>
        <v>-0.027052998972160285</v>
      </c>
      <c r="K456" s="15">
        <f>LN(D456/D455)</f>
        <v>-0.005089926394973497</v>
      </c>
      <c r="L456" s="15">
        <f>LN(E456/E455)</f>
        <v>-0.0036214536561356998</v>
      </c>
      <c r="M456" s="15">
        <f>LN(F456/F455)</f>
        <v>-0.007593657997743774</v>
      </c>
      <c r="O456" s="14">
        <v>45097</v>
      </c>
      <c r="P456" s="15">
        <f>I459</f>
        <v>0.010939702912595281</v>
      </c>
      <c r="Q456" s="15">
        <f>J459</f>
        <v>0.0032452557973206664</v>
      </c>
      <c r="R456" s="15">
        <f>K459</f>
        <v>0.002295268788913083</v>
      </c>
      <c r="S456" s="15">
        <f>L459</f>
        <v>0.0032603966930515953</v>
      </c>
      <c r="T456" s="15">
        <f>M459</f>
        <v>0.004858152031896301</v>
      </c>
    </row>
    <row r="457" spans="1:20">
      <c r="A457" s="14">
        <v>45093</v>
      </c>
      <c r="B457" s="10">
        <v>994.5040893554688</v>
      </c>
      <c r="C457" s="10">
        <v>166.2820129394531</v>
      </c>
      <c r="D457" s="10">
        <v>785.936767578125</v>
      </c>
      <c r="E457" s="10">
        <v>18826</v>
      </c>
      <c r="F457" s="10">
        <v>517.0999755859375</v>
      </c>
      <c r="I457" s="15">
        <f>LN(B457/B456)</f>
        <v>0.0200648104171102</v>
      </c>
      <c r="J457" s="15">
        <f>LN(C457/C456)</f>
        <v>0.02050734075486297</v>
      </c>
      <c r="K457" s="15">
        <f>LN(D457/D456)</f>
        <v>0.014686578633909758</v>
      </c>
      <c r="L457" s="15">
        <f>LN(E457/E456)</f>
        <v>0.007351956368470602</v>
      </c>
      <c r="M457" s="15">
        <f>LN(F457/F456)</f>
        <v>-0.0021250594958627063</v>
      </c>
      <c r="O457" s="14">
        <v>45098</v>
      </c>
      <c r="P457" s="15">
        <f>I460</f>
        <v>-0.002759184940613544</v>
      </c>
      <c r="Q457" s="15">
        <f>J460</f>
        <v>-0.011553978665289191</v>
      </c>
      <c r="R457" s="15">
        <f>K460</f>
        <v>-0.00012745501441704433</v>
      </c>
      <c r="S457" s="15">
        <f>L460</f>
        <v>0.0021314905059401927</v>
      </c>
      <c r="T457" s="15">
        <f>M460</f>
        <v>-0.0033008790590337866</v>
      </c>
    </row>
    <row r="458" spans="1:20">
      <c r="A458" s="14">
        <v>45096</v>
      </c>
      <c r="B458" s="10">
        <v>989.3570556640624</v>
      </c>
      <c r="C458" s="10">
        <v>167.9696655273438</v>
      </c>
      <c r="D458" s="10">
        <v>778.8280639648438</v>
      </c>
      <c r="E458" s="10">
        <v>18755.44921875</v>
      </c>
      <c r="F458" s="10">
        <v>513.3499755859375</v>
      </c>
      <c r="I458" s="15">
        <f>LN(B458/B457)</f>
        <v>-0.005188916828094238</v>
      </c>
      <c r="J458" s="15">
        <f>LN(C458/C457)</f>
        <v>0.010098180729521192</v>
      </c>
      <c r="K458" s="15">
        <f>LN(D458/D457)</f>
        <v>-0.009086033089986947</v>
      </c>
      <c r="L458" s="15">
        <f>LN(E458/E457)</f>
        <v>-0.003754557931873424</v>
      </c>
      <c r="M458" s="15">
        <f>LN(F458/F457)</f>
        <v>-0.0072784060020941056</v>
      </c>
      <c r="O458" s="14">
        <v>45099</v>
      </c>
      <c r="P458" s="15">
        <f>I461</f>
        <v>-0.015463402902838439</v>
      </c>
      <c r="Q458" s="15">
        <f>J461</f>
        <v>-0.006876955200579529</v>
      </c>
      <c r="R458" s="15">
        <f>K461</f>
        <v>-0.014918664139340995</v>
      </c>
      <c r="S458" s="15">
        <f>L461</f>
        <v>-0.004549778379793411</v>
      </c>
      <c r="T458" s="15">
        <f>M461</f>
        <v>-0.008006362963998832</v>
      </c>
    </row>
    <row r="459" spans="1:20">
      <c r="A459" s="14">
        <v>45097</v>
      </c>
      <c r="B459" s="10">
        <v>1000.23974609375</v>
      </c>
      <c r="C459" s="10">
        <v>168.5156555175781</v>
      </c>
      <c r="D459" s="10">
        <v>780.6177368164062</v>
      </c>
      <c r="E459" s="10">
        <v>18816.69921875</v>
      </c>
      <c r="F459" s="10">
        <v>515.8499755859375</v>
      </c>
      <c r="I459" s="15">
        <f>LN(B459/B458)</f>
        <v>0.010939702912595281</v>
      </c>
      <c r="J459" s="15">
        <f>LN(C459/C458)</f>
        <v>0.0032452557973206664</v>
      </c>
      <c r="K459" s="15">
        <f>LN(D459/D458)</f>
        <v>0.002295268788913083</v>
      </c>
      <c r="L459" s="15">
        <f>LN(E459/E458)</f>
        <v>0.0032603966930515953</v>
      </c>
      <c r="M459" s="15">
        <f>LN(F459/F458)</f>
        <v>0.004858152031896301</v>
      </c>
      <c r="O459" s="14">
        <v>45100</v>
      </c>
      <c r="P459" s="15">
        <f>I462</f>
        <v>-0.014027832916840512</v>
      </c>
      <c r="Q459" s="15">
        <f>J462</f>
        <v>-0.00964733469147245</v>
      </c>
      <c r="R459" s="15">
        <f>K462</f>
        <v>-0.013046525682656056</v>
      </c>
      <c r="S459" s="15">
        <f>L462</f>
        <v>-0.005649543898520234</v>
      </c>
      <c r="T459" s="15">
        <f>M462</f>
        <v>-0.006195002758082195</v>
      </c>
    </row>
    <row r="460" spans="1:20">
      <c r="A460" s="14">
        <v>45098</v>
      </c>
      <c r="B460" s="10">
        <v>997.4837036132812</v>
      </c>
      <c r="C460" s="10">
        <v>166.579833984375</v>
      </c>
      <c r="D460" s="10">
        <v>780.5182495117188</v>
      </c>
      <c r="E460" s="10">
        <v>18856.849609375</v>
      </c>
      <c r="F460" s="10">
        <v>514.1500244140625</v>
      </c>
      <c r="I460" s="15">
        <f>LN(B460/B459)</f>
        <v>-0.002759184940613544</v>
      </c>
      <c r="J460" s="15">
        <f>LN(C460/C459)</f>
        <v>-0.011553978665289191</v>
      </c>
      <c r="K460" s="15">
        <f>LN(D460/D459)</f>
        <v>-0.00012745501441704433</v>
      </c>
      <c r="L460" s="15">
        <f>LN(E460/E459)</f>
        <v>0.0021314905059401927</v>
      </c>
      <c r="M460" s="15">
        <f>LN(F460/F459)</f>
        <v>-0.0033008790590337866</v>
      </c>
      <c r="O460" s="14">
        <v>45103</v>
      </c>
      <c r="P460" s="15">
        <f>I463</f>
        <v>-0.0016782580637310846</v>
      </c>
      <c r="Q460" s="15">
        <f>J463</f>
        <v>0.009947322211917561</v>
      </c>
      <c r="R460" s="15">
        <f>K463</f>
        <v>0.0011128999760998664</v>
      </c>
      <c r="S460" s="15">
        <f>L463</f>
        <v>0.0013758829522746805</v>
      </c>
      <c r="T460" s="15">
        <f>M463</f>
        <v>0.003249781630567606</v>
      </c>
    </row>
    <row r="461" spans="1:20">
      <c r="A461" s="14">
        <v>45099</v>
      </c>
      <c r="B461" s="10">
        <v>982.1778564453124</v>
      </c>
      <c r="C461" s="10">
        <v>165.4382019042969</v>
      </c>
      <c r="D461" s="10">
        <v>768.9603881835938</v>
      </c>
      <c r="E461" s="10">
        <v>18771.25</v>
      </c>
      <c r="F461" s="10">
        <v>510.0499877929687</v>
      </c>
      <c r="I461" s="15">
        <f>LN(B461/B460)</f>
        <v>-0.015463402902838439</v>
      </c>
      <c r="J461" s="15">
        <f>LN(C461/C460)</f>
        <v>-0.006876955200579529</v>
      </c>
      <c r="K461" s="15">
        <f>LN(D461/D460)</f>
        <v>-0.014918664139340995</v>
      </c>
      <c r="L461" s="15">
        <f>LN(E461/E460)</f>
        <v>-0.004549778379793411</v>
      </c>
      <c r="M461" s="15">
        <f>LN(F461/F460)</f>
        <v>-0.008006362963998832</v>
      </c>
      <c r="O461" s="14">
        <v>45104</v>
      </c>
      <c r="P461" s="15">
        <f>I464</f>
        <v>0.0018816046757886003</v>
      </c>
      <c r="Q461" s="15">
        <f>J464</f>
        <v>0.04183233361375966</v>
      </c>
      <c r="R461" s="15">
        <f>K464</f>
        <v>-0.003145386069583349</v>
      </c>
      <c r="S461" s="15">
        <f>L464</f>
        <v>0.006729211402828641</v>
      </c>
      <c r="T461" s="15">
        <f>M464</f>
        <v>0.012312033614996672</v>
      </c>
    </row>
    <row r="462" spans="1:20">
      <c r="A462" s="14">
        <v>45100</v>
      </c>
      <c r="B462" s="10">
        <v>968.4962158203124</v>
      </c>
      <c r="C462" s="10">
        <v>163.8498382568359</v>
      </c>
      <c r="D462" s="10">
        <v>758.9932861328125</v>
      </c>
      <c r="E462" s="10">
        <v>18665.5</v>
      </c>
      <c r="F462" s="10">
        <v>506.8999938964844</v>
      </c>
      <c r="I462" s="15">
        <f>LN(B462/B461)</f>
        <v>-0.014027832916840512</v>
      </c>
      <c r="J462" s="15">
        <f>LN(C462/C461)</f>
        <v>-0.00964733469147245</v>
      </c>
      <c r="K462" s="15">
        <f>LN(D462/D461)</f>
        <v>-0.013046525682656056</v>
      </c>
      <c r="L462" s="15">
        <f>LN(E462/E461)</f>
        <v>-0.005649543898520234</v>
      </c>
      <c r="M462" s="15">
        <f>LN(F462/F461)</f>
        <v>-0.006195002758082195</v>
      </c>
      <c r="O462" s="14">
        <v>45105</v>
      </c>
      <c r="P462" s="15">
        <f>I465</f>
        <v>-0.004072721799500442</v>
      </c>
      <c r="Q462" s="15">
        <f>J465</f>
        <v>0.01659542744985705</v>
      </c>
      <c r="R462" s="15">
        <f>K465</f>
        <v>0.010413598210395015</v>
      </c>
      <c r="S462" s="15">
        <f>L465</f>
        <v>0.008187463868637099</v>
      </c>
      <c r="T462" s="15">
        <f>M465</f>
        <v>0.004650767942651782</v>
      </c>
    </row>
    <row r="463" spans="1:20">
      <c r="A463" s="14">
        <v>45103</v>
      </c>
      <c r="B463" s="10">
        <v>966.8721923828124</v>
      </c>
      <c r="C463" s="10">
        <v>165.4878387451172</v>
      </c>
      <c r="D463" s="10">
        <v>759.8384399414062</v>
      </c>
      <c r="E463" s="10">
        <v>18691.19921875</v>
      </c>
      <c r="F463" s="10">
        <v>508.5499877929687</v>
      </c>
      <c r="I463" s="15">
        <f>LN(B463/B462)</f>
        <v>-0.0016782580637310846</v>
      </c>
      <c r="J463" s="15">
        <f>LN(C463/C462)</f>
        <v>0.009947322211917561</v>
      </c>
      <c r="K463" s="15">
        <f>LN(D463/D462)</f>
        <v>0.0011128999760998664</v>
      </c>
      <c r="L463" s="15">
        <f>LN(E463/E462)</f>
        <v>0.0013758829522746805</v>
      </c>
      <c r="M463" s="15">
        <f>LN(F463/F462)</f>
        <v>0.003249781630567606</v>
      </c>
      <c r="O463" s="14">
        <v>45107</v>
      </c>
      <c r="P463" s="15">
        <f>I466</f>
        <v>0.004732950806162643</v>
      </c>
      <c r="Q463" s="15">
        <f>J466</f>
        <v>0.006505515040875566</v>
      </c>
      <c r="R463" s="15">
        <f>K466</f>
        <v>0.01527578367701762</v>
      </c>
      <c r="S463" s="15">
        <f>L466</f>
        <v>0.011370386219451868</v>
      </c>
      <c r="T463" s="15">
        <f>M466</f>
        <v>0.005302494949820584</v>
      </c>
    </row>
    <row r="464" spans="1:20">
      <c r="A464" s="14">
        <v>45104</v>
      </c>
      <c r="B464" s="10">
        <v>968.6931762695312</v>
      </c>
      <c r="C464" s="10">
        <v>172.5574188232422</v>
      </c>
      <c r="D464" s="10">
        <v>757.4522094726562</v>
      </c>
      <c r="E464" s="10">
        <v>18817.400390625</v>
      </c>
      <c r="F464" s="10">
        <v>514.8499755859375</v>
      </c>
      <c r="I464" s="15">
        <f>LN(B464/B463)</f>
        <v>0.0018816046757886003</v>
      </c>
      <c r="J464" s="15">
        <f>LN(C464/C463)</f>
        <v>0.04183233361375966</v>
      </c>
      <c r="K464" s="15">
        <f>LN(D464/D463)</f>
        <v>-0.003145386069583349</v>
      </c>
      <c r="L464" s="15">
        <f>LN(E464/E463)</f>
        <v>0.006729211402828641</v>
      </c>
      <c r="M464" s="15">
        <f>LN(F464/F463)</f>
        <v>0.012312033614996672</v>
      </c>
      <c r="O464" s="14">
        <v>45110</v>
      </c>
      <c r="P464" s="15">
        <f>I467</f>
        <v>0.013815486831331778</v>
      </c>
      <c r="Q464" s="15">
        <f>J467</f>
        <v>0.04842748940589351</v>
      </c>
      <c r="R464" s="15">
        <f>K467</f>
        <v>0.014856924895390894</v>
      </c>
      <c r="S464" s="15">
        <f>L467</f>
        <v>0.006933003527425256</v>
      </c>
      <c r="T464" s="15">
        <f>M467</f>
        <v>0.00747206143931559</v>
      </c>
    </row>
    <row r="465" spans="1:20">
      <c r="A465" s="14">
        <v>45105</v>
      </c>
      <c r="B465" s="10">
        <v>964.7559814453124</v>
      </c>
      <c r="C465" s="10">
        <v>175.4449768066406</v>
      </c>
      <c r="D465" s="10">
        <v>765.3812255859375</v>
      </c>
      <c r="E465" s="10">
        <v>18972.099609375</v>
      </c>
      <c r="F465" s="10">
        <v>517.25</v>
      </c>
      <c r="I465" s="15">
        <f>LN(B465/B464)</f>
        <v>-0.004072721799500442</v>
      </c>
      <c r="J465" s="15">
        <f>LN(C465/C464)</f>
        <v>0.01659542744985705</v>
      </c>
      <c r="K465" s="15">
        <f>LN(D465/D464)</f>
        <v>0.010413598210395015</v>
      </c>
      <c r="L465" s="15">
        <f>LN(E465/E464)</f>
        <v>0.008187463868637099</v>
      </c>
      <c r="M465" s="15">
        <f>LN(F465/F464)</f>
        <v>0.004650767942651782</v>
      </c>
      <c r="O465" s="14">
        <v>45111</v>
      </c>
      <c r="P465" s="15">
        <f>I468</f>
        <v>-0.007489182677886504</v>
      </c>
      <c r="Q465" s="15">
        <f>J468</f>
        <v>-0.04983814359647833</v>
      </c>
      <c r="R465" s="15">
        <f>K468</f>
        <v>-0.0009456929449525607</v>
      </c>
      <c r="S465" s="15">
        <f>L468</f>
        <v>0.0034330468644171055</v>
      </c>
      <c r="T465" s="15">
        <f>M468</f>
        <v>-0.0018149924718760737</v>
      </c>
    </row>
    <row r="466" spans="1:20">
      <c r="A466" s="14">
        <v>45107</v>
      </c>
      <c r="B466" s="10">
        <v>969.3329467773438</v>
      </c>
      <c r="C466" s="10">
        <v>176.5900573730469</v>
      </c>
      <c r="D466" s="10">
        <v>777.1627807617188</v>
      </c>
      <c r="E466" s="10">
        <v>19189.05078125</v>
      </c>
      <c r="F466" s="10">
        <v>520</v>
      </c>
      <c r="I466" s="15">
        <f>LN(B466/B465)</f>
        <v>0.004732950806162643</v>
      </c>
      <c r="J466" s="15">
        <f>LN(C466/C465)</f>
        <v>0.006505515040875566</v>
      </c>
      <c r="K466" s="15">
        <f>LN(D466/D465)</f>
        <v>0.01527578367701762</v>
      </c>
      <c r="L466" s="15">
        <f>LN(E466/E465)</f>
        <v>0.011370386219451868</v>
      </c>
      <c r="M466" s="15">
        <f>LN(F466/F465)</f>
        <v>0.005302494949820584</v>
      </c>
      <c r="O466" s="14">
        <v>45112</v>
      </c>
      <c r="P466" s="15">
        <f>I469</f>
        <v>0.02057310634182356</v>
      </c>
      <c r="Q466" s="15">
        <f>J469</f>
        <v>0.020123683312758767</v>
      </c>
      <c r="R466" s="15">
        <f>K469</f>
        <v>-0.011483496065903267</v>
      </c>
      <c r="S466" s="15">
        <f>L469</f>
        <v>0.0004898485434720244</v>
      </c>
      <c r="T466" s="15">
        <f>M469</f>
        <v>0.005625246475778143</v>
      </c>
    </row>
    <row r="467" spans="1:20">
      <c r="A467" s="14">
        <v>45110</v>
      </c>
      <c r="B467" s="10">
        <v>982.8176879882812</v>
      </c>
      <c r="C467" s="10">
        <v>185.3523254394531</v>
      </c>
      <c r="D467" s="10">
        <v>788.7952270507812</v>
      </c>
      <c r="E467" s="10">
        <v>19322.55078125</v>
      </c>
      <c r="F467" s="10">
        <v>523.9000244140625</v>
      </c>
      <c r="I467" s="15">
        <f>LN(B467/B466)</f>
        <v>0.013815486831331778</v>
      </c>
      <c r="J467" s="15">
        <f>LN(C467/C466)</f>
        <v>0.04842748940589351</v>
      </c>
      <c r="K467" s="15">
        <f>LN(D467/D466)</f>
        <v>0.014856924895390894</v>
      </c>
      <c r="L467" s="15">
        <f>LN(E467/E466)</f>
        <v>0.006933003527425256</v>
      </c>
      <c r="M467" s="15">
        <f>LN(F467/F466)</f>
        <v>0.00747206143931559</v>
      </c>
      <c r="O467" s="14">
        <v>45113</v>
      </c>
      <c r="P467" s="15">
        <f>I470</f>
        <v>0.0276859110869307</v>
      </c>
      <c r="Q467" s="15">
        <f>J470</f>
        <v>0.0035907638794946553</v>
      </c>
      <c r="R467" s="15">
        <f>K470</f>
        <v>0.0012116613004445821</v>
      </c>
      <c r="S467" s="15">
        <f>L470</f>
        <v>0.005080291021865595</v>
      </c>
      <c r="T467" s="15">
        <f>M470</f>
        <v>0.0222826411291487</v>
      </c>
    </row>
    <row r="468" spans="1:20">
      <c r="A468" s="14">
        <v>45111</v>
      </c>
      <c r="B468" s="10">
        <v>975.4846801757812</v>
      </c>
      <c r="C468" s="10">
        <v>176.3411254882812</v>
      </c>
      <c r="D468" s="10">
        <v>788.0496215820312</v>
      </c>
      <c r="E468" s="10">
        <v>19389</v>
      </c>
      <c r="F468" s="10">
        <v>522.9500122070312</v>
      </c>
      <c r="I468" s="15">
        <f>LN(B468/B467)</f>
        <v>-0.007489182677886504</v>
      </c>
      <c r="J468" s="15">
        <f>LN(C468/C467)</f>
        <v>-0.04983814359647833</v>
      </c>
      <c r="K468" s="15">
        <f>LN(D468/D467)</f>
        <v>-0.0009456929449525607</v>
      </c>
      <c r="L468" s="15">
        <f>LN(E468/E467)</f>
        <v>0.0034330468644171055</v>
      </c>
      <c r="M468" s="15">
        <f>LN(F468/F467)</f>
        <v>-0.0018149924718760737</v>
      </c>
      <c r="O468" s="14">
        <v>45114</v>
      </c>
      <c r="P468" s="15">
        <f>I471</f>
        <v>-0.018828898857805452</v>
      </c>
      <c r="Q468" s="15">
        <f>J471</f>
        <v>-0.015840326288052344</v>
      </c>
      <c r="R468" s="15">
        <f>K471</f>
        <v>0.028585986135593437</v>
      </c>
      <c r="S468" s="15">
        <f>L471</f>
        <v>-0.008524585713268293</v>
      </c>
      <c r="T468" s="15">
        <f>M471</f>
        <v>-0.011878688879217164</v>
      </c>
    </row>
    <row r="469" spans="1:20">
      <c r="A469" s="14">
        <v>45112</v>
      </c>
      <c r="B469" s="10">
        <v>995.7612915039062</v>
      </c>
      <c r="C469" s="10">
        <v>179.9257049560547</v>
      </c>
      <c r="D469" s="10">
        <v>779.0518188476562</v>
      </c>
      <c r="E469" s="10">
        <v>19398.5</v>
      </c>
      <c r="F469" s="10">
        <v>525.9000244140625</v>
      </c>
      <c r="I469" s="15">
        <f>LN(B469/B468)</f>
        <v>0.02057310634182356</v>
      </c>
      <c r="J469" s="15">
        <f>LN(C469/C468)</f>
        <v>0.020123683312758767</v>
      </c>
      <c r="K469" s="15">
        <f>LN(D469/D468)</f>
        <v>-0.011483496065903267</v>
      </c>
      <c r="L469" s="15">
        <f>LN(E469/E468)</f>
        <v>0.0004898485434720244</v>
      </c>
      <c r="M469" s="15">
        <f>LN(F469/F468)</f>
        <v>0.005625246475778143</v>
      </c>
      <c r="O469" s="14">
        <v>45117</v>
      </c>
      <c r="P469" s="15">
        <f>I472</f>
        <v>-0.0026489374256526465</v>
      </c>
      <c r="Q469" s="15">
        <f>J472</f>
        <v>-0.008156421449534774</v>
      </c>
      <c r="R469" s="15">
        <f>K472</f>
        <v>-0.023151644172681292</v>
      </c>
      <c r="S469" s="15">
        <f>L472</f>
        <v>0.0012458539412885826</v>
      </c>
      <c r="T469" s="15">
        <f>M472</f>
        <v>-0.008504255718096715</v>
      </c>
    </row>
    <row r="470" spans="1:20">
      <c r="A470" s="14">
        <v>45113</v>
      </c>
      <c r="B470" s="10">
        <v>1023.715026855469</v>
      </c>
      <c r="C470" s="10">
        <v>180.5729370117188</v>
      </c>
      <c r="D470" s="10">
        <v>779.996337890625</v>
      </c>
      <c r="E470" s="10">
        <v>19497.30078125</v>
      </c>
      <c r="F470" s="10">
        <v>537.75</v>
      </c>
      <c r="I470" s="15">
        <f>LN(B470/B469)</f>
        <v>0.0276859110869307</v>
      </c>
      <c r="J470" s="15">
        <f>LN(C470/C469)</f>
        <v>0.0035907638794946553</v>
      </c>
      <c r="K470" s="15">
        <f>LN(D470/D469)</f>
        <v>0.0012116613004445821</v>
      </c>
      <c r="L470" s="15">
        <f>LN(E470/E469)</f>
        <v>0.005080291021865595</v>
      </c>
      <c r="M470" s="15">
        <f>LN(F470/F469)</f>
        <v>0.0222826411291487</v>
      </c>
      <c r="O470" s="14">
        <v>45118</v>
      </c>
      <c r="P470" s="15">
        <f>I473</f>
        <v>0.02234286429407039</v>
      </c>
      <c r="Q470" s="15">
        <f>J473</f>
        <v>0.04121727603266619</v>
      </c>
      <c r="R470" s="15">
        <f>K473</f>
        <v>-0.0025387287620441666</v>
      </c>
      <c r="S470" s="15">
        <f>L473</f>
        <v>0.004304651710725516</v>
      </c>
      <c r="T470" s="15">
        <f>M473</f>
        <v>-9.499184467407783e-05</v>
      </c>
    </row>
    <row r="471" spans="1:20">
      <c r="A471" s="14">
        <v>45114</v>
      </c>
      <c r="B471" s="10">
        <v>1004.619934082031</v>
      </c>
      <c r="C471" s="10">
        <v>177.7351379394531</v>
      </c>
      <c r="D471" s="10">
        <v>802.6150512695312</v>
      </c>
      <c r="E471" s="10">
        <v>19331.80078125</v>
      </c>
      <c r="F471" s="10">
        <v>531.4000244140625</v>
      </c>
      <c r="I471" s="15">
        <f>LN(B471/B470)</f>
        <v>-0.018828898857805452</v>
      </c>
      <c r="J471" s="15">
        <f>LN(C471/C470)</f>
        <v>-0.015840326288052344</v>
      </c>
      <c r="K471" s="15">
        <f>LN(D471/D470)</f>
        <v>0.028585986135593437</v>
      </c>
      <c r="L471" s="15">
        <f>LN(E471/E470)</f>
        <v>-0.008524585713268293</v>
      </c>
      <c r="M471" s="15">
        <f>LN(F471/F470)</f>
        <v>-0.011878688879217164</v>
      </c>
      <c r="O471" s="14">
        <v>45119</v>
      </c>
      <c r="P471" s="15">
        <f>I474</f>
        <v>-0.007085960156702219</v>
      </c>
      <c r="Q471" s="15">
        <f>J474</f>
        <v>-0.008436611263699432</v>
      </c>
      <c r="R471" s="15">
        <f>K474</f>
        <v>0.0006035699417584329</v>
      </c>
      <c r="S471" s="15">
        <f>L474</f>
        <v>-0.00283845407345589</v>
      </c>
      <c r="T471" s="15">
        <f>M474</f>
        <v>0.0025591912678033365</v>
      </c>
    </row>
    <row r="472" spans="1:20">
      <c r="A472" s="14">
        <v>45117</v>
      </c>
      <c r="B472" s="10">
        <v>1001.962280273438</v>
      </c>
      <c r="C472" s="10">
        <v>176.2913513183594</v>
      </c>
      <c r="D472" s="10">
        <v>784.2466430664062</v>
      </c>
      <c r="E472" s="10">
        <v>19355.900390625</v>
      </c>
      <c r="F472" s="10">
        <v>526.9000244140625</v>
      </c>
      <c r="I472" s="15">
        <f>LN(B472/B471)</f>
        <v>-0.0026489374256526465</v>
      </c>
      <c r="J472" s="15">
        <f>LN(C472/C471)</f>
        <v>-0.008156421449534774</v>
      </c>
      <c r="K472" s="15">
        <f>LN(D472/D471)</f>
        <v>-0.023151644172681292</v>
      </c>
      <c r="L472" s="15">
        <f>LN(E472/E471)</f>
        <v>0.0012458539412885826</v>
      </c>
      <c r="M472" s="15">
        <f>LN(F472/F471)</f>
        <v>-0.008504255718096715</v>
      </c>
      <c r="O472" s="14">
        <v>45120</v>
      </c>
      <c r="P472" s="15">
        <f>I475</f>
        <v>-0.004897768277874236</v>
      </c>
      <c r="Q472" s="15">
        <f>J475</f>
        <v>-0.004656828811309532</v>
      </c>
      <c r="R472" s="15">
        <f>K475</f>
        <v>0.0635734967716319</v>
      </c>
      <c r="S472" s="15">
        <f>L475</f>
        <v>0.0015180775225879406</v>
      </c>
      <c r="T472" s="15">
        <f>M475</f>
        <v>0.01017142587426758</v>
      </c>
    </row>
    <row r="473" spans="1:20">
      <c r="A473" s="14">
        <v>45118</v>
      </c>
      <c r="B473" s="10">
        <v>1024.600952148438</v>
      </c>
      <c r="C473" s="10">
        <v>183.7094268798828</v>
      </c>
      <c r="D473" s="10">
        <v>782.2581787109375</v>
      </c>
      <c r="E473" s="10">
        <v>19439.400390625</v>
      </c>
      <c r="F473" s="10">
        <v>526.8499755859375</v>
      </c>
      <c r="I473" s="15">
        <f>LN(B473/B472)</f>
        <v>0.02234286429407039</v>
      </c>
      <c r="J473" s="15">
        <f>LN(C473/C472)</f>
        <v>0.04121727603266619</v>
      </c>
      <c r="K473" s="15">
        <f>LN(D473/D472)</f>
        <v>-0.0025387287620441666</v>
      </c>
      <c r="L473" s="15">
        <f>LN(E473/E472)</f>
        <v>0.004304651710725516</v>
      </c>
      <c r="M473" s="15">
        <f>LN(F473/F472)</f>
        <v>-9.499184467407783e-05</v>
      </c>
      <c r="O473" s="14">
        <v>45121</v>
      </c>
      <c r="P473" s="15">
        <f>I476</f>
        <v>0.030354885982202977</v>
      </c>
      <c r="Q473" s="15">
        <f>J476</f>
        <v>0.008747897511952606</v>
      </c>
      <c r="R473" s="15">
        <f>K476</f>
        <v>0.01625670636234762</v>
      </c>
      <c r="S473" s="15">
        <f>L476</f>
        <v>0.007735121594226721</v>
      </c>
      <c r="T473" s="15">
        <f>M476</f>
        <v>0.011552229121992497</v>
      </c>
    </row>
    <row r="474" spans="1:20">
      <c r="A474" s="14">
        <v>45119</v>
      </c>
      <c r="B474" s="10">
        <v>1017.366333007812</v>
      </c>
      <c r="C474" s="10">
        <v>182.1660614013672</v>
      </c>
      <c r="D474" s="10">
        <v>782.73046875</v>
      </c>
      <c r="E474" s="10">
        <v>19384.30078125</v>
      </c>
      <c r="F474" s="10">
        <v>528.2000122070312</v>
      </c>
      <c r="I474" s="15">
        <f>LN(B474/B473)</f>
        <v>-0.007085960156702219</v>
      </c>
      <c r="J474" s="15">
        <f>LN(C474/C473)</f>
        <v>-0.008436611263699432</v>
      </c>
      <c r="K474" s="15">
        <f>LN(D474/D473)</f>
        <v>0.0006035699417584329</v>
      </c>
      <c r="L474" s="15">
        <f>LN(E474/E473)</f>
        <v>-0.00283845407345589</v>
      </c>
      <c r="M474" s="15">
        <f>LN(F474/F473)</f>
        <v>0.0025591912678033365</v>
      </c>
      <c r="O474" s="14">
        <v>45124</v>
      </c>
      <c r="P474" s="15">
        <f>I477</f>
        <v>0.00887321008628633</v>
      </c>
      <c r="Q474" s="15">
        <f>J477</f>
        <v>0.021540975237726325</v>
      </c>
      <c r="R474" s="15">
        <f>K477</f>
        <v>-0.019091612618744664</v>
      </c>
      <c r="S474" s="15">
        <f>L477</f>
        <v>0.007482946045497489</v>
      </c>
      <c r="T474" s="15">
        <f>M477</f>
        <v>-0.00027785145801132767</v>
      </c>
    </row>
    <row r="475" spans="1:20">
      <c r="A475" s="14">
        <v>45120</v>
      </c>
      <c r="B475" s="10">
        <v>1012.395690917969</v>
      </c>
      <c r="C475" s="10">
        <v>181.3197174072266</v>
      </c>
      <c r="D475" s="10">
        <v>834.107177734375</v>
      </c>
      <c r="E475" s="10">
        <v>19413.75</v>
      </c>
      <c r="F475" s="10">
        <v>533.5999755859375</v>
      </c>
      <c r="I475" s="15">
        <f>LN(B475/B474)</f>
        <v>-0.004897768277874236</v>
      </c>
      <c r="J475" s="15">
        <f>LN(C475/C474)</f>
        <v>-0.004656828811309532</v>
      </c>
      <c r="K475" s="15">
        <f>LN(D475/D474)</f>
        <v>0.0635734967716319</v>
      </c>
      <c r="L475" s="15">
        <f>LN(E475/E474)</f>
        <v>0.0015180775225879406</v>
      </c>
      <c r="M475" s="15">
        <f>LN(F475/F474)</f>
        <v>0.01017142587426758</v>
      </c>
      <c r="O475" s="14">
        <v>45125</v>
      </c>
      <c r="P475" s="15">
        <f>I478</f>
        <v>-0.014880229101944503</v>
      </c>
      <c r="Q475" s="15">
        <f>J478</f>
        <v>0.028104342237531568</v>
      </c>
      <c r="R475" s="15">
        <f>K478</f>
        <v>-0.012176799465214674</v>
      </c>
      <c r="S475" s="15">
        <f>L478</f>
        <v>0.0019158704007220429</v>
      </c>
      <c r="T475" s="15">
        <f>M478</f>
        <v>-0.008560648853642359</v>
      </c>
    </row>
    <row r="476" spans="1:20">
      <c r="A476" s="14">
        <v>45121</v>
      </c>
      <c r="B476" s="10">
        <v>1043.598022460938</v>
      </c>
      <c r="C476" s="10">
        <v>182.912841796875</v>
      </c>
      <c r="D476" s="10">
        <v>847.77783203125</v>
      </c>
      <c r="E476" s="10">
        <v>19564.5</v>
      </c>
      <c r="F476" s="10">
        <v>539.7999877929688</v>
      </c>
      <c r="I476" s="15">
        <f>LN(B476/B475)</f>
        <v>0.030354885982202977</v>
      </c>
      <c r="J476" s="15">
        <f>LN(C476/C475)</f>
        <v>0.008747897511952606</v>
      </c>
      <c r="K476" s="15">
        <f>LN(D476/D475)</f>
        <v>0.01625670636234762</v>
      </c>
      <c r="L476" s="15">
        <f>LN(E476/E475)</f>
        <v>0.007735121594226721</v>
      </c>
      <c r="M476" s="15">
        <f>LN(F476/F475)</f>
        <v>0.011552229121992497</v>
      </c>
      <c r="O476" s="14">
        <v>45126</v>
      </c>
      <c r="P476" s="15">
        <f>I479</f>
        <v>0.014973786135197358</v>
      </c>
      <c r="Q476" s="15">
        <f>J479</f>
        <v>0.0184762249424668</v>
      </c>
      <c r="R476" s="15">
        <f>K479</f>
        <v>-0.010124323960616691</v>
      </c>
      <c r="S476" s="15">
        <f>L479</f>
        <v>0.00423928389630214</v>
      </c>
      <c r="T476" s="15">
        <f>M479</f>
        <v>0.0020538405437731735</v>
      </c>
    </row>
    <row r="477" spans="1:20">
      <c r="A477" s="14">
        <v>45124</v>
      </c>
      <c r="B477" s="10">
        <v>1052.899291992188</v>
      </c>
      <c r="C477" s="10">
        <v>186.8957061767578</v>
      </c>
      <c r="D477" s="10">
        <v>831.7459106445312</v>
      </c>
      <c r="E477" s="10">
        <v>19711.44921875</v>
      </c>
      <c r="F477" s="10">
        <v>539.6500244140625</v>
      </c>
      <c r="I477" s="15">
        <f>LN(B477/B476)</f>
        <v>0.00887321008628633</v>
      </c>
      <c r="J477" s="15">
        <f>LN(C477/C476)</f>
        <v>0.021540975237726325</v>
      </c>
      <c r="K477" s="15">
        <f>LN(D477/D476)</f>
        <v>-0.019091612618744664</v>
      </c>
      <c r="L477" s="15">
        <f>LN(E477/E476)</f>
        <v>0.007482946045497489</v>
      </c>
      <c r="M477" s="15">
        <f>LN(F477/F476)</f>
        <v>-0.00027785145801132767</v>
      </c>
      <c r="O477" s="14">
        <v>45127</v>
      </c>
      <c r="P477" s="15">
        <f>I480</f>
        <v>0.005407004664664284</v>
      </c>
      <c r="Q477" s="15">
        <f>J480</f>
        <v>0.005325158574247015</v>
      </c>
      <c r="R477" s="15">
        <f>K480</f>
        <v>0.0006720293494441614</v>
      </c>
      <c r="S477" s="15">
        <f>L480</f>
        <v>0.007334449485705515</v>
      </c>
      <c r="T477" s="15">
        <f>M480</f>
        <v>0.0002796650252724268</v>
      </c>
    </row>
    <row r="478" spans="1:20">
      <c r="A478" s="14">
        <v>45125</v>
      </c>
      <c r="B478" s="10">
        <v>1037.347900390625</v>
      </c>
      <c r="C478" s="10">
        <v>192.2227935791016</v>
      </c>
      <c r="D478" s="10">
        <v>821.6793212890625</v>
      </c>
      <c r="E478" s="10">
        <v>19749.25</v>
      </c>
      <c r="F478" s="10">
        <v>535.0499877929688</v>
      </c>
      <c r="I478" s="15">
        <f>LN(B478/B477)</f>
        <v>-0.014880229101944503</v>
      </c>
      <c r="J478" s="15">
        <f>LN(C478/C477)</f>
        <v>0.028104342237531568</v>
      </c>
      <c r="K478" s="15">
        <f>LN(D478/D477)</f>
        <v>-0.012176799465214674</v>
      </c>
      <c r="L478" s="15">
        <f>LN(E478/E477)</f>
        <v>0.0019158704007220429</v>
      </c>
      <c r="M478" s="15">
        <f>LN(F478/F477)</f>
        <v>-0.008560648853642359</v>
      </c>
      <c r="O478" s="14">
        <v>45128</v>
      </c>
      <c r="P478" s="15">
        <f>I481</f>
        <v>-0.018153911986509282</v>
      </c>
      <c r="Q478" s="15">
        <f>J481</f>
        <v>-0.014777181155382664</v>
      </c>
      <c r="R478" s="15">
        <f>K481</f>
        <v>0.0026837598188767862</v>
      </c>
      <c r="S478" s="15">
        <f>L481</f>
        <v>-0.011788954585924888</v>
      </c>
      <c r="T478" s="15">
        <f>M481</f>
        <v>-0.00037301793394367534</v>
      </c>
    </row>
    <row r="479" spans="1:20">
      <c r="A479" s="14">
        <v>45126</v>
      </c>
      <c r="B479" s="10">
        <v>1052.997802734375</v>
      </c>
      <c r="C479" s="10">
        <v>195.8073577880859</v>
      </c>
      <c r="D479" s="10">
        <v>813.40234375</v>
      </c>
      <c r="E479" s="10">
        <v>19833.150390625</v>
      </c>
      <c r="F479" s="10">
        <v>536.1500244140625</v>
      </c>
      <c r="I479" s="15">
        <f>LN(B479/B478)</f>
        <v>0.014973786135197358</v>
      </c>
      <c r="J479" s="15">
        <f>LN(C479/C478)</f>
        <v>0.0184762249424668</v>
      </c>
      <c r="K479" s="15">
        <f>LN(D479/D478)</f>
        <v>-0.010124323960616691</v>
      </c>
      <c r="L479" s="15">
        <f>LN(E479/E478)</f>
        <v>0.00423928389630214</v>
      </c>
      <c r="M479" s="15">
        <f>LN(F479/F478)</f>
        <v>0.0020538405437731735</v>
      </c>
      <c r="O479" s="14">
        <v>45131</v>
      </c>
      <c r="P479" s="15">
        <f>I482</f>
        <v>0.010407443161442709</v>
      </c>
      <c r="Q479" s="15">
        <f>J482</f>
        <v>-0.02600251116685819</v>
      </c>
      <c r="R479" s="15">
        <f>K482</f>
        <v>-0.006906752522770304</v>
      </c>
      <c r="S479" s="15">
        <f>L482</f>
        <v>-0.0036862180542648424</v>
      </c>
      <c r="T479" s="15">
        <f>M482</f>
        <v>0.001956765270294867</v>
      </c>
    </row>
    <row r="480" spans="1:20">
      <c r="A480" s="14">
        <v>45127</v>
      </c>
      <c r="B480" s="10">
        <v>1058.706787109375</v>
      </c>
      <c r="C480" s="10">
        <v>196.8528442382812</v>
      </c>
      <c r="D480" s="10">
        <v>813.9491577148438</v>
      </c>
      <c r="E480" s="10">
        <v>19979.150390625</v>
      </c>
      <c r="F480" s="10">
        <v>536.2999877929688</v>
      </c>
      <c r="I480" s="15">
        <f>LN(B480/B479)</f>
        <v>0.005407004664664284</v>
      </c>
      <c r="J480" s="15">
        <f>LN(C480/C479)</f>
        <v>0.005325158574247015</v>
      </c>
      <c r="K480" s="15">
        <f>LN(D480/D479)</f>
        <v>0.0006720293494441614</v>
      </c>
      <c r="L480" s="15">
        <f>LN(E480/E479)</f>
        <v>0.007334449485705515</v>
      </c>
      <c r="M480" s="15">
        <f>LN(F480/F479)</f>
        <v>0.0002796650252724268</v>
      </c>
      <c r="O480" s="14">
        <v>45132</v>
      </c>
      <c r="P480" s="15">
        <f>I483</f>
        <v>-0.0025330681022358754</v>
      </c>
      <c r="Q480" s="15">
        <f>J483</f>
        <v>0.008655707359512661</v>
      </c>
      <c r="R480" s="15">
        <f>K483</f>
        <v>0.013463564072062607</v>
      </c>
      <c r="S480" s="15">
        <f>L483</f>
        <v>0.00041928243166748923</v>
      </c>
      <c r="T480" s="15">
        <f>M483</f>
        <v>-0.0040106836676515045</v>
      </c>
    </row>
    <row r="481" spans="1:20">
      <c r="A481" s="14">
        <v>45128</v>
      </c>
      <c r="B481" s="10">
        <v>1039.660522460938</v>
      </c>
      <c r="C481" s="10">
        <v>193.9653015136719</v>
      </c>
      <c r="D481" s="10">
        <v>816.1365356445312</v>
      </c>
      <c r="E481" s="10">
        <v>19745</v>
      </c>
      <c r="F481" s="10">
        <v>536.0999755859375</v>
      </c>
      <c r="I481" s="15">
        <f>LN(B481/B480)</f>
        <v>-0.018153911986509282</v>
      </c>
      <c r="J481" s="15">
        <f>LN(C481/C480)</f>
        <v>-0.014777181155382664</v>
      </c>
      <c r="K481" s="15">
        <f>LN(D481/D480)</f>
        <v>0.0026837598188767862</v>
      </c>
      <c r="L481" s="15">
        <f>LN(E481/E480)</f>
        <v>-0.011788954585924888</v>
      </c>
      <c r="M481" s="15">
        <f>LN(F481/F480)</f>
        <v>-0.00037301793394367534</v>
      </c>
      <c r="O481" s="14">
        <v>45133</v>
      </c>
      <c r="P481" s="15">
        <f>I484</f>
        <v>0.020730759747017297</v>
      </c>
      <c r="Q481" s="15">
        <f>J484</f>
        <v>0.017346803807345757</v>
      </c>
      <c r="R481" s="15">
        <f>K484</f>
        <v>0.0006955468535495912</v>
      </c>
      <c r="S481" s="15">
        <f>L484</f>
        <v>0.0049520574860006375</v>
      </c>
      <c r="T481" s="15">
        <f>M484</f>
        <v>0.011799227762419106</v>
      </c>
    </row>
    <row r="482" spans="1:20">
      <c r="A482" s="14">
        <v>45131</v>
      </c>
      <c r="B482" s="10">
        <v>1050.537231445312</v>
      </c>
      <c r="C482" s="10">
        <v>188.9867248535156</v>
      </c>
      <c r="D482" s="10">
        <v>810.5191040039062</v>
      </c>
      <c r="E482" s="10">
        <v>19672.349609375</v>
      </c>
      <c r="F482" s="10">
        <v>537.1500244140625</v>
      </c>
      <c r="I482" s="15">
        <f>LN(B482/B481)</f>
        <v>0.010407443161442709</v>
      </c>
      <c r="J482" s="15">
        <f>LN(C482/C481)</f>
        <v>-0.02600251116685819</v>
      </c>
      <c r="K482" s="15">
        <f>LN(D482/D481)</f>
        <v>-0.006906752522770304</v>
      </c>
      <c r="L482" s="15">
        <f>LN(E482/E481)</f>
        <v>-0.0036862180542648424</v>
      </c>
      <c r="M482" s="15">
        <f>LN(F482/F481)</f>
        <v>0.001956765270294867</v>
      </c>
      <c r="O482" s="14">
        <v>45134</v>
      </c>
      <c r="P482" s="15">
        <f>I485</f>
        <v>0.024627366052084397</v>
      </c>
      <c r="Q482" s="15">
        <f>J485</f>
        <v>0.029339478829137577</v>
      </c>
      <c r="R482" s="15">
        <f>K485</f>
        <v>0.02711298746668325</v>
      </c>
      <c r="S482" s="15">
        <f>L485</f>
        <v>-0.006004368496797154</v>
      </c>
      <c r="T482" s="15">
        <f>M485</f>
        <v>0.021020698169610625</v>
      </c>
    </row>
    <row r="483" spans="1:20">
      <c r="A483" s="14">
        <v>45132</v>
      </c>
      <c r="B483" s="10">
        <v>1047.879516601562</v>
      </c>
      <c r="C483" s="10">
        <v>190.629638671875</v>
      </c>
      <c r="D483" s="10">
        <v>821.50537109375</v>
      </c>
      <c r="E483" s="10">
        <v>19680.599609375</v>
      </c>
      <c r="F483" s="10">
        <v>535</v>
      </c>
      <c r="I483" s="15">
        <f>LN(B483/B482)</f>
        <v>-0.0025330681022358754</v>
      </c>
      <c r="J483" s="15">
        <f>LN(C483/C482)</f>
        <v>0.008655707359512661</v>
      </c>
      <c r="K483" s="15">
        <f>LN(D483/D482)</f>
        <v>0.013463564072062607</v>
      </c>
      <c r="L483" s="15">
        <f>LN(E483/E482)</f>
        <v>0.00041928243166748923</v>
      </c>
      <c r="M483" s="15">
        <f>LN(F483/F482)</f>
        <v>-0.0040106836676515045</v>
      </c>
      <c r="O483" s="14">
        <v>45135</v>
      </c>
      <c r="P483" s="15">
        <f>I486</f>
        <v>0.004924864745701597</v>
      </c>
      <c r="Q483" s="15">
        <f>J486</f>
        <v>-0.00024937812224357</v>
      </c>
      <c r="R483" s="15">
        <f>K486</f>
        <v>-0.0009420519506231563</v>
      </c>
      <c r="S483" s="15">
        <f>L486</f>
        <v>-0.0007047080421790248</v>
      </c>
      <c r="T483" s="15">
        <f>M486</f>
        <v>0.01810416310514458</v>
      </c>
    </row>
    <row r="484" spans="1:20">
      <c r="A484" s="14">
        <v>45133</v>
      </c>
      <c r="B484" s="10">
        <v>1069.82958984375</v>
      </c>
      <c r="C484" s="10">
        <v>193.9653015136719</v>
      </c>
      <c r="D484" s="10">
        <v>822.0769653320312</v>
      </c>
      <c r="E484" s="10">
        <v>19778.30078125</v>
      </c>
      <c r="F484" s="10">
        <v>541.3499755859375</v>
      </c>
      <c r="I484" s="15">
        <f>LN(B484/B483)</f>
        <v>0.020730759747017297</v>
      </c>
      <c r="J484" s="15">
        <f>LN(C484/C483)</f>
        <v>0.017346803807345757</v>
      </c>
      <c r="K484" s="15">
        <f>LN(D484/D483)</f>
        <v>0.0006955468535495912</v>
      </c>
      <c r="L484" s="15">
        <f>LN(E484/E483)</f>
        <v>0.0049520574860006375</v>
      </c>
      <c r="M484" s="15">
        <f>LN(F484/F483)</f>
        <v>0.011799227762419106</v>
      </c>
      <c r="O484" s="14">
        <v>45138</v>
      </c>
      <c r="P484" s="15">
        <f>I487</f>
        <v>4.453253961289044e-05</v>
      </c>
      <c r="Q484" s="15">
        <f>J487</f>
        <v>0.005469876204060073</v>
      </c>
      <c r="R484" s="15">
        <f>K487</f>
        <v>0.019368774177726023</v>
      </c>
      <c r="S484" s="15">
        <f>L487</f>
        <v>0.005469577389253641</v>
      </c>
      <c r="T484" s="15">
        <f>M487</f>
        <v>0.006727453454457353</v>
      </c>
    </row>
    <row r="485" spans="1:20">
      <c r="A485" s="14">
        <v>45134</v>
      </c>
      <c r="B485" s="10">
        <v>1096.503784179688</v>
      </c>
      <c r="C485" s="10">
        <v>199.7404479980469</v>
      </c>
      <c r="D485" s="10">
        <v>844.6708374023438</v>
      </c>
      <c r="E485" s="10">
        <v>19659.900390625</v>
      </c>
      <c r="F485" s="10">
        <v>552.8499755859375</v>
      </c>
      <c r="I485" s="15">
        <f>LN(B485/B484)</f>
        <v>0.024627366052084397</v>
      </c>
      <c r="J485" s="15">
        <f>LN(C485/C484)</f>
        <v>0.029339478829137577</v>
      </c>
      <c r="K485" s="15">
        <f>LN(D485/D484)</f>
        <v>0.02711298746668325</v>
      </c>
      <c r="L485" s="15">
        <f>LN(E485/E484)</f>
        <v>-0.006004368496797154</v>
      </c>
      <c r="M485" s="15">
        <f>LN(F485/F484)</f>
        <v>0.021020698169610625</v>
      </c>
      <c r="O485" s="14">
        <v>45139</v>
      </c>
      <c r="P485" s="15">
        <f>I488</f>
        <v>-0.010144434128008448</v>
      </c>
      <c r="Q485" s="15">
        <f>J488</f>
        <v>0.010605702797512936</v>
      </c>
      <c r="R485" s="15">
        <f>K488</f>
        <v>0.0002021579839604635</v>
      </c>
      <c r="S485" s="15">
        <f>L488</f>
        <v>-0.0010256449710540406</v>
      </c>
      <c r="T485" s="15">
        <f>M488</f>
        <v>-0.017891772270690897</v>
      </c>
    </row>
    <row r="486" spans="1:20">
      <c r="A486" s="14">
        <v>45135</v>
      </c>
      <c r="B486" s="10">
        <v>1101.917236328125</v>
      </c>
      <c r="C486" s="10">
        <v>199.6906433105469</v>
      </c>
      <c r="D486" s="10">
        <v>843.87548828125</v>
      </c>
      <c r="E486" s="10">
        <v>19646.05078125</v>
      </c>
      <c r="F486" s="10">
        <v>562.9500122070312</v>
      </c>
      <c r="I486" s="15">
        <f>LN(B486/B485)</f>
        <v>0.004924864745701597</v>
      </c>
      <c r="J486" s="15">
        <f>LN(C486/C485)</f>
        <v>-0.00024937812224357</v>
      </c>
      <c r="K486" s="15">
        <f>LN(D486/D485)</f>
        <v>-0.0009420519506231563</v>
      </c>
      <c r="L486" s="15">
        <f>LN(E486/E485)</f>
        <v>-0.0007047080421790248</v>
      </c>
      <c r="M486" s="15">
        <f>LN(F486/F485)</f>
        <v>0.01810416310514458</v>
      </c>
      <c r="O486" s="14">
        <v>45140</v>
      </c>
      <c r="P486" s="15">
        <f>I489</f>
        <v>0.00045109703938168294</v>
      </c>
      <c r="Q486" s="15">
        <f>J489</f>
        <v>-0.024085612375487744</v>
      </c>
      <c r="R486" s="15">
        <f>K489</f>
        <v>-0.004748081868402294</v>
      </c>
      <c r="S486" s="15">
        <f>L489</f>
        <v>-0.010545154493387934</v>
      </c>
      <c r="T486" s="15">
        <f>M489</f>
        <v>-0.015021524910075646</v>
      </c>
    </row>
    <row r="487" spans="1:20">
      <c r="A487" s="14">
        <v>45138</v>
      </c>
      <c r="B487" s="10">
        <v>1101.96630859375</v>
      </c>
      <c r="C487" s="10">
        <v>200.7859191894531</v>
      </c>
      <c r="D487" s="10">
        <v>860.379638671875</v>
      </c>
      <c r="E487" s="10">
        <v>19753.80078125</v>
      </c>
      <c r="F487" s="10">
        <v>566.75</v>
      </c>
      <c r="I487" s="15">
        <f>LN(B487/B486)</f>
        <v>4.453253961289044e-05</v>
      </c>
      <c r="J487" s="15">
        <f>LN(C487/C486)</f>
        <v>0.005469876204060073</v>
      </c>
      <c r="K487" s="15">
        <f>LN(D487/D486)</f>
        <v>0.019368774177726023</v>
      </c>
      <c r="L487" s="15">
        <f>LN(E487/E486)</f>
        <v>0.005469577389253641</v>
      </c>
      <c r="M487" s="15">
        <f>LN(F487/F486)</f>
        <v>0.006727453454457353</v>
      </c>
      <c r="O487" s="14">
        <v>45141</v>
      </c>
      <c r="P487" s="15">
        <f>I490</f>
        <v>-0.005789061627834399</v>
      </c>
      <c r="Q487" s="15">
        <f>J490</f>
        <v>-0.025711001696878812</v>
      </c>
      <c r="R487" s="15">
        <f>K490</f>
        <v>-0.02259954360747548</v>
      </c>
      <c r="S487" s="15">
        <f>L490</f>
        <v>-0.007448355676119346</v>
      </c>
      <c r="T487" s="15">
        <f>M490</f>
        <v>-0.01793893754213312</v>
      </c>
    </row>
    <row r="488" spans="1:20">
      <c r="A488" s="14">
        <v>45139</v>
      </c>
      <c r="B488" s="10">
        <v>1090.843994140625</v>
      </c>
      <c r="C488" s="10">
        <v>202.9267272949219</v>
      </c>
      <c r="D488" s="10">
        <v>860.5535888671875</v>
      </c>
      <c r="E488" s="10">
        <v>19733.55078125</v>
      </c>
      <c r="F488" s="10">
        <v>556.7000122070312</v>
      </c>
      <c r="I488" s="15">
        <f>LN(B488/B487)</f>
        <v>-0.010144434128008448</v>
      </c>
      <c r="J488" s="15">
        <f>LN(C488/C487)</f>
        <v>0.010605702797512936</v>
      </c>
      <c r="K488" s="15">
        <f>LN(D488/D487)</f>
        <v>0.0002021579839604635</v>
      </c>
      <c r="L488" s="15">
        <f>LN(E488/E487)</f>
        <v>-0.0010256449710540406</v>
      </c>
      <c r="M488" s="15">
        <f>LN(F488/F487)</f>
        <v>-0.017891772270690897</v>
      </c>
      <c r="O488" s="14">
        <v>45142</v>
      </c>
      <c r="P488" s="15">
        <f>I491</f>
        <v>0.01757949520496796</v>
      </c>
      <c r="Q488" s="15">
        <f>J491</f>
        <v>0.004374130273638324</v>
      </c>
      <c r="R488" s="15">
        <f>K491</f>
        <v>0.009454144710454042</v>
      </c>
      <c r="S488" s="15">
        <f>L491</f>
        <v>0.006959118337332752</v>
      </c>
      <c r="T488" s="15">
        <f>M491</f>
        <v>0.0009278159458466068</v>
      </c>
    </row>
    <row r="489" spans="1:20">
      <c r="A489" s="14">
        <v>45140</v>
      </c>
      <c r="B489" s="10">
        <v>1091.336181640625</v>
      </c>
      <c r="C489" s="10">
        <v>198.0975036621093</v>
      </c>
      <c r="D489" s="10">
        <v>856.477294921875</v>
      </c>
      <c r="E489" s="10">
        <v>19526.55078125</v>
      </c>
      <c r="F489" s="10">
        <v>548.4000244140625</v>
      </c>
      <c r="I489" s="15">
        <f>LN(B489/B488)</f>
        <v>0.00045109703938168294</v>
      </c>
      <c r="J489" s="15">
        <f>LN(C489/C488)</f>
        <v>-0.024085612375487744</v>
      </c>
      <c r="K489" s="15">
        <f>LN(D489/D488)</f>
        <v>-0.004748081868402294</v>
      </c>
      <c r="L489" s="15">
        <f>LN(E489/E488)</f>
        <v>-0.010545154493387934</v>
      </c>
      <c r="M489" s="15">
        <f>LN(F489/F488)</f>
        <v>-0.015021524910075646</v>
      </c>
      <c r="O489" s="14">
        <v>45145</v>
      </c>
      <c r="P489" s="15">
        <f>I492</f>
        <v>-0.02012271578526822</v>
      </c>
      <c r="Q489" s="15">
        <f>J492</f>
        <v>0.012755356854344207</v>
      </c>
      <c r="R489" s="15">
        <f>K492</f>
        <v>-0.0003823315496602996</v>
      </c>
      <c r="S489" s="15">
        <f>L492</f>
        <v>0.004105960861445235</v>
      </c>
      <c r="T489" s="15">
        <f>M492</f>
        <v>0.005825460726690925</v>
      </c>
    </row>
    <row r="490" spans="1:20">
      <c r="A490" s="14">
        <v>45141</v>
      </c>
      <c r="B490" s="10">
        <v>1085.03662109375</v>
      </c>
      <c r="C490" s="10">
        <v>193.0691375732422</v>
      </c>
      <c r="D490" s="10">
        <v>837.33837890625</v>
      </c>
      <c r="E490" s="10">
        <v>19381.650390625</v>
      </c>
      <c r="F490" s="10">
        <v>538.6500244140625</v>
      </c>
      <c r="I490" s="15">
        <f>LN(B490/B489)</f>
        <v>-0.005789061627834399</v>
      </c>
      <c r="J490" s="15">
        <f>LN(C490/C489)</f>
        <v>-0.025711001696878812</v>
      </c>
      <c r="K490" s="15">
        <f>LN(D490/D489)</f>
        <v>-0.02259954360747548</v>
      </c>
      <c r="L490" s="15">
        <f>LN(E490/E489)</f>
        <v>-0.007448355676119346</v>
      </c>
      <c r="M490" s="15">
        <f>LN(F490/F489)</f>
        <v>-0.01793893754213312</v>
      </c>
      <c r="O490" s="14">
        <v>45146</v>
      </c>
      <c r="P490" s="15">
        <f>I493</f>
        <v>0.006390962635729904</v>
      </c>
      <c r="Q490" s="15">
        <f>J493</f>
        <v>-0.010447354303296503</v>
      </c>
      <c r="R490" s="15">
        <f>K493</f>
        <v>-0.005545624796949996</v>
      </c>
      <c r="S490" s="15">
        <f>L493</f>
        <v>-0.0013506471779916257</v>
      </c>
      <c r="T490" s="15">
        <f>M493</f>
        <v>-0.0017533566788505081</v>
      </c>
    </row>
    <row r="491" spans="1:20">
      <c r="A491" s="14">
        <v>45142</v>
      </c>
      <c r="B491" s="10">
        <v>1104.279663085938</v>
      </c>
      <c r="C491" s="10">
        <v>193.9154968261719</v>
      </c>
      <c r="D491" s="10">
        <v>845.292236328125</v>
      </c>
      <c r="E491" s="10">
        <v>19517</v>
      </c>
      <c r="F491" s="10">
        <v>539.1500244140625</v>
      </c>
      <c r="I491" s="15">
        <f>LN(B491/B490)</f>
        <v>0.01757949520496796</v>
      </c>
      <c r="J491" s="15">
        <f>LN(C491/C490)</f>
        <v>0.004374130273638324</v>
      </c>
      <c r="K491" s="15">
        <f>LN(D491/D490)</f>
        <v>0.009454144710454042</v>
      </c>
      <c r="L491" s="15">
        <f>LN(E491/E490)</f>
        <v>0.006959118337332752</v>
      </c>
      <c r="M491" s="15">
        <f>LN(F491/F490)</f>
        <v>0.0009278159458466068</v>
      </c>
      <c r="O491" s="14">
        <v>45147</v>
      </c>
      <c r="P491" s="15">
        <f>I494</f>
        <v>-0.015985978240651757</v>
      </c>
      <c r="Q491" s="15">
        <f>J494</f>
        <v>-0.0023080025510477456</v>
      </c>
      <c r="R491" s="15">
        <f>K494</f>
        <v>-0.0031107181599833032</v>
      </c>
      <c r="S491" s="15">
        <f>L494</f>
        <v>0.0031477485221408875</v>
      </c>
      <c r="T491" s="15">
        <f>M494</f>
        <v>-0.012453601792125958</v>
      </c>
    </row>
    <row r="492" spans="1:20">
      <c r="A492" s="14">
        <v>45145</v>
      </c>
      <c r="B492" s="10">
        <v>1082.280639648438</v>
      </c>
      <c r="C492" s="10">
        <v>196.404800415039</v>
      </c>
      <c r="D492" s="10">
        <v>844.9691162109375</v>
      </c>
      <c r="E492" s="10">
        <v>19597.30078125</v>
      </c>
      <c r="F492" s="10">
        <v>542.2999877929688</v>
      </c>
      <c r="I492" s="15">
        <f>LN(B492/B491)</f>
        <v>-0.02012271578526822</v>
      </c>
      <c r="J492" s="15">
        <f>LN(C492/C491)</f>
        <v>0.012755356854344207</v>
      </c>
      <c r="K492" s="15">
        <f>LN(D492/D491)</f>
        <v>-0.0003823315496602996</v>
      </c>
      <c r="L492" s="15">
        <f>LN(E492/E491)</f>
        <v>0.004105960861445235</v>
      </c>
      <c r="M492" s="15">
        <f>LN(F492/F491)</f>
        <v>0.005825460726690925</v>
      </c>
      <c r="O492" s="14">
        <v>45148</v>
      </c>
      <c r="P492" s="15">
        <f>I495</f>
        <v>0.005813473756286759</v>
      </c>
      <c r="Q492" s="15">
        <f>J495</f>
        <v>-0.031028324573332693</v>
      </c>
      <c r="R492" s="15">
        <f>K495</f>
        <v>-0.013773011159233937</v>
      </c>
      <c r="S492" s="15">
        <f>L495</f>
        <v>-0.004566679886024027</v>
      </c>
      <c r="T492" s="15">
        <f>M495</f>
        <v>-0.0026220155148397625</v>
      </c>
    </row>
    <row r="493" spans="1:20">
      <c r="A493" s="14">
        <v>45146</v>
      </c>
      <c r="B493" s="10">
        <v>1089.219604492188</v>
      </c>
      <c r="C493" s="10">
        <v>194.3635711669922</v>
      </c>
      <c r="D493" s="10">
        <v>840.2962036132812</v>
      </c>
      <c r="E493" s="10">
        <v>19570.849609375</v>
      </c>
      <c r="F493" s="10">
        <v>541.3499755859375</v>
      </c>
      <c r="I493" s="15">
        <f>LN(B493/B492)</f>
        <v>0.006390962635729904</v>
      </c>
      <c r="J493" s="15">
        <f>LN(C493/C492)</f>
        <v>-0.010447354303296503</v>
      </c>
      <c r="K493" s="15">
        <f>LN(D493/D492)</f>
        <v>-0.005545624796949996</v>
      </c>
      <c r="L493" s="15">
        <f>LN(E493/E492)</f>
        <v>-0.0013506471779916257</v>
      </c>
      <c r="M493" s="15">
        <f>LN(F493/F492)</f>
        <v>-0.0017533566788505081</v>
      </c>
      <c r="O493" s="14">
        <v>45149</v>
      </c>
      <c r="P493" s="15">
        <f>I496</f>
        <v>-0.014806712815675135</v>
      </c>
      <c r="Q493" s="15">
        <f>J496</f>
        <v>0.01184682656573825</v>
      </c>
      <c r="R493" s="15">
        <f>K496</f>
        <v>0.028470744329810796</v>
      </c>
      <c r="S493" s="15">
        <f>L496</f>
        <v>-0.005891456761763215</v>
      </c>
      <c r="T493" s="15">
        <f>M496</f>
        <v>-0.003945844160904033</v>
      </c>
    </row>
    <row r="494" spans="1:20">
      <c r="A494" s="14">
        <v>45147</v>
      </c>
      <c r="B494" s="10">
        <v>1071.94580078125</v>
      </c>
      <c r="C494" s="10">
        <v>193.9154968261719</v>
      </c>
      <c r="D494" s="10">
        <v>837.6863403320312</v>
      </c>
      <c r="E494" s="10">
        <v>19632.55078125</v>
      </c>
      <c r="F494" s="10">
        <v>534.6500244140625</v>
      </c>
      <c r="I494" s="15">
        <f>LN(B494/B493)</f>
        <v>-0.015985978240651757</v>
      </c>
      <c r="J494" s="15">
        <f>LN(C494/C493)</f>
        <v>-0.0023080025510477456</v>
      </c>
      <c r="K494" s="15">
        <f>LN(D494/D493)</f>
        <v>-0.0031107181599833032</v>
      </c>
      <c r="L494" s="15">
        <f>LN(E494/E493)</f>
        <v>0.0031477485221408875</v>
      </c>
      <c r="M494" s="15">
        <f>LN(F494/F493)</f>
        <v>-0.012453601792125958</v>
      </c>
      <c r="O494" s="14">
        <v>45152</v>
      </c>
      <c r="P494" s="15">
        <f>I497</f>
        <v>-0.008841116860706493</v>
      </c>
      <c r="Q494" s="15">
        <f>J497</f>
        <v>-0.007618502443000946</v>
      </c>
      <c r="R494" s="15">
        <f>K497</f>
        <v>0.004143297600460424</v>
      </c>
      <c r="S494" s="15">
        <f>L497</f>
        <v>0.0003216439248586792</v>
      </c>
      <c r="T494" s="15">
        <f>M497</f>
        <v>-0.006611281804032033</v>
      </c>
    </row>
    <row r="495" spans="1:20">
      <c r="A495" s="14">
        <v>45148</v>
      </c>
      <c r="B495" s="10">
        <v>1078.195678710938</v>
      </c>
      <c r="C495" s="10">
        <v>187.9910125732422</v>
      </c>
      <c r="D495" s="10">
        <v>826.2279663085938</v>
      </c>
      <c r="E495" s="10">
        <v>19543.099609375</v>
      </c>
      <c r="F495" s="10">
        <v>533.25</v>
      </c>
      <c r="I495" s="15">
        <f>LN(B495/B494)</f>
        <v>0.005813473756286759</v>
      </c>
      <c r="J495" s="15">
        <f>LN(C495/C494)</f>
        <v>-0.031028324573332693</v>
      </c>
      <c r="K495" s="15">
        <f>LN(D495/D494)</f>
        <v>-0.013773011159233937</v>
      </c>
      <c r="L495" s="15">
        <f>LN(E495/E494)</f>
        <v>-0.004566679886024027</v>
      </c>
      <c r="M495" s="15">
        <f>LN(F495/F494)</f>
        <v>-0.0026220155148397625</v>
      </c>
      <c r="O495" s="14">
        <v>45154</v>
      </c>
      <c r="P495" s="15">
        <f>I498</f>
        <v>0.009674527867265682</v>
      </c>
      <c r="Q495" s="15">
        <f>J498</f>
        <v>0.0724678108373438</v>
      </c>
      <c r="R495" s="15">
        <f>K498</f>
        <v>0.01960683240258146</v>
      </c>
      <c r="S495" s="15">
        <f>L498</f>
        <v>0.0015655309306883672</v>
      </c>
      <c r="T495" s="15">
        <f>M498</f>
        <v>0.010932137134123976</v>
      </c>
    </row>
    <row r="496" spans="1:20">
      <c r="A496" s="14">
        <v>45149</v>
      </c>
      <c r="B496" s="10">
        <v>1062.348754882812</v>
      </c>
      <c r="C496" s="10">
        <v>190.2313537597656</v>
      </c>
      <c r="D496" s="10">
        <v>850.08935546875</v>
      </c>
      <c r="E496" s="10">
        <v>19428.30078125</v>
      </c>
      <c r="F496" s="10">
        <v>531.1500244140625</v>
      </c>
      <c r="I496" s="15">
        <f>LN(B496/B495)</f>
        <v>-0.014806712815675135</v>
      </c>
      <c r="J496" s="15">
        <f>LN(C496/C495)</f>
        <v>0.01184682656573825</v>
      </c>
      <c r="K496" s="15">
        <f>LN(D496/D495)</f>
        <v>0.028470744329810796</v>
      </c>
      <c r="L496" s="15">
        <f>LN(E496/E495)</f>
        <v>-0.005891456761763215</v>
      </c>
      <c r="M496" s="15">
        <f>LN(F496/F495)</f>
        <v>-0.003945844160904033</v>
      </c>
      <c r="O496" s="14">
        <v>45155</v>
      </c>
      <c r="P496" s="15">
        <f>I499</f>
        <v>-0.0032916277861220478</v>
      </c>
      <c r="Q496" s="15">
        <f>J499</f>
        <v>-0.018067607012344868</v>
      </c>
      <c r="R496" s="15">
        <f>K499</f>
        <v>-0.0011142314123111182</v>
      </c>
      <c r="S496" s="15">
        <f>L499</f>
        <v>-0.005137758290060533</v>
      </c>
      <c r="T496" s="15">
        <f>M499</f>
        <v>0.0012176731144176675</v>
      </c>
    </row>
    <row r="497" spans="1:20">
      <c r="A497" s="14">
        <v>45152</v>
      </c>
      <c r="B497" s="10">
        <v>1052.997802734375</v>
      </c>
      <c r="C497" s="10">
        <v>188.787582397461</v>
      </c>
      <c r="D497" s="10">
        <v>853.6188354492188</v>
      </c>
      <c r="E497" s="10">
        <v>19434.55078125</v>
      </c>
      <c r="F497" s="10">
        <v>527.6500244140625</v>
      </c>
      <c r="I497" s="15">
        <f>LN(B497/B496)</f>
        <v>-0.008841116860706493</v>
      </c>
      <c r="J497" s="15">
        <f>LN(C497/C496)</f>
        <v>-0.007618502443000946</v>
      </c>
      <c r="K497" s="15">
        <f>LN(D497/D496)</f>
        <v>0.004143297600460424</v>
      </c>
      <c r="L497" s="15">
        <f>LN(E497/E496)</f>
        <v>0.0003216439248586792</v>
      </c>
      <c r="M497" s="15">
        <f>LN(F497/F496)</f>
        <v>-0.006611281804032033</v>
      </c>
      <c r="O497" s="14">
        <v>45156</v>
      </c>
      <c r="P497" s="15">
        <f>I500</f>
        <v>-0.002790423665405134</v>
      </c>
      <c r="Q497" s="15">
        <f>J500</f>
        <v>-0.0168747831336018</v>
      </c>
      <c r="R497" s="15">
        <f>K500</f>
        <v>0.0032534148317115374</v>
      </c>
      <c r="S497" s="15">
        <f>L500</f>
        <v>-0.0028493381372506382</v>
      </c>
      <c r="T497" s="15">
        <f>M500</f>
        <v>-0.007328724756694264</v>
      </c>
    </row>
    <row r="498" spans="1:20">
      <c r="A498" s="14">
        <v>45154</v>
      </c>
      <c r="B498" s="10">
        <v>1063.234497070312</v>
      </c>
      <c r="C498" s="10">
        <v>202.9765167236328</v>
      </c>
      <c r="D498" s="10">
        <v>870.520751953125</v>
      </c>
      <c r="E498" s="10">
        <v>19465</v>
      </c>
      <c r="F498" s="10">
        <v>533.4500122070312</v>
      </c>
      <c r="I498" s="15">
        <f>LN(B498/B497)</f>
        <v>0.009674527867265682</v>
      </c>
      <c r="J498" s="15">
        <f>LN(C498/C497)</f>
        <v>0.0724678108373438</v>
      </c>
      <c r="K498" s="15">
        <f>LN(D498/D497)</f>
        <v>0.01960683240258146</v>
      </c>
      <c r="L498" s="15">
        <f>LN(E498/E497)</f>
        <v>0.0015655309306883672</v>
      </c>
      <c r="M498" s="15">
        <f>LN(F498/F497)</f>
        <v>0.010932137134123976</v>
      </c>
      <c r="O498" s="14">
        <v>45159</v>
      </c>
      <c r="P498" s="15">
        <f>I501</f>
        <v>0.004275257229415367</v>
      </c>
      <c r="Q498" s="15">
        <f>J501</f>
        <v>0.02780382371311705</v>
      </c>
      <c r="R498" s="15">
        <f>K501</f>
        <v>0.0013950792900661248</v>
      </c>
      <c r="S498" s="15">
        <f>L501</f>
        <v>0.0043122099570484</v>
      </c>
      <c r="T498" s="15">
        <f>M501</f>
        <v>0.009853220766217662</v>
      </c>
    </row>
    <row r="499" spans="1:20">
      <c r="A499" s="14">
        <v>45155</v>
      </c>
      <c r="B499" s="10">
        <v>1059.740478515625</v>
      </c>
      <c r="C499" s="10">
        <v>199.3421478271484</v>
      </c>
      <c r="D499" s="10">
        <v>869.5513305664062</v>
      </c>
      <c r="E499" s="10">
        <v>19365.25</v>
      </c>
      <c r="F499" s="10">
        <v>534.0999755859375</v>
      </c>
      <c r="I499" s="15">
        <f>LN(B499/B498)</f>
        <v>-0.0032916277861220478</v>
      </c>
      <c r="J499" s="15">
        <f>LN(C499/C498)</f>
        <v>-0.018067607012344868</v>
      </c>
      <c r="K499" s="15">
        <f>LN(D499/D498)</f>
        <v>-0.0011142314123111182</v>
      </c>
      <c r="L499" s="15">
        <f>LN(E499/E498)</f>
        <v>-0.005137758290060533</v>
      </c>
      <c r="M499" s="15">
        <f>LN(F499/F498)</f>
        <v>0.0012176731144176675</v>
      </c>
      <c r="O499" s="14">
        <v>45160</v>
      </c>
      <c r="P499" s="15">
        <f>I502</f>
        <v>0.013495482091602933</v>
      </c>
      <c r="Q499" s="15">
        <f>J502</f>
        <v>-0.007189815915254202</v>
      </c>
      <c r="R499" s="15">
        <f>K502</f>
        <v>0.0007110531201186777</v>
      </c>
      <c r="S499" s="15">
        <f>L502</f>
        <v>0.00014692476375842436</v>
      </c>
      <c r="T499" s="15">
        <f>M502</f>
        <v>0.002145354849240019</v>
      </c>
    </row>
    <row r="500" spans="1:20">
      <c r="A500" s="14">
        <v>45156</v>
      </c>
      <c r="B500" s="10">
        <v>1056.787475585938</v>
      </c>
      <c r="C500" s="10">
        <v>196.0065155029297</v>
      </c>
      <c r="D500" s="10">
        <v>872.3849487304688</v>
      </c>
      <c r="E500" s="10">
        <v>19310.150390625</v>
      </c>
      <c r="F500" s="10">
        <v>530.2000122070312</v>
      </c>
      <c r="I500" s="15">
        <f>LN(B500/B499)</f>
        <v>-0.002790423665405134</v>
      </c>
      <c r="J500" s="15">
        <f>LN(C500/C499)</f>
        <v>-0.0168747831336018</v>
      </c>
      <c r="K500" s="15">
        <f>LN(D500/D499)</f>
        <v>0.0032534148317115374</v>
      </c>
      <c r="L500" s="15">
        <f>LN(E500/E499)</f>
        <v>-0.0028493381372506382</v>
      </c>
      <c r="M500" s="15">
        <f>LN(F500/F499)</f>
        <v>-0.007328724756694264</v>
      </c>
      <c r="O500" s="14">
        <v>45161</v>
      </c>
      <c r="P500" s="15">
        <f>I503</f>
        <v>0.003926613003886939</v>
      </c>
      <c r="Q500" s="15">
        <f>J503</f>
        <v>0.015308937088477309</v>
      </c>
      <c r="R500" s="15">
        <f>K503</f>
        <v>0.0027823570278577904</v>
      </c>
      <c r="S500" s="15">
        <f>L503</f>
        <v>0.0024485198272942723</v>
      </c>
      <c r="T500" s="15">
        <f>M503</f>
        <v>0.004277177749132784</v>
      </c>
    </row>
    <row r="501" spans="1:20">
      <c r="A501" s="14">
        <v>45159</v>
      </c>
      <c r="B501" s="10">
        <v>1061.315185546875</v>
      </c>
      <c r="C501" s="10">
        <v>201.53271484375</v>
      </c>
      <c r="D501" s="10">
        <v>873.6028442382812</v>
      </c>
      <c r="E501" s="10">
        <v>19393.599609375</v>
      </c>
      <c r="F501" s="10">
        <v>535.4500122070312</v>
      </c>
      <c r="I501" s="15">
        <f>LN(B501/B500)</f>
        <v>0.004275257229415367</v>
      </c>
      <c r="J501" s="15">
        <f>LN(C501/C500)</f>
        <v>0.02780382371311705</v>
      </c>
      <c r="K501" s="15">
        <f>LN(D501/D500)</f>
        <v>0.0013950792900661248</v>
      </c>
      <c r="L501" s="15">
        <f>LN(E501/E500)</f>
        <v>0.0043122099570484</v>
      </c>
      <c r="M501" s="15">
        <f>LN(F501/F500)</f>
        <v>0.009853220766217662</v>
      </c>
      <c r="O501" s="14">
        <v>45162</v>
      </c>
      <c r="P501" s="15">
        <f>I504</f>
        <v>0.0007741918375690241</v>
      </c>
      <c r="Q501" s="15">
        <f>J504</f>
        <v>0.010966421386342767</v>
      </c>
      <c r="R501" s="15">
        <f>K504</f>
        <v>-0.0019580957726669976</v>
      </c>
      <c r="S501" s="15">
        <f>L504</f>
        <v>-0.0029513155310064644</v>
      </c>
      <c r="T501" s="15">
        <f>M504</f>
        <v>0.002039069315358279</v>
      </c>
    </row>
    <row r="502" spans="1:20">
      <c r="A502" s="14">
        <v>45160</v>
      </c>
      <c r="B502" s="10">
        <v>1075.735229492188</v>
      </c>
      <c r="C502" s="10">
        <v>200.0889282226562</v>
      </c>
      <c r="D502" s="10">
        <v>874.2242431640625</v>
      </c>
      <c r="E502" s="10">
        <v>19396.44921875</v>
      </c>
      <c r="F502" s="10">
        <v>536.5999755859375</v>
      </c>
      <c r="I502" s="15">
        <f>LN(B502/B501)</f>
        <v>0.013495482091602933</v>
      </c>
      <c r="J502" s="15">
        <f>LN(C502/C501)</f>
        <v>-0.007189815915254202</v>
      </c>
      <c r="K502" s="15">
        <f>LN(D502/D501)</f>
        <v>0.0007110531201186777</v>
      </c>
      <c r="L502" s="15">
        <f>LN(E502/E501)</f>
        <v>0.00014692476375842436</v>
      </c>
      <c r="M502" s="15">
        <f>LN(F502/F501)</f>
        <v>0.002145354849240019</v>
      </c>
      <c r="O502" s="14">
        <v>45163</v>
      </c>
      <c r="P502" s="15">
        <f>I505</f>
        <v>-0.015602662662245196</v>
      </c>
      <c r="Q502" s="15">
        <f>J505</f>
        <v>0.027018921540903604</v>
      </c>
      <c r="R502" s="15">
        <f>K505</f>
        <v>-0.007757195973395664</v>
      </c>
      <c r="S502" s="15">
        <f>L505</f>
        <v>-0.0062556798015631025</v>
      </c>
      <c r="T502" s="15">
        <f>M505</f>
        <v>-0.013141505518528215</v>
      </c>
    </row>
    <row r="503" spans="1:20">
      <c r="A503" s="14">
        <v>45161</v>
      </c>
      <c r="B503" s="10">
        <v>1079.967529296875</v>
      </c>
      <c r="C503" s="10">
        <v>203.1756439208984</v>
      </c>
      <c r="D503" s="10">
        <v>876.6600341796875</v>
      </c>
      <c r="E503" s="10">
        <v>19444</v>
      </c>
      <c r="F503" s="10">
        <v>538.9000244140625</v>
      </c>
      <c r="I503" s="15">
        <f>LN(B503/B502)</f>
        <v>0.003926613003886939</v>
      </c>
      <c r="J503" s="15">
        <f>LN(C503/C502)</f>
        <v>0.015308937088477309</v>
      </c>
      <c r="K503" s="15">
        <f>LN(D503/D502)</f>
        <v>0.0027823570278577904</v>
      </c>
      <c r="L503" s="15">
        <f>LN(E503/E502)</f>
        <v>0.0024485198272942723</v>
      </c>
      <c r="M503" s="15">
        <f>LN(F503/F502)</f>
        <v>0.004277177749132784</v>
      </c>
      <c r="O503" s="14">
        <v>45166</v>
      </c>
      <c r="P503" s="15">
        <f>I506</f>
        <v>0.001848151724422495</v>
      </c>
      <c r="Q503" s="15">
        <f>J506</f>
        <v>0.007988850164012058</v>
      </c>
      <c r="R503" s="15">
        <f>K506</f>
        <v>0.018410047810123384</v>
      </c>
      <c r="S503" s="15">
        <f>L506</f>
        <v>0.0020870149074536447</v>
      </c>
      <c r="T503" s="15">
        <f>M506</f>
        <v>0.009338007691884151</v>
      </c>
    </row>
    <row r="504" spans="1:20">
      <c r="A504" s="14">
        <v>45162</v>
      </c>
      <c r="B504" s="10">
        <v>1080.803955078125</v>
      </c>
      <c r="C504" s="10">
        <v>205.416015625</v>
      </c>
      <c r="D504" s="10">
        <v>874.9451293945312</v>
      </c>
      <c r="E504" s="10">
        <v>19386.69921875</v>
      </c>
      <c r="F504" s="10">
        <v>540</v>
      </c>
      <c r="I504" s="15">
        <f>LN(B504/B503)</f>
        <v>0.0007741918375690241</v>
      </c>
      <c r="J504" s="15">
        <f>LN(C504/C503)</f>
        <v>0.010966421386342767</v>
      </c>
      <c r="K504" s="15">
        <f>LN(D504/D503)</f>
        <v>-0.0019580957726669976</v>
      </c>
      <c r="L504" s="15">
        <f>LN(E504/E503)</f>
        <v>-0.0029513155310064644</v>
      </c>
      <c r="M504" s="15">
        <f>LN(F504/F503)</f>
        <v>0.002039069315358279</v>
      </c>
      <c r="O504" s="14">
        <v>45167</v>
      </c>
      <c r="P504" s="15">
        <f>I507</f>
        <v>0.015392888929025395</v>
      </c>
      <c r="Q504" s="15">
        <f>J507</f>
        <v>0.024732481457666072</v>
      </c>
      <c r="R504" s="15">
        <f>K507</f>
        <v>-0.012871200067567064</v>
      </c>
      <c r="S504" s="15">
        <f>L507</f>
        <v>0.0018939637920959618</v>
      </c>
      <c r="T504" s="15">
        <f>M507</f>
        <v>0.01677454187683464</v>
      </c>
    </row>
    <row r="505" spans="1:20">
      <c r="A505" s="14">
        <v>45163</v>
      </c>
      <c r="B505" s="10">
        <v>1064.071411132812</v>
      </c>
      <c r="C505" s="10">
        <v>211.0417938232422</v>
      </c>
      <c r="D505" s="10">
        <v>868.1842651367188</v>
      </c>
      <c r="E505" s="10">
        <v>19265.80078125</v>
      </c>
      <c r="F505" s="10">
        <v>532.9500122070312</v>
      </c>
      <c r="I505" s="15">
        <f>LN(B505/B504)</f>
        <v>-0.015602662662245196</v>
      </c>
      <c r="J505" s="15">
        <f>LN(C505/C504)</f>
        <v>0.027018921540903604</v>
      </c>
      <c r="K505" s="15">
        <f>LN(D505/D504)</f>
        <v>-0.007757195973395664</v>
      </c>
      <c r="L505" s="15">
        <f>LN(E505/E504)</f>
        <v>-0.0062556798015631025</v>
      </c>
      <c r="M505" s="15">
        <f>LN(F505/F504)</f>
        <v>-0.013141505518528215</v>
      </c>
      <c r="O505" s="14">
        <v>45168</v>
      </c>
      <c r="P505" s="15">
        <f>I508</f>
        <v>0.024651512429714268</v>
      </c>
      <c r="Q505" s="15">
        <f>J508</f>
        <v>-0.011712106078222461</v>
      </c>
      <c r="R505" s="15">
        <f>K508</f>
        <v>0.010112894127396119</v>
      </c>
      <c r="S505" s="15">
        <f>L508</f>
        <v>0.00024806491573087567</v>
      </c>
      <c r="T505" s="15">
        <f>M508</f>
        <v>0.014067482829585946</v>
      </c>
    </row>
    <row r="506" spans="1:20">
      <c r="A506" s="14">
        <v>45166</v>
      </c>
      <c r="B506" s="10">
        <v>1066.039794921875</v>
      </c>
      <c r="C506" s="10">
        <v>212.7345275878907</v>
      </c>
      <c r="D506" s="10">
        <v>884.3156127929688</v>
      </c>
      <c r="E506" s="10">
        <v>19306.05078125</v>
      </c>
      <c r="F506" s="10">
        <v>537.9500122070312</v>
      </c>
      <c r="I506" s="15">
        <f>LN(B506/B505)</f>
        <v>0.001848151724422495</v>
      </c>
      <c r="J506" s="15">
        <f>LN(C506/C505)</f>
        <v>0.007988850164012058</v>
      </c>
      <c r="K506" s="15">
        <f>LN(D506/D505)</f>
        <v>0.018410047810123384</v>
      </c>
      <c r="L506" s="15">
        <f>LN(E506/E505)</f>
        <v>0.0020870149074536447</v>
      </c>
      <c r="M506" s="15">
        <f>LN(F506/F505)</f>
        <v>0.009338007691884151</v>
      </c>
      <c r="O506" s="14">
        <v>45169</v>
      </c>
      <c r="P506" s="15">
        <f>I509</f>
        <v>-0.005738228990808889</v>
      </c>
      <c r="Q506" s="15">
        <f>J509</f>
        <v>0.013992637468159005</v>
      </c>
      <c r="R506" s="15">
        <f>K509</f>
        <v>0.014466458579005881</v>
      </c>
      <c r="S506" s="15">
        <f>L509</f>
        <v>-0.004852103039648143</v>
      </c>
      <c r="T506" s="15">
        <f>M509</f>
        <v>0.006467928731523932</v>
      </c>
    </row>
    <row r="507" spans="1:20">
      <c r="A507" s="14">
        <v>45167</v>
      </c>
      <c r="B507" s="10">
        <v>1082.576171875</v>
      </c>
      <c r="C507" s="10">
        <v>218.0615844726562</v>
      </c>
      <c r="D507" s="10">
        <v>873.00634765625</v>
      </c>
      <c r="E507" s="10">
        <v>19342.650390625</v>
      </c>
      <c r="F507" s="10">
        <v>547.0499877929688</v>
      </c>
      <c r="I507" s="15">
        <f>LN(B507/B506)</f>
        <v>0.015392888929025395</v>
      </c>
      <c r="J507" s="15">
        <f>LN(C507/C506)</f>
        <v>0.024732481457666072</v>
      </c>
      <c r="K507" s="15">
        <f>LN(D507/D506)</f>
        <v>-0.012871200067567064</v>
      </c>
      <c r="L507" s="15">
        <f>LN(E507/E506)</f>
        <v>0.0018939637920959618</v>
      </c>
      <c r="M507" s="15">
        <f>LN(F507/F506)</f>
        <v>0.01677454187683464</v>
      </c>
      <c r="O507" s="14">
        <v>45170</v>
      </c>
      <c r="P507" s="15">
        <f>I510</f>
        <v>0.006270222260668493</v>
      </c>
      <c r="Q507" s="15">
        <f>J510</f>
        <v>0.005905100353349649</v>
      </c>
      <c r="R507" s="15">
        <f>K510</f>
        <v>0.02729306189540599</v>
      </c>
      <c r="S507" s="15">
        <f>L510</f>
        <v>0.009382556025202547</v>
      </c>
      <c r="T507" s="15">
        <f>M510</f>
        <v>0.009357939635143182</v>
      </c>
    </row>
    <row r="508" spans="1:20">
      <c r="A508" s="14">
        <v>45168</v>
      </c>
      <c r="B508" s="10">
        <v>1109.594970703125</v>
      </c>
      <c r="C508" s="10">
        <v>215.5225219726562</v>
      </c>
      <c r="D508" s="10">
        <v>881.8797607421875</v>
      </c>
      <c r="E508" s="10">
        <v>19347.44921875</v>
      </c>
      <c r="F508" s="10">
        <v>554.7999877929688</v>
      </c>
      <c r="I508" s="15">
        <f>LN(B508/B507)</f>
        <v>0.024651512429714268</v>
      </c>
      <c r="J508" s="15">
        <f>LN(C508/C507)</f>
        <v>-0.011712106078222461</v>
      </c>
      <c r="K508" s="15">
        <f>LN(D508/D507)</f>
        <v>0.010112894127396119</v>
      </c>
      <c r="L508" s="15">
        <f>LN(E508/E507)</f>
        <v>0.00024806491573087567</v>
      </c>
      <c r="M508" s="15">
        <f>LN(F508/F507)</f>
        <v>0.014067482829585946</v>
      </c>
      <c r="O508" s="14">
        <v>45173</v>
      </c>
      <c r="P508" s="15">
        <f>I511</f>
        <v>-0.00048798887909434606</v>
      </c>
      <c r="Q508" s="15">
        <f>J511</f>
        <v>0.007894442014171037</v>
      </c>
      <c r="R508" s="15">
        <f>K511</f>
        <v>-0.0002162881875250033</v>
      </c>
      <c r="S508" s="15">
        <f>L511</f>
        <v>0.004799298621963187</v>
      </c>
      <c r="T508" s="15">
        <f>M511</f>
        <v>0.01146599211902296</v>
      </c>
    </row>
    <row r="509" spans="1:20">
      <c r="A509" s="14">
        <v>45169</v>
      </c>
      <c r="B509" s="10">
        <v>1103.24609375</v>
      </c>
      <c r="C509" s="10">
        <v>218.5594482421875</v>
      </c>
      <c r="D509" s="10">
        <v>894.7301635742188</v>
      </c>
      <c r="E509" s="10">
        <v>19253.80078125</v>
      </c>
      <c r="F509" s="10">
        <v>558.4000244140625</v>
      </c>
      <c r="I509" s="15">
        <f>LN(B509/B508)</f>
        <v>-0.005738228990808889</v>
      </c>
      <c r="J509" s="15">
        <f>LN(C509/C508)</f>
        <v>0.013992637468159005</v>
      </c>
      <c r="K509" s="15">
        <f>LN(D509/D508)</f>
        <v>0.014466458579005881</v>
      </c>
      <c r="L509" s="15">
        <f>LN(E509/E508)</f>
        <v>-0.004852103039648143</v>
      </c>
      <c r="M509" s="15">
        <f>LN(F509/F508)</f>
        <v>0.006467928731523932</v>
      </c>
      <c r="O509" s="14">
        <v>45174</v>
      </c>
      <c r="P509" s="15">
        <f>I512</f>
        <v>0.016757116343913876</v>
      </c>
      <c r="Q509" s="15">
        <f>J512</f>
        <v>-0.017450837112403007</v>
      </c>
      <c r="R509" s="15">
        <f>K512</f>
        <v>0.001297027972449069</v>
      </c>
      <c r="S509" s="15">
        <f>L512</f>
        <v>0.002357814188949651</v>
      </c>
      <c r="T509" s="15">
        <f>M512</f>
        <v>0.010555316912047887</v>
      </c>
    </row>
    <row r="510" spans="1:20">
      <c r="A510" s="14">
        <v>45170</v>
      </c>
      <c r="B510" s="10">
        <v>1110.185424804688</v>
      </c>
      <c r="C510" s="10">
        <v>219.8538818359375</v>
      </c>
      <c r="D510" s="10">
        <v>919.4863891601562</v>
      </c>
      <c r="E510" s="10">
        <v>19435.30078125</v>
      </c>
      <c r="F510" s="10">
        <v>563.6500244140625</v>
      </c>
      <c r="I510" s="15">
        <f>LN(B510/B509)</f>
        <v>0.006270222260668493</v>
      </c>
      <c r="J510" s="15">
        <f>LN(C510/C509)</f>
        <v>0.005905100353349649</v>
      </c>
      <c r="K510" s="15">
        <f>LN(D510/D509)</f>
        <v>0.02729306189540599</v>
      </c>
      <c r="L510" s="15">
        <f>LN(E510/E509)</f>
        <v>0.009382556025202547</v>
      </c>
      <c r="M510" s="15">
        <f>LN(F510/F509)</f>
        <v>0.009357939635143182</v>
      </c>
      <c r="O510" s="14">
        <v>45175</v>
      </c>
      <c r="P510" s="15">
        <f>I513</f>
        <v>-0.001396719636071616</v>
      </c>
      <c r="Q510" s="15">
        <f>J513</f>
        <v>-0.007573182547384727</v>
      </c>
      <c r="R510" s="15">
        <f>K513</f>
        <v>-0.028512631430356178</v>
      </c>
      <c r="S510" s="15">
        <f>L513</f>
        <v>0.0018450694598145603</v>
      </c>
      <c r="T510" s="15">
        <f>M513</f>
        <v>-0.009678739053325293</v>
      </c>
    </row>
    <row r="511" spans="1:20">
      <c r="A511" s="14">
        <v>45173</v>
      </c>
      <c r="B511" s="10">
        <v>1109.643798828125</v>
      </c>
      <c r="C511" s="10">
        <v>221.5963745117188</v>
      </c>
      <c r="D511" s="10">
        <v>919.2875366210938</v>
      </c>
      <c r="E511" s="10">
        <v>19528.80078125</v>
      </c>
      <c r="F511" s="10">
        <v>570.1500244140625</v>
      </c>
      <c r="I511" s="15">
        <f>LN(B511/B510)</f>
        <v>-0.00048798887909434606</v>
      </c>
      <c r="J511" s="15">
        <f>LN(C511/C510)</f>
        <v>0.007894442014171037</v>
      </c>
      <c r="K511" s="15">
        <f>LN(D511/D510)</f>
        <v>-0.0002162881875250033</v>
      </c>
      <c r="L511" s="15">
        <f>LN(E511/E510)</f>
        <v>0.004799298621963187</v>
      </c>
      <c r="M511" s="15">
        <f>LN(F511/F510)</f>
        <v>0.01146599211902296</v>
      </c>
      <c r="O511" s="14">
        <v>45176</v>
      </c>
      <c r="P511" s="15">
        <f>I514</f>
        <v>0.008350989574573139</v>
      </c>
      <c r="Q511" s="15">
        <f>J514</f>
        <v>0.007801796983409653</v>
      </c>
      <c r="R511" s="15">
        <f>K514</f>
        <v>0.006590740528704322</v>
      </c>
      <c r="S511" s="15">
        <f>L514</f>
        <v>0.005897607236551244</v>
      </c>
      <c r="T511" s="15">
        <f>M514</f>
        <v>0.014699027290604348</v>
      </c>
    </row>
    <row r="512" spans="1:20">
      <c r="A512" s="14">
        <v>45174</v>
      </c>
      <c r="B512" s="10">
        <v>1128.394897460938</v>
      </c>
      <c r="C512" s="10">
        <v>217.7628784179688</v>
      </c>
      <c r="D512" s="10">
        <v>920.4806518554688</v>
      </c>
      <c r="E512" s="10">
        <v>19574.900390625</v>
      </c>
      <c r="F512" s="10">
        <v>576.2000122070312</v>
      </c>
      <c r="I512" s="15">
        <f>LN(B512/B511)</f>
        <v>0.016757116343913876</v>
      </c>
      <c r="J512" s="15">
        <f>LN(C512/C511)</f>
        <v>-0.017450837112403007</v>
      </c>
      <c r="K512" s="15">
        <f>LN(D512/D511)</f>
        <v>0.001297027972449069</v>
      </c>
      <c r="L512" s="15">
        <f>LN(E512/E511)</f>
        <v>0.002357814188949651</v>
      </c>
      <c r="M512" s="15">
        <f>LN(F512/F511)</f>
        <v>0.010555316912047887</v>
      </c>
      <c r="O512" s="14">
        <v>45177</v>
      </c>
      <c r="P512" s="15">
        <f>I515</f>
        <v>0.021594232873044607</v>
      </c>
      <c r="Q512" s="15">
        <f>J515</f>
        <v>0.0020549716863056664</v>
      </c>
      <c r="R512" s="15">
        <f>K515</f>
        <v>0.01656100690393428</v>
      </c>
      <c r="S512" s="15">
        <f>L515</f>
        <v>0.004698136818212182</v>
      </c>
      <c r="T512" s="15">
        <f>M515</f>
        <v>0.02101751662707254</v>
      </c>
    </row>
    <row r="513" spans="1:20">
      <c r="A513" s="14">
        <v>45175</v>
      </c>
      <c r="B513" s="10">
        <v>1126.819946289062</v>
      </c>
      <c r="C513" s="10">
        <v>216.1199493408203</v>
      </c>
      <c r="D513" s="10">
        <v>894.60595703125</v>
      </c>
      <c r="E513" s="10">
        <v>19611.05078125</v>
      </c>
      <c r="F513" s="10">
        <v>570.6500244140625</v>
      </c>
      <c r="I513" s="15">
        <f>LN(B513/B512)</f>
        <v>-0.001396719636071616</v>
      </c>
      <c r="J513" s="15">
        <f>LN(C513/C512)</f>
        <v>-0.007573182547384727</v>
      </c>
      <c r="K513" s="15">
        <f>LN(D513/D512)</f>
        <v>-0.028512631430356178</v>
      </c>
      <c r="L513" s="15">
        <f>LN(E513/E512)</f>
        <v>0.0018450694598145603</v>
      </c>
      <c r="M513" s="15">
        <f>LN(F513/F512)</f>
        <v>-0.009678739053325293</v>
      </c>
      <c r="O513" s="14">
        <v>45180</v>
      </c>
      <c r="P513" s="15">
        <f>I516</f>
        <v>0.014350808254045368</v>
      </c>
      <c r="Q513" s="15">
        <f>J516</f>
        <v>0.056537307937163106</v>
      </c>
      <c r="R513" s="15">
        <f>K516</f>
        <v>0.013107723845253822</v>
      </c>
      <c r="S513" s="15">
        <f>L516</f>
        <v>0.008860770587058942</v>
      </c>
      <c r="T513" s="15">
        <f>M516</f>
        <v>0.008754182458465772</v>
      </c>
    </row>
    <row r="514" spans="1:20">
      <c r="A514" s="14">
        <v>45176</v>
      </c>
      <c r="B514" s="10">
        <v>1136.269409179688</v>
      </c>
      <c r="C514" s="10">
        <v>217.8126678466797</v>
      </c>
      <c r="D514" s="10">
        <v>900.5215454101562</v>
      </c>
      <c r="E514" s="10">
        <v>19727.05078125</v>
      </c>
      <c r="F514" s="10">
        <v>579.0999755859375</v>
      </c>
      <c r="I514" s="15">
        <f>LN(B514/B513)</f>
        <v>0.008350989574573139</v>
      </c>
      <c r="J514" s="15">
        <f>LN(C514/C513)</f>
        <v>0.007801796983409653</v>
      </c>
      <c r="K514" s="15">
        <f>LN(D514/D513)</f>
        <v>0.006590740528704322</v>
      </c>
      <c r="L514" s="15">
        <f>LN(E514/E513)</f>
        <v>0.005897607236551244</v>
      </c>
      <c r="M514" s="15">
        <f>LN(F514/F513)</f>
        <v>0.014699027290604348</v>
      </c>
      <c r="O514" s="14">
        <v>45181</v>
      </c>
      <c r="P514" s="15">
        <f>I517</f>
        <v>-0.048234592143028304</v>
      </c>
      <c r="Q514" s="15">
        <f>J517</f>
        <v>-0.06179743677262981</v>
      </c>
      <c r="R514" s="15">
        <f>K517</f>
        <v>0.0012852267844037822</v>
      </c>
      <c r="S514" s="15">
        <f>L517</f>
        <v>-0.00015756069892455075</v>
      </c>
      <c r="T514" s="15">
        <f>M517</f>
        <v>-0.03297138292404706</v>
      </c>
    </row>
    <row r="515" spans="1:20">
      <c r="A515" s="14">
        <v>45177</v>
      </c>
      <c r="B515" s="10">
        <v>1161.073120117188</v>
      </c>
      <c r="C515" s="10">
        <v>218.260726928711</v>
      </c>
      <c r="D515" s="10">
        <v>915.5592651367188</v>
      </c>
      <c r="E515" s="10">
        <v>19819.94921875</v>
      </c>
      <c r="F515" s="10">
        <v>591.4000244140625</v>
      </c>
      <c r="I515" s="15">
        <f>LN(B515/B514)</f>
        <v>0.021594232873044607</v>
      </c>
      <c r="J515" s="15">
        <f>LN(C515/C514)</f>
        <v>0.0020549716863056664</v>
      </c>
      <c r="K515" s="15">
        <f>LN(D515/D514)</f>
        <v>0.01656100690393428</v>
      </c>
      <c r="L515" s="15">
        <f>LN(E515/E514)</f>
        <v>0.004698136818212182</v>
      </c>
      <c r="M515" s="15">
        <f>LN(F515/F514)</f>
        <v>0.02101751662707254</v>
      </c>
      <c r="O515" s="14">
        <v>45182</v>
      </c>
      <c r="P515" s="15">
        <f>I518</f>
        <v>-0.00558414241696376</v>
      </c>
      <c r="Q515" s="15">
        <f>J518</f>
        <v>0.017727723043020092</v>
      </c>
      <c r="R515" s="15">
        <f>K518</f>
        <v>-0.03465929993024259</v>
      </c>
      <c r="S515" s="15">
        <f>L518</f>
        <v>0.003833986143147051</v>
      </c>
      <c r="T515" s="15">
        <f>M518</f>
        <v>0.006733492865026964</v>
      </c>
    </row>
    <row r="516" spans="1:20">
      <c r="A516" s="14">
        <v>45180</v>
      </c>
      <c r="B516" s="10">
        <v>1177.855590820312</v>
      </c>
      <c r="C516" s="10">
        <v>230.9561004638672</v>
      </c>
      <c r="D516" s="10">
        <v>927.63916015625</v>
      </c>
      <c r="E516" s="10">
        <v>19996.349609375</v>
      </c>
      <c r="F516" s="10">
        <v>596.5999755859375</v>
      </c>
      <c r="I516" s="15">
        <f>LN(B516/B515)</f>
        <v>0.014350808254045368</v>
      </c>
      <c r="J516" s="15">
        <f>LN(C516/C515)</f>
        <v>0.056537307937163106</v>
      </c>
      <c r="K516" s="15">
        <f>LN(D516/D515)</f>
        <v>0.013107723845253822</v>
      </c>
      <c r="L516" s="15">
        <f>LN(E516/E515)</f>
        <v>0.008860770587058942</v>
      </c>
      <c r="M516" s="15">
        <f>LN(F516/F515)</f>
        <v>0.008754182458465772</v>
      </c>
      <c r="O516" s="14">
        <v>45183</v>
      </c>
      <c r="P516" s="15">
        <f>I519</f>
        <v>0.02632661735699017</v>
      </c>
      <c r="Q516" s="15">
        <f>J519</f>
        <v>0.001350773885037502</v>
      </c>
      <c r="R516" s="15">
        <f>K519</f>
        <v>0.007974472045851819</v>
      </c>
      <c r="S516" s="15">
        <f>L519</f>
        <v>0.0016478497893743786</v>
      </c>
      <c r="T516" s="15">
        <f>M519</f>
        <v>0.013841600716608721</v>
      </c>
    </row>
    <row r="517" spans="1:20">
      <c r="A517" s="14">
        <v>45181</v>
      </c>
      <c r="B517" s="10">
        <v>1122.390625</v>
      </c>
      <c r="C517" s="10">
        <v>217.1156616210938</v>
      </c>
      <c r="D517" s="10">
        <v>928.8321533203124</v>
      </c>
      <c r="E517" s="10">
        <v>19993.19921875</v>
      </c>
      <c r="F517" s="10">
        <v>577.25</v>
      </c>
      <c r="I517" s="15">
        <f>LN(B517/B516)</f>
        <v>-0.048234592143028304</v>
      </c>
      <c r="J517" s="15">
        <f>LN(C517/C516)</f>
        <v>-0.06179743677262981</v>
      </c>
      <c r="K517" s="15">
        <f>LN(D517/D516)</f>
        <v>0.0012852267844037822</v>
      </c>
      <c r="L517" s="15">
        <f>LN(E517/E516)</f>
        <v>-0.00015756069892455075</v>
      </c>
      <c r="M517" s="15">
        <f>LN(F517/F516)</f>
        <v>-0.03297138292404706</v>
      </c>
      <c r="O517" s="14">
        <v>45184</v>
      </c>
      <c r="P517" s="15">
        <f>I520</f>
        <v>0.008297768362550247</v>
      </c>
      <c r="Q517" s="15">
        <f>J520</f>
        <v>-0.0006751243697799056</v>
      </c>
      <c r="R517" s="15">
        <f>K520</f>
        <v>0.020134898992009855</v>
      </c>
      <c r="S517" s="15">
        <f>L520</f>
        <v>0.004429787863222843</v>
      </c>
      <c r="T517" s="15">
        <f>M520</f>
        <v>-0.003910883694314142</v>
      </c>
    </row>
    <row r="518" spans="1:20">
      <c r="A518" s="14">
        <v>45182</v>
      </c>
      <c r="B518" s="10">
        <v>1116.140502929688</v>
      </c>
      <c r="C518" s="10">
        <v>220.9989471435547</v>
      </c>
      <c r="D518" s="10">
        <v>897.1909790039062</v>
      </c>
      <c r="E518" s="10">
        <v>20070</v>
      </c>
      <c r="F518" s="10">
        <v>581.1500244140625</v>
      </c>
      <c r="I518" s="15">
        <f>LN(B518/B517)</f>
        <v>-0.00558414241696376</v>
      </c>
      <c r="J518" s="15">
        <f>LN(C518/C517)</f>
        <v>0.017727723043020092</v>
      </c>
      <c r="K518" s="15">
        <f>LN(D518/D517)</f>
        <v>-0.03465929993024259</v>
      </c>
      <c r="L518" s="15">
        <f>LN(E518/E517)</f>
        <v>0.003833986143147051</v>
      </c>
      <c r="M518" s="15">
        <f>LN(F518/F517)</f>
        <v>0.006733492865026964</v>
      </c>
      <c r="O518" s="14">
        <v>45187</v>
      </c>
      <c r="P518" s="15">
        <f>I521</f>
        <v>-0.01260163281162046</v>
      </c>
      <c r="Q518" s="15">
        <f>J521</f>
        <v>-0.0018026783587945954</v>
      </c>
      <c r="R518" s="15">
        <f>K521</f>
        <v>-0.006884314886526229</v>
      </c>
      <c r="S518" s="15">
        <f>L521</f>
        <v>-0.0029286010148227575</v>
      </c>
      <c r="T518" s="15">
        <f>M521</f>
        <v>-0.013809864863773448</v>
      </c>
    </row>
    <row r="519" spans="1:20">
      <c r="A519" s="14">
        <v>45183</v>
      </c>
      <c r="B519" s="10">
        <v>1145.914916992188</v>
      </c>
      <c r="C519" s="10">
        <v>221.2976684570312</v>
      </c>
      <c r="D519" s="10">
        <v>904.3742065429688</v>
      </c>
      <c r="E519" s="10">
        <v>20103.099609375</v>
      </c>
      <c r="F519" s="10">
        <v>589.25</v>
      </c>
      <c r="I519" s="15">
        <f>LN(B519/B518)</f>
        <v>0.02632661735699017</v>
      </c>
      <c r="J519" s="15">
        <f>LN(C519/C518)</f>
        <v>0.001350773885037502</v>
      </c>
      <c r="K519" s="15">
        <f>LN(D519/D518)</f>
        <v>0.007974472045851819</v>
      </c>
      <c r="L519" s="15">
        <f>LN(E519/E518)</f>
        <v>0.0016478497893743786</v>
      </c>
      <c r="M519" s="15">
        <f>LN(F519/F518)</f>
        <v>0.013841600716608721</v>
      </c>
      <c r="O519" s="14">
        <v>45189</v>
      </c>
      <c r="P519" s="15">
        <f>I522</f>
        <v>-0.014117448531574216</v>
      </c>
      <c r="Q519" s="15">
        <f>J522</f>
        <v>-0.011568710432687108</v>
      </c>
      <c r="R519" s="15">
        <f>K522</f>
        <v>-0.00488004881590088</v>
      </c>
      <c r="S519" s="15">
        <f>L522</f>
        <v>-0.011585098803333688</v>
      </c>
      <c r="T519" s="15">
        <f>M522</f>
        <v>-0.01172855582369253</v>
      </c>
    </row>
    <row r="520" spans="1:20">
      <c r="A520" s="14">
        <v>45184</v>
      </c>
      <c r="B520" s="10">
        <v>1155.463012695312</v>
      </c>
      <c r="C520" s="10">
        <v>221.1483154296875</v>
      </c>
      <c r="D520" s="10">
        <v>922.7682495117188</v>
      </c>
      <c r="E520" s="10">
        <v>20192.349609375</v>
      </c>
      <c r="F520" s="10">
        <v>586.9500122070312</v>
      </c>
      <c r="I520" s="15">
        <f>LN(B520/B519)</f>
        <v>0.008297768362550247</v>
      </c>
      <c r="J520" s="15">
        <f>LN(C520/C519)</f>
        <v>-0.0006751243697799056</v>
      </c>
      <c r="K520" s="15">
        <f>LN(D520/D519)</f>
        <v>0.020134898992009855</v>
      </c>
      <c r="L520" s="15">
        <f>LN(E520/E519)</f>
        <v>0.004429787863222843</v>
      </c>
      <c r="M520" s="15">
        <f>LN(F520/F519)</f>
        <v>-0.003910883694314142</v>
      </c>
      <c r="O520" s="14">
        <v>45190</v>
      </c>
      <c r="P520" s="15">
        <f>I523</f>
        <v>-0.007861558040777912</v>
      </c>
      <c r="Q520" s="15">
        <f>J523</f>
        <v>-0.01795619886516948</v>
      </c>
      <c r="R520" s="15">
        <f>K523</f>
        <v>-0.00980468848134103</v>
      </c>
      <c r="S520" s="15">
        <f>L523</f>
        <v>-0.00802404589005525</v>
      </c>
      <c r="T520" s="15">
        <f>M523</f>
        <v>-0.012133126276381146</v>
      </c>
    </row>
    <row r="521" spans="1:20">
      <c r="A521" s="14">
        <v>45187</v>
      </c>
      <c r="B521" s="10">
        <v>1140.99365234375</v>
      </c>
      <c r="C521" s="10">
        <v>220.750015258789</v>
      </c>
      <c r="D521" s="10">
        <v>916.4374389648438</v>
      </c>
      <c r="E521" s="10">
        <v>20133.30078125</v>
      </c>
      <c r="F521" s="10">
        <v>578.9000244140625</v>
      </c>
      <c r="I521" s="15">
        <f>LN(B521/B520)</f>
        <v>-0.01260163281162046</v>
      </c>
      <c r="J521" s="15">
        <f>LN(C521/C520)</f>
        <v>-0.0018026783587945954</v>
      </c>
      <c r="K521" s="15">
        <f>LN(D521/D520)</f>
        <v>-0.006884314886526229</v>
      </c>
      <c r="L521" s="15">
        <f>LN(E521/E520)</f>
        <v>-0.0029286010148227575</v>
      </c>
      <c r="M521" s="15">
        <f>LN(F521/F520)</f>
        <v>-0.013809864863773448</v>
      </c>
      <c r="O521" s="14">
        <v>45191</v>
      </c>
      <c r="P521" s="15">
        <f>I524</f>
        <v>-0.011663672566654942</v>
      </c>
      <c r="Q521" s="15">
        <f>J524</f>
        <v>-0.00910054616784865</v>
      </c>
      <c r="R521" s="15">
        <f>K524</f>
        <v>0.010924607662953254</v>
      </c>
      <c r="S521" s="15">
        <f>L524</f>
        <v>-0.0034553806166447805</v>
      </c>
      <c r="T521" s="15">
        <f>M524</f>
        <v>-0.0066563369795813844</v>
      </c>
    </row>
    <row r="522" spans="1:20">
      <c r="A522" s="14">
        <v>45189</v>
      </c>
      <c r="B522" s="10">
        <v>1124.998901367188</v>
      </c>
      <c r="C522" s="10">
        <v>218.2109375</v>
      </c>
      <c r="D522" s="10">
        <v>911.97607421875</v>
      </c>
      <c r="E522" s="10">
        <v>19901.400390625</v>
      </c>
      <c r="F522" s="10">
        <v>572.1500244140625</v>
      </c>
      <c r="I522" s="15">
        <f>LN(B522/B521)</f>
        <v>-0.014117448531574216</v>
      </c>
      <c r="J522" s="15">
        <f>LN(C522/C521)</f>
        <v>-0.011568710432687108</v>
      </c>
      <c r="K522" s="15">
        <f>LN(D522/D521)</f>
        <v>-0.00488004881590088</v>
      </c>
      <c r="L522" s="15">
        <f>LN(E522/E521)</f>
        <v>-0.011585098803333688</v>
      </c>
      <c r="M522" s="15">
        <f>LN(F522/F521)</f>
        <v>-0.01172855582369253</v>
      </c>
      <c r="O522" s="14">
        <v>45194</v>
      </c>
      <c r="P522" s="15">
        <f>I525</f>
        <v>0.011972576588040115</v>
      </c>
      <c r="Q522" s="15">
        <f>J525</f>
        <v>0.006076295077436039</v>
      </c>
      <c r="R522" s="15">
        <f>K525</f>
        <v>-0.02501616701178079</v>
      </c>
      <c r="S522" s="15">
        <f>L525</f>
        <v>1.5287950028248088e-05</v>
      </c>
      <c r="T522" s="15">
        <f>M525</f>
        <v>0.015112280687264695</v>
      </c>
    </row>
    <row r="523" spans="1:20">
      <c r="A523" s="14">
        <v>45190</v>
      </c>
      <c r="B523" s="10">
        <v>1116.189331054688</v>
      </c>
      <c r="C523" s="10">
        <v>214.3276672363281</v>
      </c>
      <c r="D523" s="10">
        <v>903.078125</v>
      </c>
      <c r="E523" s="10">
        <v>19742.349609375</v>
      </c>
      <c r="F523" s="10">
        <v>565.25</v>
      </c>
      <c r="I523" s="15">
        <f>LN(B523/B522)</f>
        <v>-0.007861558040777912</v>
      </c>
      <c r="J523" s="15">
        <f>LN(C523/C522)</f>
        <v>-0.01795619886516948</v>
      </c>
      <c r="K523" s="15">
        <f>LN(D523/D522)</f>
        <v>-0.00980468848134103</v>
      </c>
      <c r="L523" s="15">
        <f>LN(E523/E522)</f>
        <v>-0.00802404589005525</v>
      </c>
      <c r="M523" s="15">
        <f>LN(F523/F522)</f>
        <v>-0.012133126276381146</v>
      </c>
      <c r="O523" s="14">
        <v>45195</v>
      </c>
      <c r="P523" s="15">
        <f>I526</f>
        <v>-0.00761057164055463</v>
      </c>
      <c r="Q523" s="15">
        <f>J526</f>
        <v>-0.00023310737592587688</v>
      </c>
      <c r="R523" s="15">
        <f>K526</f>
        <v>0.024934203886583812</v>
      </c>
      <c r="S523" s="15">
        <f>L526</f>
        <v>-0.0005008515772894238</v>
      </c>
      <c r="T523" s="15">
        <f>M526</f>
        <v>0.0030652036740202323</v>
      </c>
    </row>
    <row r="524" spans="1:20">
      <c r="A524" s="14">
        <v>45191</v>
      </c>
      <c r="B524" s="10">
        <v>1103.24609375</v>
      </c>
      <c r="C524" s="10">
        <v>212.3860168457031</v>
      </c>
      <c r="D524" s="10">
        <v>912.9979858398438</v>
      </c>
      <c r="E524" s="10">
        <v>19674.25</v>
      </c>
      <c r="F524" s="10">
        <v>561.5</v>
      </c>
      <c r="I524" s="15">
        <f>LN(B524/B523)</f>
        <v>-0.011663672566654942</v>
      </c>
      <c r="J524" s="15">
        <f>LN(C524/C523)</f>
        <v>-0.00910054616784865</v>
      </c>
      <c r="K524" s="15">
        <f>LN(D524/D523)</f>
        <v>0.010924607662953254</v>
      </c>
      <c r="L524" s="15">
        <f>LN(E524/E523)</f>
        <v>-0.0034553806166447805</v>
      </c>
      <c r="M524" s="15">
        <f>LN(F524/F523)</f>
        <v>-0.0066563369795813844</v>
      </c>
      <c r="O524" s="14">
        <v>45196</v>
      </c>
      <c r="P524" s="15">
        <f>I527</f>
        <v>0.010559214481984968</v>
      </c>
      <c r="Q524" s="15">
        <f>J527</f>
        <v>0.033909296607731954</v>
      </c>
      <c r="R524" s="15">
        <f>K527</f>
        <v>0.00726309459342314</v>
      </c>
      <c r="S524" s="15">
        <f>L527</f>
        <v>0.002628162551917123</v>
      </c>
      <c r="T524" s="15">
        <f>M527</f>
        <v>0.007318402156108261</v>
      </c>
    </row>
    <row r="525" spans="1:20">
      <c r="A525" s="14">
        <v>45194</v>
      </c>
      <c r="B525" s="10">
        <v>1116.5341796875</v>
      </c>
      <c r="C525" s="10">
        <v>213.6804656982422</v>
      </c>
      <c r="D525" s="10">
        <v>890.4415893554688</v>
      </c>
      <c r="E525" s="10">
        <v>19674.55078125</v>
      </c>
      <c r="F525" s="10">
        <v>570.0499877929688</v>
      </c>
      <c r="I525" s="15">
        <f>LN(B525/B524)</f>
        <v>0.011972576588040115</v>
      </c>
      <c r="J525" s="15">
        <f>LN(C525/C524)</f>
        <v>0.006076295077436039</v>
      </c>
      <c r="K525" s="15">
        <f>LN(D525/D524)</f>
        <v>-0.02501616701178079</v>
      </c>
      <c r="L525" s="15">
        <f>LN(E525/E524)</f>
        <v>1.5287950028248088e-05</v>
      </c>
      <c r="M525" s="15">
        <f>LN(F525/F524)</f>
        <v>0.015112280687264695</v>
      </c>
      <c r="O525" s="14">
        <v>45197</v>
      </c>
      <c r="P525" s="15">
        <f>I528</f>
        <v>-0.006879325050734142</v>
      </c>
      <c r="Q525" s="15">
        <f>J528</f>
        <v>-0.016352806098712966</v>
      </c>
      <c r="R525" s="15">
        <f>K528</f>
        <v>0.002706675524093975</v>
      </c>
      <c r="S525" s="15">
        <f>L528</f>
        <v>-0.009831803841213342</v>
      </c>
      <c r="T525" s="15">
        <f>M528</f>
        <v>-0.009769748794153675</v>
      </c>
    </row>
    <row r="526" spans="1:20">
      <c r="A526" s="14">
        <v>45195</v>
      </c>
      <c r="B526" s="10">
        <v>1108.068969726562</v>
      </c>
      <c r="C526" s="10">
        <v>213.6306610107422</v>
      </c>
      <c r="D526" s="10">
        <v>912.9231567382812</v>
      </c>
      <c r="E526" s="10">
        <v>19664.69921875</v>
      </c>
      <c r="F526" s="10">
        <v>571.7999877929688</v>
      </c>
      <c r="I526" s="15">
        <f>LN(B526/B525)</f>
        <v>-0.00761057164055463</v>
      </c>
      <c r="J526" s="15">
        <f>LN(C526/C525)</f>
        <v>-0.00023310737592587688</v>
      </c>
      <c r="K526" s="15">
        <f>LN(D526/D525)</f>
        <v>0.024934203886583812</v>
      </c>
      <c r="L526" s="15">
        <f>LN(E526/E525)</f>
        <v>-0.0005008515772894238</v>
      </c>
      <c r="M526" s="15">
        <f>LN(F526/F525)</f>
        <v>0.0030652036740202323</v>
      </c>
      <c r="O526" s="14">
        <v>45198</v>
      </c>
      <c r="P526" s="15">
        <f>I529</f>
        <v>0.021408107436048845</v>
      </c>
      <c r="Q526" s="15">
        <f>J529</f>
        <v>0.005708431269819209</v>
      </c>
      <c r="R526" s="15">
        <f>K529</f>
        <v>-0.01932319209533116</v>
      </c>
      <c r="S526" s="15">
        <f>L529</f>
        <v>0.005860311697675281</v>
      </c>
      <c r="T526" s="15">
        <f>M529</f>
        <v>0.009161967629230872</v>
      </c>
    </row>
    <row r="527" spans="1:20">
      <c r="A527" s="14">
        <v>45196</v>
      </c>
      <c r="B527" s="10">
        <v>1119.831298828125</v>
      </c>
      <c r="C527" s="10">
        <v>220.9989471435547</v>
      </c>
      <c r="D527" s="10">
        <v>919.5779418945312</v>
      </c>
      <c r="E527" s="10">
        <v>19716.44921875</v>
      </c>
      <c r="F527" s="10">
        <v>576</v>
      </c>
      <c r="I527" s="15">
        <f>LN(B527/B526)</f>
        <v>0.010559214481984968</v>
      </c>
      <c r="J527" s="15">
        <f>LN(C527/C526)</f>
        <v>0.033909296607731954</v>
      </c>
      <c r="K527" s="15">
        <f>LN(D527/D526)</f>
        <v>0.00726309459342314</v>
      </c>
      <c r="L527" s="15">
        <f>LN(E527/E526)</f>
        <v>0.002628162551917123</v>
      </c>
      <c r="M527" s="15">
        <f>LN(F527/F526)</f>
        <v>0.007318402156108261</v>
      </c>
      <c r="O527" s="14">
        <v>45202</v>
      </c>
      <c r="P527" s="15">
        <f>I530</f>
        <v>-0.002558730830769437</v>
      </c>
      <c r="Q527" s="15">
        <f>J530</f>
        <v>0.009968337594025687</v>
      </c>
      <c r="R527" s="15">
        <f>K530</f>
        <v>0.0025046749511531043</v>
      </c>
      <c r="S527" s="15">
        <f>L530</f>
        <v>-0.005594042173129665</v>
      </c>
      <c r="T527" s="15">
        <f>M530</f>
        <v>0.004592864524728694</v>
      </c>
    </row>
    <row r="528" spans="1:20">
      <c r="A528" s="14">
        <v>45197</v>
      </c>
      <c r="B528" s="10">
        <v>1112.154052734375</v>
      </c>
      <c r="C528" s="10">
        <v>217.4143829345703</v>
      </c>
      <c r="D528" s="10">
        <v>922.0703125</v>
      </c>
      <c r="E528" s="10">
        <v>19523.55078125</v>
      </c>
      <c r="F528" s="10">
        <v>570.4000244140625</v>
      </c>
      <c r="I528" s="15">
        <f>LN(B528/B527)</f>
        <v>-0.006879325050734142</v>
      </c>
      <c r="J528" s="15">
        <f>LN(C528/C527)</f>
        <v>-0.016352806098712966</v>
      </c>
      <c r="K528" s="15">
        <f>LN(D528/D527)</f>
        <v>0.002706675524093975</v>
      </c>
      <c r="L528" s="15">
        <f>LN(E528/E527)</f>
        <v>-0.009831803841213342</v>
      </c>
      <c r="M528" s="15">
        <f>LN(F528/F527)</f>
        <v>-0.009769748794153675</v>
      </c>
      <c r="O528" s="14">
        <v>45203</v>
      </c>
      <c r="P528" s="15">
        <f>I531</f>
        <v>-0.02666834314848337</v>
      </c>
      <c r="Q528" s="15">
        <f>J531</f>
        <v>-0.013617966475580657</v>
      </c>
      <c r="R528" s="15">
        <f>K531</f>
        <v>-0.003607584762102602</v>
      </c>
      <c r="S528" s="15">
        <f>L531</f>
        <v>-0.004755597219883326</v>
      </c>
      <c r="T528" s="15">
        <f>M531</f>
        <v>-0.017443317232528642</v>
      </c>
    </row>
    <row r="529" spans="1:20">
      <c r="A529" s="14">
        <v>45198</v>
      </c>
      <c r="B529" s="10">
        <v>1136.219848632812</v>
      </c>
      <c r="C529" s="10">
        <v>218.6590270996093</v>
      </c>
      <c r="D529" s="10">
        <v>904.4240112304688</v>
      </c>
      <c r="E529" s="10">
        <v>19638.30078125</v>
      </c>
      <c r="F529" s="10">
        <v>575.6500244140625</v>
      </c>
      <c r="I529" s="15">
        <f>LN(B529/B528)</f>
        <v>0.021408107436048845</v>
      </c>
      <c r="J529" s="15">
        <f>LN(C529/C528)</f>
        <v>0.005708431269819209</v>
      </c>
      <c r="K529" s="15">
        <f>LN(D529/D528)</f>
        <v>-0.01932319209533116</v>
      </c>
      <c r="L529" s="15">
        <f>LN(E529/E528)</f>
        <v>0.005860311697675281</v>
      </c>
      <c r="M529" s="15">
        <f>LN(F529/F528)</f>
        <v>0.009161967629230872</v>
      </c>
      <c r="O529" s="14">
        <v>45204</v>
      </c>
      <c r="P529" s="15">
        <f>I532</f>
        <v>-0.027169666061936965</v>
      </c>
      <c r="Q529" s="15">
        <f>J532</f>
        <v>0.07397737659207265</v>
      </c>
      <c r="R529" s="15">
        <f>K532</f>
        <v>-0.02404034672586961</v>
      </c>
      <c r="S529" s="15">
        <f>L532</f>
        <v>0.005625729970019748</v>
      </c>
      <c r="T529" s="15">
        <f>M532</f>
        <v>0.002899232277341997</v>
      </c>
    </row>
    <row r="530" spans="1:20">
      <c r="A530" s="14">
        <v>45202</v>
      </c>
      <c r="B530" s="10">
        <v>1133.316284179688</v>
      </c>
      <c r="C530" s="10">
        <v>220.849594116211</v>
      </c>
      <c r="D530" s="10">
        <v>906.692138671875</v>
      </c>
      <c r="E530" s="10">
        <v>19528.75</v>
      </c>
      <c r="F530" s="10">
        <v>578.2999877929688</v>
      </c>
      <c r="I530" s="15">
        <f>LN(B530/B529)</f>
        <v>-0.002558730830769437</v>
      </c>
      <c r="J530" s="15">
        <f>LN(C530/C529)</f>
        <v>0.009968337594025687</v>
      </c>
      <c r="K530" s="15">
        <f>LN(D530/D529)</f>
        <v>0.0025046749511531043</v>
      </c>
      <c r="L530" s="15">
        <f>LN(E530/E529)</f>
        <v>-0.005594042173129665</v>
      </c>
      <c r="M530" s="15">
        <f>LN(F530/F529)</f>
        <v>0.004592864524728694</v>
      </c>
      <c r="O530" s="14">
        <v>45205</v>
      </c>
      <c r="P530" s="15">
        <f>I533</f>
        <v>0.018659928497708117</v>
      </c>
      <c r="Q530" s="15">
        <f>J533</f>
        <v>-0.0059600493276601</v>
      </c>
      <c r="R530" s="15">
        <f>K533</f>
        <v>0.01778588946402809</v>
      </c>
      <c r="S530" s="15">
        <f>L533</f>
        <v>0.005497568008546022</v>
      </c>
      <c r="T530" s="15">
        <f>M533</f>
        <v>0.03032758691780363</v>
      </c>
    </row>
    <row r="531" spans="1:20">
      <c r="A531" s="14">
        <v>45203</v>
      </c>
      <c r="B531" s="10">
        <v>1103.492065429688</v>
      </c>
      <c r="C531" s="10">
        <v>217.8624572753907</v>
      </c>
      <c r="D531" s="10">
        <v>903.4270629882812</v>
      </c>
      <c r="E531" s="10">
        <v>19436.099609375</v>
      </c>
      <c r="F531" s="10">
        <v>568.2999877929688</v>
      </c>
      <c r="I531" s="15">
        <f>LN(B531/B530)</f>
        <v>-0.02666834314848337</v>
      </c>
      <c r="J531" s="15">
        <f>LN(C531/C530)</f>
        <v>-0.013617966475580657</v>
      </c>
      <c r="K531" s="15">
        <f>LN(D531/D530)</f>
        <v>-0.003607584762102602</v>
      </c>
      <c r="L531" s="15">
        <f>LN(E531/E530)</f>
        <v>-0.004755597219883326</v>
      </c>
      <c r="M531" s="15">
        <f>LN(F531/F530)</f>
        <v>-0.017443317232528642</v>
      </c>
      <c r="O531" s="14">
        <v>45208</v>
      </c>
      <c r="P531" s="15">
        <f>I534</f>
        <v>0.001797516331802908</v>
      </c>
      <c r="Q531" s="15">
        <f>J534</f>
        <v>-0.03674730873487814</v>
      </c>
      <c r="R531" s="15">
        <f>K534</f>
        <v>-0.0003332424387236749</v>
      </c>
      <c r="S531" s="15">
        <f>L534</f>
        <v>-0.007207861089913015</v>
      </c>
      <c r="T531" s="15">
        <f>M534</f>
        <v>-0.007946424539858795</v>
      </c>
    </row>
    <row r="532" spans="1:20">
      <c r="A532" s="14">
        <v>45204</v>
      </c>
      <c r="B532" s="10">
        <v>1073.914184570312</v>
      </c>
      <c r="C532" s="10">
        <v>234.5904693603516</v>
      </c>
      <c r="D532" s="10">
        <v>881.9673461914062</v>
      </c>
      <c r="E532" s="10">
        <v>19545.75</v>
      </c>
      <c r="F532" s="10">
        <v>569.9500122070312</v>
      </c>
      <c r="I532" s="15">
        <f>LN(B532/B531)</f>
        <v>-0.027169666061936965</v>
      </c>
      <c r="J532" s="15">
        <f>LN(C532/C531)</f>
        <v>0.07397737659207265</v>
      </c>
      <c r="K532" s="15">
        <f>LN(D532/D531)</f>
        <v>-0.02404034672586961</v>
      </c>
      <c r="L532" s="15">
        <f>LN(E532/E531)</f>
        <v>0.005625729970019748</v>
      </c>
      <c r="M532" s="15">
        <f>LN(F532/F531)</f>
        <v>0.002899232277341997</v>
      </c>
      <c r="O532" s="14">
        <v>45209</v>
      </c>
      <c r="P532" s="15">
        <f>I535</f>
        <v>0.034248766627074365</v>
      </c>
      <c r="Q532" s="15">
        <f>J535</f>
        <v>0.02817095050597491</v>
      </c>
      <c r="R532" s="15">
        <f>K535</f>
        <v>0.03527798620910597</v>
      </c>
      <c r="S532" s="15">
        <f>L535</f>
        <v>0.0090556762901256</v>
      </c>
      <c r="T532" s="15">
        <f>M535</f>
        <v>0.03928016328221743</v>
      </c>
    </row>
    <row r="533" spans="1:20">
      <c r="A533" s="14">
        <v>45205</v>
      </c>
      <c r="B533" s="10">
        <v>1094.141479492188</v>
      </c>
      <c r="C533" s="10">
        <v>233.1964569091797</v>
      </c>
      <c r="D533" s="10">
        <v>897.7942504882812</v>
      </c>
      <c r="E533" s="10">
        <v>19653.5</v>
      </c>
      <c r="F533" s="10">
        <v>587.5</v>
      </c>
      <c r="I533" s="15">
        <f>LN(B533/B532)</f>
        <v>0.018659928497708117</v>
      </c>
      <c r="J533" s="15">
        <f>LN(C533/C532)</f>
        <v>-0.0059600493276601</v>
      </c>
      <c r="K533" s="15">
        <f>LN(D533/D532)</f>
        <v>0.01778588946402809</v>
      </c>
      <c r="L533" s="15">
        <f>LN(E533/E532)</f>
        <v>0.005497568008546022</v>
      </c>
      <c r="M533" s="15">
        <f>LN(F533/F532)</f>
        <v>0.03032758691780363</v>
      </c>
      <c r="O533" s="14">
        <v>45210</v>
      </c>
      <c r="P533" s="15">
        <f>I536</f>
        <v>-0.003303272673637079</v>
      </c>
      <c r="Q533" s="15">
        <f>J536</f>
        <v>-0.017376717556447815</v>
      </c>
      <c r="R533" s="15">
        <f>K536</f>
        <v>0.031247610740520185</v>
      </c>
      <c r="S533" s="15">
        <f>L536</f>
        <v>0.00615173136873013</v>
      </c>
      <c r="T533" s="15">
        <f>M536</f>
        <v>0.008377832305037101</v>
      </c>
    </row>
    <row r="534" spans="1:20">
      <c r="A534" s="14">
        <v>45208</v>
      </c>
      <c r="B534" s="10">
        <v>1096.109985351562</v>
      </c>
      <c r="C534" s="10">
        <v>224.7826538085938</v>
      </c>
      <c r="D534" s="10">
        <v>897.4951171875</v>
      </c>
      <c r="E534" s="10">
        <v>19512.349609375</v>
      </c>
      <c r="F534" s="10">
        <v>582.8499755859375</v>
      </c>
      <c r="I534" s="15">
        <f>LN(B534/B533)</f>
        <v>0.001797516331802908</v>
      </c>
      <c r="J534" s="15">
        <f>LN(C534/C533)</f>
        <v>-0.03674730873487814</v>
      </c>
      <c r="K534" s="15">
        <f>LN(D534/D533)</f>
        <v>-0.0003332424387236749</v>
      </c>
      <c r="L534" s="15">
        <f>LN(E534/E533)</f>
        <v>-0.007207861089913015</v>
      </c>
      <c r="M534" s="15">
        <f>LN(F534/F533)</f>
        <v>-0.007946424539858795</v>
      </c>
      <c r="O534" s="14">
        <v>45211</v>
      </c>
      <c r="P534" s="15">
        <f>I537</f>
        <v>-0.001960448518740591</v>
      </c>
      <c r="Q534" s="15">
        <f>J537</f>
        <v>0.015005283274844116</v>
      </c>
      <c r="R534" s="15">
        <f>K537</f>
        <v>0.007945287125416561</v>
      </c>
      <c r="S534" s="15">
        <f>L537</f>
        <v>-0.0008761245971014768</v>
      </c>
      <c r="T534" s="15">
        <f>M537</f>
        <v>-0.0018010247781730414</v>
      </c>
    </row>
    <row r="535" spans="1:20">
      <c r="A535" s="14">
        <v>45209</v>
      </c>
      <c r="B535" s="10">
        <v>1134.300659179688</v>
      </c>
      <c r="C535" s="10">
        <v>231.2050323486328</v>
      </c>
      <c r="D535" s="10">
        <v>929.7220458984376</v>
      </c>
      <c r="E535" s="10">
        <v>19689.849609375</v>
      </c>
      <c r="F535" s="10">
        <v>606.2000122070312</v>
      </c>
      <c r="I535" s="15">
        <f>LN(B535/B534)</f>
        <v>0.034248766627074365</v>
      </c>
      <c r="J535" s="15">
        <f>LN(C535/C534)</f>
        <v>0.02817095050597491</v>
      </c>
      <c r="K535" s="15">
        <f>LN(D535/D534)</f>
        <v>0.03527798620910597</v>
      </c>
      <c r="L535" s="15">
        <f>LN(E535/E534)</f>
        <v>0.0090556762901256</v>
      </c>
      <c r="M535" s="15">
        <f>LN(F535/F534)</f>
        <v>0.03928016328221743</v>
      </c>
      <c r="O535" s="14">
        <v>45212</v>
      </c>
      <c r="P535" s="15">
        <f>I538</f>
        <v>-0.015472402565593174</v>
      </c>
      <c r="Q535" s="15">
        <f>J538</f>
        <v>0.012654338202138767</v>
      </c>
      <c r="R535" s="15">
        <f>K538</f>
        <v>0.037913090224705334</v>
      </c>
      <c r="S535" s="15">
        <f>L538</f>
        <v>-0.002172167428733089</v>
      </c>
      <c r="T535" s="15">
        <f>M538</f>
        <v>0.004251806218754425</v>
      </c>
    </row>
    <row r="536" spans="1:20">
      <c r="A536" s="14">
        <v>45210</v>
      </c>
      <c r="B536" s="10">
        <v>1130.559936523438</v>
      </c>
      <c r="C536" s="10">
        <v>227.222152709961</v>
      </c>
      <c r="D536" s="10">
        <v>959.2322998046876</v>
      </c>
      <c r="E536" s="10">
        <v>19811.349609375</v>
      </c>
      <c r="F536" s="10">
        <v>611.2999877929688</v>
      </c>
      <c r="I536" s="15">
        <f>LN(B536/B535)</f>
        <v>-0.003303272673637079</v>
      </c>
      <c r="J536" s="15">
        <f>LN(C536/C535)</f>
        <v>-0.017376717556447815</v>
      </c>
      <c r="K536" s="15">
        <f>LN(D536/D535)</f>
        <v>0.031247610740520185</v>
      </c>
      <c r="L536" s="15">
        <f>LN(E536/E535)</f>
        <v>0.00615173136873013</v>
      </c>
      <c r="M536" s="15">
        <f>LN(F536/F535)</f>
        <v>0.008377832305037101</v>
      </c>
      <c r="O536" s="14">
        <v>45215</v>
      </c>
      <c r="P536" s="15">
        <f>I539</f>
        <v>0.0017704491836049265</v>
      </c>
      <c r="Q536" s="15">
        <f>J539</f>
        <v>0.02129754618377086</v>
      </c>
      <c r="R536" s="15">
        <f>K539</f>
        <v>-0.045520627124111736</v>
      </c>
      <c r="S536" s="15">
        <f>L539</f>
        <v>-0.0009776805295215437</v>
      </c>
      <c r="T536" s="15">
        <f>M539</f>
        <v>-0.0034327382886134286</v>
      </c>
    </row>
    <row r="537" spans="1:20">
      <c r="A537" s="14">
        <v>45211</v>
      </c>
      <c r="B537" s="10">
        <v>1128.345703125</v>
      </c>
      <c r="C537" s="10">
        <v>230.6573944091797</v>
      </c>
      <c r="D537" s="10">
        <v>966.884033203125</v>
      </c>
      <c r="E537" s="10">
        <v>19794</v>
      </c>
      <c r="F537" s="10">
        <v>610.2000122070312</v>
      </c>
      <c r="I537" s="15">
        <f>LN(B537/B536)</f>
        <v>-0.001960448518740591</v>
      </c>
      <c r="J537" s="15">
        <f>LN(C537/C536)</f>
        <v>0.015005283274844116</v>
      </c>
      <c r="K537" s="15">
        <f>LN(D537/D536)</f>
        <v>0.007945287125416561</v>
      </c>
      <c r="L537" s="15">
        <f>LN(E537/E536)</f>
        <v>-0.0008761245971014768</v>
      </c>
      <c r="M537" s="15">
        <f>LN(F537/F536)</f>
        <v>-0.0018010247781730414</v>
      </c>
      <c r="O537" s="14">
        <v>45216</v>
      </c>
      <c r="P537" s="15">
        <f>I540</f>
        <v>0.0056000111348469385</v>
      </c>
      <c r="Q537" s="15">
        <f>J540</f>
        <v>-0.0039719652040503236</v>
      </c>
      <c r="R537" s="15">
        <f>K540</f>
        <v>-0.010496735899323551</v>
      </c>
      <c r="S537" s="15">
        <f>L540</f>
        <v>0.004033563661320618</v>
      </c>
      <c r="T537" s="15">
        <f>M540</f>
        <v>0.0003274594021325783</v>
      </c>
    </row>
    <row r="538" spans="1:20">
      <c r="A538" s="14">
        <v>45212</v>
      </c>
      <c r="B538" s="10">
        <v>1111.021850585938</v>
      </c>
      <c r="C538" s="10">
        <v>233.5947570800781</v>
      </c>
      <c r="D538" s="10">
        <v>1004.245361328125</v>
      </c>
      <c r="E538" s="10">
        <v>19751.05078125</v>
      </c>
      <c r="F538" s="10">
        <v>612.7999877929688</v>
      </c>
      <c r="I538" s="15">
        <f>LN(B538/B537)</f>
        <v>-0.015472402565593174</v>
      </c>
      <c r="J538" s="15">
        <f>LN(C538/C537)</f>
        <v>0.012654338202138767</v>
      </c>
      <c r="K538" s="15">
        <f>LN(D538/D537)</f>
        <v>0.037913090224705334</v>
      </c>
      <c r="L538" s="15">
        <f>LN(E538/E537)</f>
        <v>-0.002172167428733089</v>
      </c>
      <c r="M538" s="15">
        <f>LN(F538/F537)</f>
        <v>0.004251806218754425</v>
      </c>
      <c r="O538" s="14">
        <v>45217</v>
      </c>
      <c r="P538" s="15">
        <f>I541</f>
        <v>-0.01127589952307701</v>
      </c>
      <c r="Q538" s="15">
        <f>J541</f>
        <v>0.005014622531622787</v>
      </c>
      <c r="R538" s="15">
        <f>K541</f>
        <v>-0.015048240925732419</v>
      </c>
      <c r="S538" s="15">
        <f>L541</f>
        <v>-0.007112043473065063</v>
      </c>
      <c r="T538" s="15">
        <f>M541</f>
        <v>-0.004676224268505045</v>
      </c>
    </row>
    <row r="539" spans="1:20">
      <c r="A539" s="14">
        <v>45215</v>
      </c>
      <c r="B539" s="10">
        <v>1112.990600585938</v>
      </c>
      <c r="C539" s="10">
        <v>238.6231079101562</v>
      </c>
      <c r="D539" s="10">
        <v>959.5563354492188</v>
      </c>
      <c r="E539" s="10">
        <v>19731.75</v>
      </c>
      <c r="F539" s="10">
        <v>610.7000122070312</v>
      </c>
      <c r="I539" s="15">
        <f>LN(B539/B538)</f>
        <v>0.0017704491836049265</v>
      </c>
      <c r="J539" s="15">
        <f>LN(C539/C538)</f>
        <v>0.02129754618377086</v>
      </c>
      <c r="K539" s="15">
        <f>LN(D539/D538)</f>
        <v>-0.045520627124111736</v>
      </c>
      <c r="L539" s="15">
        <f>LN(E539/E538)</f>
        <v>-0.0009776805295215437</v>
      </c>
      <c r="M539" s="15">
        <f>LN(F539/F538)</f>
        <v>-0.0034327382886134286</v>
      </c>
      <c r="O539" s="14">
        <v>45218</v>
      </c>
      <c r="P539" s="15">
        <f>I542</f>
        <v>0.00026689533064040374</v>
      </c>
      <c r="Q539" s="15">
        <f>J542</f>
        <v>-0.017238165921747612</v>
      </c>
      <c r="R539" s="15">
        <f>K542</f>
        <v>-0.0024545175629296936</v>
      </c>
      <c r="S539" s="15">
        <f>L542</f>
        <v>-0.002361596586600212</v>
      </c>
      <c r="T539" s="15">
        <f>M542</f>
        <v>-0.0035420991064817322</v>
      </c>
    </row>
    <row r="540" spans="1:20">
      <c r="A540" s="14">
        <v>45216</v>
      </c>
      <c r="B540" s="10">
        <v>1119.240844726562</v>
      </c>
      <c r="C540" s="10">
        <v>237.6771850585938</v>
      </c>
      <c r="D540" s="10">
        <v>949.5368041992188</v>
      </c>
      <c r="E540" s="10">
        <v>19811.5</v>
      </c>
      <c r="F540" s="10">
        <v>610.9000244140625</v>
      </c>
      <c r="I540" s="15">
        <f>LN(B540/B539)</f>
        <v>0.0056000111348469385</v>
      </c>
      <c r="J540" s="15">
        <f>LN(C540/C539)</f>
        <v>-0.0039719652040503236</v>
      </c>
      <c r="K540" s="15">
        <f>LN(D540/D539)</f>
        <v>-0.010496735899323551</v>
      </c>
      <c r="L540" s="15">
        <f>LN(E540/E539)</f>
        <v>0.004033563661320618</v>
      </c>
      <c r="M540" s="15">
        <f>LN(F540/F539)</f>
        <v>0.0003274594021325783</v>
      </c>
      <c r="O540" s="14">
        <v>45219</v>
      </c>
      <c r="P540" s="15">
        <f>I543</f>
        <v>-0.022571116081529105</v>
      </c>
      <c r="Q540" s="15">
        <f>J543</f>
        <v>0.0069730836075040424</v>
      </c>
      <c r="R540" s="15">
        <f>K543</f>
        <v>-0.008180597734859093</v>
      </c>
      <c r="S540" s="15">
        <f>L543</f>
        <v>-0.004189660467809165</v>
      </c>
      <c r="T540" s="15">
        <f>M543</f>
        <v>-0.01086930232594849</v>
      </c>
    </row>
    <row r="541" spans="1:20">
      <c r="A541" s="14">
        <v>45217</v>
      </c>
      <c r="B541" s="10">
        <v>1106.691284179688</v>
      </c>
      <c r="C541" s="10">
        <v>238.8720397949219</v>
      </c>
      <c r="D541" s="10">
        <v>935.3549194335938</v>
      </c>
      <c r="E541" s="10">
        <v>19671.099609375</v>
      </c>
      <c r="F541" s="10">
        <v>608.0499877929688</v>
      </c>
      <c r="I541" s="15">
        <f>LN(B541/B540)</f>
        <v>-0.01127589952307701</v>
      </c>
      <c r="J541" s="15">
        <f>LN(C541/C540)</f>
        <v>0.005014622531622787</v>
      </c>
      <c r="K541" s="15">
        <f>LN(D541/D540)</f>
        <v>-0.015048240925732419</v>
      </c>
      <c r="L541" s="15">
        <f>LN(E541/E540)</f>
        <v>-0.007112043473065063</v>
      </c>
      <c r="M541" s="15">
        <f>LN(F541/F540)</f>
        <v>-0.004676224268505045</v>
      </c>
      <c r="O541" s="14">
        <v>45222</v>
      </c>
      <c r="P541" s="15">
        <f>I544</f>
        <v>-0.013643452833483016</v>
      </c>
      <c r="Q541" s="15">
        <f>J544</f>
        <v>-0.06032197013549955</v>
      </c>
      <c r="R541" s="15">
        <f>K544</f>
        <v>-0.029933700613719517</v>
      </c>
      <c r="S541" s="15">
        <f>L544</f>
        <v>-0.01344022395196905</v>
      </c>
      <c r="T541" s="15">
        <f>M544</f>
        <v>-0.025259972266043866</v>
      </c>
    </row>
    <row r="542" spans="1:20">
      <c r="A542" s="14">
        <v>45218</v>
      </c>
      <c r="B542" s="10">
        <v>1106.986694335938</v>
      </c>
      <c r="C542" s="10">
        <v>234.7896118164062</v>
      </c>
      <c r="D542" s="10">
        <v>933.0618896484376</v>
      </c>
      <c r="E542" s="10">
        <v>19624.69921875</v>
      </c>
      <c r="F542" s="10">
        <v>605.9000244140625</v>
      </c>
      <c r="I542" s="15">
        <f>LN(B542/B541)</f>
        <v>0.00026689533064040374</v>
      </c>
      <c r="J542" s="15">
        <f>LN(C542/C541)</f>
        <v>-0.017238165921747612</v>
      </c>
      <c r="K542" s="15">
        <f>LN(D542/D541)</f>
        <v>-0.0024545175629296936</v>
      </c>
      <c r="L542" s="15">
        <f>LN(E542/E541)</f>
        <v>-0.002361596586600212</v>
      </c>
      <c r="M542" s="15">
        <f>LN(F542/F541)</f>
        <v>-0.0035420991064817322</v>
      </c>
      <c r="O542" s="14">
        <v>45224</v>
      </c>
      <c r="P542" s="15">
        <f>I545</f>
        <v>-0.005130162487978314</v>
      </c>
      <c r="Q542" s="15">
        <f>J545</f>
        <v>0.03796394501786479</v>
      </c>
      <c r="R542" s="15">
        <f>K545</f>
        <v>-0.004477858560460897</v>
      </c>
      <c r="S542" s="15">
        <f>L545</f>
        <v>-0.008311683270009834</v>
      </c>
      <c r="T542" s="15">
        <f>M545</f>
        <v>-0.00962874798574321</v>
      </c>
    </row>
    <row r="543" spans="1:20">
      <c r="A543" s="14">
        <v>45219</v>
      </c>
      <c r="B543" s="10">
        <v>1082.280639648438</v>
      </c>
      <c r="C543" s="10">
        <v>236.4325408935547</v>
      </c>
      <c r="D543" s="10">
        <v>925.4600219726562</v>
      </c>
      <c r="E543" s="10">
        <v>19542.650390625</v>
      </c>
      <c r="F543" s="10">
        <v>599.3499755859375</v>
      </c>
      <c r="I543" s="15">
        <f>LN(B543/B542)</f>
        <v>-0.022571116081529105</v>
      </c>
      <c r="J543" s="15">
        <f>LN(C543/C542)</f>
        <v>0.0069730836075040424</v>
      </c>
      <c r="K543" s="15">
        <f>LN(D543/D542)</f>
        <v>-0.008180597734859093</v>
      </c>
      <c r="L543" s="15">
        <f>LN(E543/E542)</f>
        <v>-0.004189660467809165</v>
      </c>
      <c r="M543" s="15">
        <f>LN(F543/F542)</f>
        <v>-0.01086930232594849</v>
      </c>
      <c r="O543" s="14">
        <v>45225</v>
      </c>
      <c r="P543" s="15">
        <f>I546</f>
        <v>-0.009029457016404908</v>
      </c>
      <c r="Q543" s="15">
        <f>J546</f>
        <v>-0.00886779095704802</v>
      </c>
      <c r="R543" s="15">
        <f>K546</f>
        <v>-0.026608654069545115</v>
      </c>
      <c r="S543" s="15">
        <f>L546</f>
        <v>-0.013949914095014037</v>
      </c>
      <c r="T543" s="15">
        <f>M546</f>
        <v>-0.01208029713298633</v>
      </c>
    </row>
    <row r="544" spans="1:20">
      <c r="A544" s="14">
        <v>45222</v>
      </c>
      <c r="B544" s="10">
        <v>1067.614868164062</v>
      </c>
      <c r="C544" s="10">
        <v>222.5921020507812</v>
      </c>
      <c r="D544" s="10">
        <v>898.1680908203125</v>
      </c>
      <c r="E544" s="10">
        <v>19281.75</v>
      </c>
      <c r="F544" s="10">
        <v>584.4000244140625</v>
      </c>
      <c r="I544" s="15">
        <f>LN(B544/B543)</f>
        <v>-0.013643452833483016</v>
      </c>
      <c r="J544" s="15">
        <f>LN(C544/C543)</f>
        <v>-0.06032197013549955</v>
      </c>
      <c r="K544" s="15">
        <f>LN(D544/D543)</f>
        <v>-0.029933700613719517</v>
      </c>
      <c r="L544" s="15">
        <f>LN(E544/E543)</f>
        <v>-0.01344022395196905</v>
      </c>
      <c r="M544" s="15">
        <f>LN(F544/F543)</f>
        <v>-0.025259972266043866</v>
      </c>
      <c r="O544" s="14">
        <v>45226</v>
      </c>
      <c r="P544" s="15">
        <f>I547</f>
        <v>0.027302611183388684</v>
      </c>
      <c r="Q544" s="15">
        <f>J547</f>
        <v>0.046480499900216056</v>
      </c>
      <c r="R544" s="15">
        <f>K547</f>
        <v>0.03369157531946834</v>
      </c>
      <c r="S544" s="15">
        <f>L547</f>
        <v>0.010025278863763394</v>
      </c>
      <c r="T544" s="15">
        <f>M547</f>
        <v>0.019310509816390646</v>
      </c>
    </row>
    <row r="545" spans="1:20">
      <c r="A545" s="14">
        <v>45224</v>
      </c>
      <c r="B545" s="10">
        <v>1062.15185546875</v>
      </c>
      <c r="C545" s="10">
        <v>231.2050323486328</v>
      </c>
      <c r="D545" s="10">
        <v>894.1552124023438</v>
      </c>
      <c r="E545" s="10">
        <v>19122.150390625</v>
      </c>
      <c r="F545" s="10">
        <v>578.7999877929688</v>
      </c>
      <c r="I545" s="15">
        <f>LN(B545/B544)</f>
        <v>-0.005130162487978314</v>
      </c>
      <c r="J545" s="15">
        <f>LN(C545/C544)</f>
        <v>0.03796394501786479</v>
      </c>
      <c r="K545" s="15">
        <f>LN(D545/D544)</f>
        <v>-0.004477858560460897</v>
      </c>
      <c r="L545" s="15">
        <f>LN(E545/E544)</f>
        <v>-0.008311683270009834</v>
      </c>
      <c r="M545" s="15">
        <f>LN(F545/F544)</f>
        <v>-0.00962874798574321</v>
      </c>
      <c r="O545" s="14">
        <v>45229</v>
      </c>
      <c r="P545" s="15">
        <f>I548</f>
        <v>0.016693402226952474</v>
      </c>
      <c r="Q545" s="15">
        <f>J548</f>
        <v>-0.003323633239925257</v>
      </c>
      <c r="R545" s="15">
        <f>K548</f>
        <v>0.0134709692113049</v>
      </c>
      <c r="S545" s="15">
        <f>L548</f>
        <v>0.004904693073893485</v>
      </c>
      <c r="T545" s="15">
        <f>M548</f>
        <v>0.0211302563640265</v>
      </c>
    </row>
    <row r="546" spans="1:20">
      <c r="A546" s="14">
        <v>45225</v>
      </c>
      <c r="B546" s="10">
        <v>1052.604370117188</v>
      </c>
      <c r="C546" s="10">
        <v>229.163818359375</v>
      </c>
      <c r="D546" s="10">
        <v>870.6766967773438</v>
      </c>
      <c r="E546" s="10">
        <v>18857.25</v>
      </c>
      <c r="F546" s="10">
        <v>571.8499755859375</v>
      </c>
      <c r="I546" s="15">
        <f>LN(B546/B545)</f>
        <v>-0.009029457016404908</v>
      </c>
      <c r="J546" s="15">
        <f>LN(C546/C545)</f>
        <v>-0.00886779095704802</v>
      </c>
      <c r="K546" s="15">
        <f>LN(D546/D545)</f>
        <v>-0.026608654069545115</v>
      </c>
      <c r="L546" s="15">
        <f>LN(E546/E545)</f>
        <v>-0.013949914095014037</v>
      </c>
      <c r="M546" s="15">
        <f>LN(F546/F545)</f>
        <v>-0.01208029713298633</v>
      </c>
      <c r="O546" s="14">
        <v>45230</v>
      </c>
      <c r="P546" s="15">
        <f>I549</f>
        <v>0.018046697530627404</v>
      </c>
      <c r="Q546" s="15">
        <f>J549</f>
        <v>0.010761663571866044</v>
      </c>
      <c r="R546" s="15">
        <f>K549</f>
        <v>-0.008583977741475849</v>
      </c>
      <c r="S546" s="15">
        <f>L549</f>
        <v>-0.003207746304394414</v>
      </c>
      <c r="T546" s="15">
        <f>M549</f>
        <v>0.012599754012666574</v>
      </c>
    </row>
    <row r="547" spans="1:20">
      <c r="A547" s="14">
        <v>45226</v>
      </c>
      <c r="B547" s="10">
        <v>1081.739135742188</v>
      </c>
      <c r="C547" s="10">
        <v>240.06689453125</v>
      </c>
      <c r="D547" s="10">
        <v>900.5109252929688</v>
      </c>
      <c r="E547" s="10">
        <v>19047.25</v>
      </c>
      <c r="F547" s="10">
        <v>583</v>
      </c>
      <c r="I547" s="15">
        <f>LN(B547/B546)</f>
        <v>0.027302611183388684</v>
      </c>
      <c r="J547" s="15">
        <f>LN(C547/C546)</f>
        <v>0.046480499900216056</v>
      </c>
      <c r="K547" s="15">
        <f>LN(D547/D546)</f>
        <v>0.03369157531946834</v>
      </c>
      <c r="L547" s="15">
        <f>LN(E547/E546)</f>
        <v>0.010025278863763394</v>
      </c>
      <c r="M547" s="15">
        <f>LN(F547/F546)</f>
        <v>0.019310509816390646</v>
      </c>
      <c r="O547" s="14">
        <v>45231</v>
      </c>
      <c r="P547" s="15">
        <f>I550</f>
        <v>0.02332285108765432</v>
      </c>
      <c r="Q547" s="15">
        <f>J550</f>
        <v>-0.01660479987171985</v>
      </c>
      <c r="R547" s="15">
        <f>K550</f>
        <v>0.042835090059846585</v>
      </c>
      <c r="S547" s="15">
        <f>L550</f>
        <v>-0.004751896973195711</v>
      </c>
      <c r="T547" s="15">
        <f>M550</f>
        <v>0.015386777870652395</v>
      </c>
    </row>
    <row r="548" spans="1:20">
      <c r="A548" s="14">
        <v>45229</v>
      </c>
      <c r="B548" s="10">
        <v>1099.948608398438</v>
      </c>
      <c r="C548" s="10">
        <v>239.2703247070312</v>
      </c>
      <c r="D548" s="10">
        <v>912.7237548828124</v>
      </c>
      <c r="E548" s="10">
        <v>19140.900390625</v>
      </c>
      <c r="F548" s="10">
        <v>595.4500122070312</v>
      </c>
      <c r="I548" s="15">
        <f>LN(B548/B547)</f>
        <v>0.016693402226952474</v>
      </c>
      <c r="J548" s="15">
        <f>LN(C548/C547)</f>
        <v>-0.003323633239925257</v>
      </c>
      <c r="K548" s="15">
        <f>LN(D548/D547)</f>
        <v>0.0134709692113049</v>
      </c>
      <c r="L548" s="15">
        <f>LN(E548/E547)</f>
        <v>0.004904693073893485</v>
      </c>
      <c r="M548" s="15">
        <f>LN(F548/F547)</f>
        <v>0.0211302563640265</v>
      </c>
      <c r="O548" s="14">
        <v>45232</v>
      </c>
      <c r="P548" s="15">
        <f>I551</f>
        <v>0.038569867167283466</v>
      </c>
      <c r="Q548" s="15">
        <f>J551</f>
        <v>-0.018376267998432512</v>
      </c>
      <c r="R548" s="15">
        <f>K551</f>
        <v>0.04277058928524603</v>
      </c>
      <c r="S548" s="15">
        <f>L551</f>
        <v>0.007559875254064636</v>
      </c>
      <c r="T548" s="15">
        <f>M551</f>
        <v>0.02491765036587511</v>
      </c>
    </row>
    <row r="549" spans="1:20">
      <c r="A549" s="14">
        <v>45230</v>
      </c>
      <c r="B549" s="10">
        <v>1119.979248046875</v>
      </c>
      <c r="C549" s="10">
        <v>241.8591766357422</v>
      </c>
      <c r="D549" s="10">
        <v>904.9224853515624</v>
      </c>
      <c r="E549" s="10">
        <v>19079.599609375</v>
      </c>
      <c r="F549" s="10">
        <v>603</v>
      </c>
      <c r="I549" s="15">
        <f>LN(B549/B548)</f>
        <v>0.018046697530627404</v>
      </c>
      <c r="J549" s="15">
        <f>LN(C549/C548)</f>
        <v>0.010761663571866044</v>
      </c>
      <c r="K549" s="15">
        <f>LN(D549/D548)</f>
        <v>-0.008583977741475849</v>
      </c>
      <c r="L549" s="15">
        <f>LN(E549/E548)</f>
        <v>-0.003207746304394414</v>
      </c>
      <c r="M549" s="15">
        <f>LN(F549/F548)</f>
        <v>0.012599754012666574</v>
      </c>
      <c r="O549" s="14">
        <v>45233</v>
      </c>
      <c r="P549" s="15">
        <f>I552</f>
        <v>0.01724011816432825</v>
      </c>
      <c r="Q549" s="15">
        <f>J552</f>
        <v>0.030855660823173932</v>
      </c>
      <c r="R549" s="15">
        <f>K552</f>
        <v>0.013560535631085079</v>
      </c>
      <c r="S549" s="15">
        <f>L552</f>
        <v>0.005075080802081226</v>
      </c>
      <c r="T549" s="15">
        <f>M552</f>
        <v>0.02508882701423309</v>
      </c>
    </row>
    <row r="550" spans="1:20">
      <c r="A550" s="14">
        <v>45231</v>
      </c>
      <c r="B550" s="10">
        <v>1146.407348632812</v>
      </c>
      <c r="C550" s="10">
        <v>237.8763122558593</v>
      </c>
      <c r="D550" s="10">
        <v>944.527099609375</v>
      </c>
      <c r="E550" s="10">
        <v>18989.150390625</v>
      </c>
      <c r="F550" s="10">
        <v>612.3499755859375</v>
      </c>
      <c r="I550" s="15">
        <f>LN(B550/B549)</f>
        <v>0.02332285108765432</v>
      </c>
      <c r="J550" s="15">
        <f>LN(C550/C549)</f>
        <v>-0.01660479987171985</v>
      </c>
      <c r="K550" s="15">
        <f>LN(D550/D549)</f>
        <v>0.042835090059846585</v>
      </c>
      <c r="L550" s="15">
        <f>LN(E550/E549)</f>
        <v>-0.004751896973195711</v>
      </c>
      <c r="M550" s="15">
        <f>LN(F550/F549)</f>
        <v>0.015386777870652395</v>
      </c>
      <c r="O550" s="14">
        <v>45236</v>
      </c>
      <c r="P550" s="15">
        <f>I553</f>
        <v>0.011022665400832488</v>
      </c>
      <c r="Q550" s="15">
        <f>J553</f>
        <v>0.006797839697300272</v>
      </c>
      <c r="R550" s="15">
        <f>K553</f>
        <v>0.02144364141583658</v>
      </c>
      <c r="S550" s="15">
        <f>L553</f>
        <v>0.009375812778954773</v>
      </c>
      <c r="T550" s="15">
        <f>M553</f>
        <v>0.011966944586954006</v>
      </c>
    </row>
    <row r="551" spans="1:20">
      <c r="A551" s="14">
        <v>45232</v>
      </c>
      <c r="B551" s="10">
        <v>1191.487915039062</v>
      </c>
      <c r="C551" s="10">
        <v>233.5449523925781</v>
      </c>
      <c r="D551" s="10">
        <v>985.8014526367188</v>
      </c>
      <c r="E551" s="10">
        <v>19133.25</v>
      </c>
      <c r="F551" s="10">
        <v>627.7999877929688</v>
      </c>
      <c r="I551" s="15">
        <f>LN(B551/B550)</f>
        <v>0.038569867167283466</v>
      </c>
      <c r="J551" s="15">
        <f>LN(C551/C550)</f>
        <v>-0.018376267998432512</v>
      </c>
      <c r="K551" s="15">
        <f>LN(D551/D550)</f>
        <v>0.04277058928524603</v>
      </c>
      <c r="L551" s="15">
        <f>LN(E551/E550)</f>
        <v>0.007559875254064636</v>
      </c>
      <c r="M551" s="15">
        <f>LN(F551/F550)</f>
        <v>0.02491765036587511</v>
      </c>
      <c r="O551" s="14">
        <v>45237</v>
      </c>
      <c r="P551" s="15">
        <f>I554</f>
        <v>-0.028221188920741817</v>
      </c>
      <c r="Q551" s="15">
        <f>J554</f>
        <v>0.012039684743868984</v>
      </c>
      <c r="R551" s="15">
        <f>K554</f>
        <v>0.0047736186700952634</v>
      </c>
      <c r="S551" s="15">
        <f>L554</f>
        <v>-0.0002602258142791332</v>
      </c>
      <c r="T551" s="15">
        <f>M554</f>
        <v>-0.013443781691945739</v>
      </c>
    </row>
    <row r="552" spans="1:20">
      <c r="A552" s="14">
        <v>45233</v>
      </c>
      <c r="B552" s="10">
        <v>1212.207397460938</v>
      </c>
      <c r="C552" s="10">
        <v>240.8634643554688</v>
      </c>
      <c r="D552" s="10">
        <v>999.260498046875</v>
      </c>
      <c r="E552" s="10">
        <v>19230.599609375</v>
      </c>
      <c r="F552" s="10">
        <v>643.75</v>
      </c>
      <c r="I552" s="15">
        <f>LN(B552/B551)</f>
        <v>0.01724011816432825</v>
      </c>
      <c r="J552" s="15">
        <f>LN(C552/C551)</f>
        <v>0.030855660823173932</v>
      </c>
      <c r="K552" s="15">
        <f>LN(D552/D551)</f>
        <v>0.013560535631085079</v>
      </c>
      <c r="L552" s="15">
        <f>LN(E552/E551)</f>
        <v>0.005075080802081226</v>
      </c>
      <c r="M552" s="15">
        <f>LN(F552/F551)</f>
        <v>0.02508882701423309</v>
      </c>
      <c r="O552" s="14">
        <v>45238</v>
      </c>
      <c r="P552" s="15">
        <f>I555</f>
        <v>0.01082159374474287</v>
      </c>
      <c r="Q552" s="15">
        <f>J555</f>
        <v>0.005260054288048442</v>
      </c>
      <c r="R552" s="15">
        <f>K555</f>
        <v>0.01684112384341904</v>
      </c>
      <c r="S552" s="15">
        <f>L555</f>
        <v>0.0018944969651071763</v>
      </c>
      <c r="T552" s="15">
        <f>M555</f>
        <v>0.015054131033922082</v>
      </c>
    </row>
    <row r="553" spans="1:20">
      <c r="A553" s="14">
        <v>45236</v>
      </c>
      <c r="B553" s="10">
        <v>1225.64306640625</v>
      </c>
      <c r="C553" s="10">
        <v>242.5063934326172</v>
      </c>
      <c r="D553" s="10">
        <v>1020.919677734375</v>
      </c>
      <c r="E553" s="10">
        <v>19411.75</v>
      </c>
      <c r="F553" s="10">
        <v>651.5</v>
      </c>
      <c r="I553" s="15">
        <f>LN(B553/B552)</f>
        <v>0.011022665400832488</v>
      </c>
      <c r="J553" s="15">
        <f>LN(C553/C552)</f>
        <v>0.006797839697300272</v>
      </c>
      <c r="K553" s="15">
        <f>LN(D553/D552)</f>
        <v>0.02144364141583658</v>
      </c>
      <c r="L553" s="15">
        <f>LN(E553/E552)</f>
        <v>0.009375812778954773</v>
      </c>
      <c r="M553" s="15">
        <f>LN(F553/F552)</f>
        <v>0.011966944586954006</v>
      </c>
      <c r="O553" s="14">
        <v>45239</v>
      </c>
      <c r="P553" s="15">
        <f>I556</f>
        <v>0.027927748761590012</v>
      </c>
      <c r="Q553" s="15">
        <f>J556</f>
        <v>0.0</v>
      </c>
      <c r="R553" s="15">
        <f>K556</f>
        <v>-0.013784417865036308</v>
      </c>
      <c r="S553" s="15">
        <f>L556</f>
        <v>-0.0024820150223140987</v>
      </c>
      <c r="T553" s="15">
        <f>M556</f>
        <v>0.012260730092406458</v>
      </c>
    </row>
    <row r="554" spans="1:20">
      <c r="A554" s="14">
        <v>45237</v>
      </c>
      <c r="B554" s="10">
        <v>1191.537475585938</v>
      </c>
      <c r="C554" s="10">
        <v>245.4437408447266</v>
      </c>
      <c r="D554" s="10">
        <v>1025.804809570312</v>
      </c>
      <c r="E554" s="10">
        <v>19406.69921875</v>
      </c>
      <c r="F554" s="10">
        <v>642.7999877929688</v>
      </c>
      <c r="I554" s="15">
        <f>LN(B554/B553)</f>
        <v>-0.028221188920741817</v>
      </c>
      <c r="J554" s="15">
        <f>LN(C554/C553)</f>
        <v>0.012039684743868984</v>
      </c>
      <c r="K554" s="15">
        <f>LN(D554/D553)</f>
        <v>0.0047736186700952634</v>
      </c>
      <c r="L554" s="15">
        <f>LN(E554/E553)</f>
        <v>-0.0002602258142791332</v>
      </c>
      <c r="M554" s="15">
        <f>LN(F554/F553)</f>
        <v>-0.013443781691945739</v>
      </c>
      <c r="O554" s="14">
        <v>45240</v>
      </c>
      <c r="P554" s="15">
        <f>I557</f>
        <v>0.000278671538718387</v>
      </c>
      <c r="Q554" s="15">
        <f>J557</f>
        <v>-0.0010094000532962367</v>
      </c>
      <c r="R554" s="15">
        <f>K557</f>
        <v>-0.016559542816740814</v>
      </c>
      <c r="S554" s="15">
        <f>L557</f>
        <v>0.0015480850435944918</v>
      </c>
      <c r="T554" s="15">
        <f>M557</f>
        <v>0.00226808905783875</v>
      </c>
    </row>
    <row r="555" spans="1:20">
      <c r="A555" s="14">
        <v>45238</v>
      </c>
      <c r="B555" s="10">
        <v>1204.501831054688</v>
      </c>
      <c r="C555" s="10">
        <v>246.7381896972656</v>
      </c>
      <c r="D555" s="10">
        <v>1043.226806640625</v>
      </c>
      <c r="E555" s="10">
        <v>19443.5</v>
      </c>
      <c r="F555" s="10">
        <v>652.5499877929688</v>
      </c>
      <c r="I555" s="15">
        <f>LN(B555/B554)</f>
        <v>0.01082159374474287</v>
      </c>
      <c r="J555" s="15">
        <f>LN(C555/C554)</f>
        <v>0.005260054288048442</v>
      </c>
      <c r="K555" s="15">
        <f>LN(D555/D554)</f>
        <v>0.01684112384341904</v>
      </c>
      <c r="L555" s="15">
        <f>LN(E555/E554)</f>
        <v>0.0018944969651071763</v>
      </c>
      <c r="M555" s="15">
        <f>LN(F555/F554)</f>
        <v>0.015054131033922082</v>
      </c>
      <c r="O555" s="14">
        <v>45243</v>
      </c>
      <c r="P555" s="15">
        <f>I558</f>
        <v>-0.018715337182576158</v>
      </c>
      <c r="Q555" s="15">
        <f>J558</f>
        <v>0.005840375455427502</v>
      </c>
      <c r="R555" s="15">
        <f>K558</f>
        <v>0.038647565822274056</v>
      </c>
      <c r="S555" s="15">
        <f>L558</f>
        <v>0.0009365417093074231</v>
      </c>
      <c r="T555" s="15">
        <f>M558</f>
        <v>0.0020369463246475653</v>
      </c>
    </row>
    <row r="556" spans="1:20">
      <c r="A556" s="14">
        <v>45239</v>
      </c>
      <c r="B556" s="10">
        <v>1238.614990234375</v>
      </c>
      <c r="C556" s="10">
        <v>246.7381896972656</v>
      </c>
      <c r="D556" s="10">
        <v>1028.945190429688</v>
      </c>
      <c r="E556" s="10">
        <v>19395.30078125</v>
      </c>
      <c r="F556" s="10">
        <v>660.5999755859375</v>
      </c>
      <c r="I556" s="15">
        <f>LN(B556/B555)</f>
        <v>0.027927748761590012</v>
      </c>
      <c r="J556" s="15">
        <f>LN(C556/C555)</f>
        <v>0.0</v>
      </c>
      <c r="K556" s="15">
        <f>LN(D556/D555)</f>
        <v>-0.013784417865036308</v>
      </c>
      <c r="L556" s="15">
        <f>LN(E556/E555)</f>
        <v>-0.0024820150223140987</v>
      </c>
      <c r="M556" s="15">
        <f>LN(F556/F555)</f>
        <v>0.012260730092406458</v>
      </c>
      <c r="O556" s="14">
        <v>45245</v>
      </c>
      <c r="P556" s="15">
        <f>I559</f>
        <v>0.0547049027271873</v>
      </c>
      <c r="Q556" s="15">
        <f>J559</f>
        <v>0.0064050667710390695</v>
      </c>
      <c r="R556" s="15">
        <f>K559</f>
        <v>0.05432038031774661</v>
      </c>
      <c r="S556" s="15">
        <f>L559</f>
        <v>0.011856190289938534</v>
      </c>
      <c r="T556" s="15">
        <f>M559</f>
        <v>0.029114534080368928</v>
      </c>
    </row>
    <row r="557" spans="1:20">
      <c r="A557" s="14">
        <v>45240</v>
      </c>
      <c r="B557" s="10">
        <v>1238.960205078125</v>
      </c>
      <c r="C557" s="10">
        <v>246.4892578125</v>
      </c>
      <c r="D557" s="10">
        <v>1012.046630859375</v>
      </c>
      <c r="E557" s="10">
        <v>19425.349609375</v>
      </c>
      <c r="F557" s="10">
        <v>662.0999755859375</v>
      </c>
      <c r="I557" s="15">
        <f>LN(B557/B556)</f>
        <v>0.000278671538718387</v>
      </c>
      <c r="J557" s="15">
        <f>LN(C557/C556)</f>
        <v>-0.0010094000532962367</v>
      </c>
      <c r="K557" s="15">
        <f>LN(D557/D556)</f>
        <v>-0.016559542816740814</v>
      </c>
      <c r="L557" s="15">
        <f>LN(E557/E556)</f>
        <v>0.0015480850435944918</v>
      </c>
      <c r="M557" s="15">
        <f>LN(F557/F556)</f>
        <v>0.00226808905783875</v>
      </c>
      <c r="O557" s="14">
        <v>45246</v>
      </c>
      <c r="P557" s="15">
        <f>I560</f>
        <v>0.023180664926466685</v>
      </c>
      <c r="Q557" s="15">
        <f>J560</f>
        <v>0.008147082111606868</v>
      </c>
      <c r="R557" s="15">
        <f>K560</f>
        <v>-0.005242649133244704</v>
      </c>
      <c r="S557" s="15">
        <f>L560</f>
        <v>0.004551150068331243</v>
      </c>
      <c r="T557" s="15">
        <f>M560</f>
        <v>0.009181043739437426</v>
      </c>
    </row>
    <row r="558" spans="1:20">
      <c r="A558" s="14">
        <v>45243</v>
      </c>
      <c r="B558" s="10">
        <v>1215.98828125</v>
      </c>
      <c r="C558" s="10">
        <v>247.9330596923828</v>
      </c>
      <c r="D558" s="10">
        <v>1051.925415039062</v>
      </c>
      <c r="E558" s="10">
        <v>19443.55078125</v>
      </c>
      <c r="F558" s="10">
        <v>663.4500122070312</v>
      </c>
      <c r="I558" s="15">
        <f>LN(B558/B557)</f>
        <v>-0.018715337182576158</v>
      </c>
      <c r="J558" s="15">
        <f>LN(C558/C557)</f>
        <v>0.005840375455427502</v>
      </c>
      <c r="K558" s="15">
        <f>LN(D558/D557)</f>
        <v>0.038647565822274056</v>
      </c>
      <c r="L558" s="15">
        <f>LN(E558/E557)</f>
        <v>0.0009365417093074231</v>
      </c>
      <c r="M558" s="15">
        <f>LN(F558/F557)</f>
        <v>0.0020369463246475653</v>
      </c>
      <c r="O558" s="14">
        <v>45247</v>
      </c>
      <c r="P558" s="15">
        <f>I561</f>
        <v>0.005721402422613029</v>
      </c>
      <c r="Q558" s="15">
        <f>J561</f>
        <v>0.023084052649852325</v>
      </c>
      <c r="R558" s="15">
        <f>K561</f>
        <v>0.030788064167777088</v>
      </c>
      <c r="S558" s="15">
        <f>L561</f>
        <v>-0.0016911889743673853</v>
      </c>
      <c r="T558" s="15">
        <f>M561</f>
        <v>0.0048479334493764644</v>
      </c>
    </row>
    <row r="559" spans="1:20">
      <c r="A559" s="14">
        <v>45245</v>
      </c>
      <c r="B559" s="10">
        <v>1284.361938476562</v>
      </c>
      <c r="C559" s="10">
        <v>249.5261840820312</v>
      </c>
      <c r="D559" s="10">
        <v>1110.646850585938</v>
      </c>
      <c r="E559" s="10">
        <v>19675.44921875</v>
      </c>
      <c r="F559" s="10">
        <v>683.0499877929688</v>
      </c>
      <c r="I559" s="15">
        <f>LN(B559/B558)</f>
        <v>0.0547049027271873</v>
      </c>
      <c r="J559" s="15">
        <f>LN(C559/C558)</f>
        <v>0.0064050667710390695</v>
      </c>
      <c r="K559" s="15">
        <f>LN(D559/D558)</f>
        <v>0.05432038031774661</v>
      </c>
      <c r="L559" s="15">
        <f>LN(E559/E558)</f>
        <v>0.011856190289938534</v>
      </c>
      <c r="M559" s="15">
        <f>LN(F559/F558)</f>
        <v>0.029114534080368928</v>
      </c>
      <c r="O559" s="14">
        <v>45250</v>
      </c>
      <c r="P559" s="15">
        <f>I562</f>
        <v>0.006059706273484047</v>
      </c>
      <c r="Q559" s="15">
        <f>J562</f>
        <v>-0.017754886707477976</v>
      </c>
      <c r="R559" s="15">
        <f>K562</f>
        <v>0.003973416805336189</v>
      </c>
      <c r="S559" s="15">
        <f>L562</f>
        <v>-0.0019175662679732529</v>
      </c>
      <c r="T559" s="15">
        <f>M562</f>
        <v>-0.002457198883281796</v>
      </c>
    </row>
    <row r="560" spans="1:20">
      <c r="A560" s="14">
        <v>45246</v>
      </c>
      <c r="B560" s="10">
        <v>1314.482055664062</v>
      </c>
      <c r="C560" s="10">
        <v>251.567398071289</v>
      </c>
      <c r="D560" s="10">
        <v>1104.83935546875</v>
      </c>
      <c r="E560" s="10">
        <v>19765.19921875</v>
      </c>
      <c r="F560" s="10">
        <v>689.3499755859375</v>
      </c>
      <c r="I560" s="15">
        <f>LN(B560/B559)</f>
        <v>0.023180664926466685</v>
      </c>
      <c r="J560" s="15">
        <f>LN(C560/C559)</f>
        <v>0.008147082111606868</v>
      </c>
      <c r="K560" s="15">
        <f>LN(D560/D559)</f>
        <v>-0.005242649133244704</v>
      </c>
      <c r="L560" s="15">
        <f>LN(E560/E559)</f>
        <v>0.004551150068331243</v>
      </c>
      <c r="M560" s="15">
        <f>LN(F560/F559)</f>
        <v>0.009181043739437426</v>
      </c>
      <c r="O560" s="14">
        <v>45251</v>
      </c>
      <c r="P560" s="15">
        <f>I563</f>
        <v>0.04177470720544096</v>
      </c>
      <c r="Q560" s="15">
        <f>J563</f>
        <v>-0.0025622826108016626</v>
      </c>
      <c r="R560" s="15">
        <f>K563</f>
        <v>-0.01973775263240459</v>
      </c>
      <c r="S560" s="15">
        <f>L563</f>
        <v>0.004529201141300913</v>
      </c>
      <c r="T560" s="15">
        <f>M563</f>
        <v>0.011224737023669369</v>
      </c>
    </row>
    <row r="561" spans="1:20">
      <c r="A561" s="14">
        <v>45247</v>
      </c>
      <c r="B561" s="10">
        <v>1322.024291992188</v>
      </c>
      <c r="C561" s="10">
        <v>257.442138671875</v>
      </c>
      <c r="D561" s="10">
        <v>1139.38427734375</v>
      </c>
      <c r="E561" s="10">
        <v>19731.80078125</v>
      </c>
      <c r="F561" s="10">
        <v>692.7000122070312</v>
      </c>
      <c r="I561" s="15">
        <f>LN(B561/B560)</f>
        <v>0.005721402422613029</v>
      </c>
      <c r="J561" s="15">
        <f>LN(C561/C560)</f>
        <v>0.023084052649852325</v>
      </c>
      <c r="K561" s="15">
        <f>LN(D561/D560)</f>
        <v>0.030788064167777088</v>
      </c>
      <c r="L561" s="15">
        <f>LN(E561/E560)</f>
        <v>-0.0016911889743673853</v>
      </c>
      <c r="M561" s="15">
        <f>LN(F561/F560)</f>
        <v>0.0048479334493764644</v>
      </c>
      <c r="O561" s="14">
        <v>45252</v>
      </c>
      <c r="P561" s="15">
        <f>I564</f>
        <v>-0.021086811692874793</v>
      </c>
      <c r="Q561" s="15">
        <f>J564</f>
        <v>0.006295437725147613</v>
      </c>
      <c r="R561" s="15">
        <f>K564</f>
        <v>-0.012365303394581856</v>
      </c>
      <c r="S561" s="15">
        <f>L564</f>
        <v>0.0014370018446946907</v>
      </c>
      <c r="T561" s="15">
        <f>M564</f>
        <v>-0.006964631398840986</v>
      </c>
    </row>
    <row r="562" spans="1:20">
      <c r="A562" s="14">
        <v>45250</v>
      </c>
      <c r="B562" s="10">
        <v>1330.059692382812</v>
      </c>
      <c r="C562" s="10">
        <v>252.91162109375</v>
      </c>
      <c r="D562" s="10">
        <v>1143.920532226562</v>
      </c>
      <c r="E562" s="10">
        <v>19694</v>
      </c>
      <c r="F562" s="10">
        <v>691</v>
      </c>
      <c r="I562" s="15">
        <f>LN(B562/B561)</f>
        <v>0.006059706273484047</v>
      </c>
      <c r="J562" s="15">
        <f>LN(C562/C561)</f>
        <v>-0.017754886707477976</v>
      </c>
      <c r="K562" s="15">
        <f>LN(D562/D561)</f>
        <v>0.003973416805336189</v>
      </c>
      <c r="L562" s="15">
        <f>LN(E562/E561)</f>
        <v>-0.0019175662679732529</v>
      </c>
      <c r="M562" s="15">
        <f>LN(F562/F561)</f>
        <v>-0.002457198883281796</v>
      </c>
      <c r="O562" s="14">
        <v>45253</v>
      </c>
      <c r="P562" s="15">
        <f>I565</f>
        <v>0.01991312806797452</v>
      </c>
      <c r="Q562" s="15">
        <f>J565</f>
        <v>-0.008666565664527148</v>
      </c>
      <c r="R562" s="15">
        <f>K565</f>
        <v>0.02139142144615938</v>
      </c>
      <c r="S562" s="15">
        <f>L565</f>
        <v>-0.0004972811112830416</v>
      </c>
      <c r="T562" s="15">
        <f>M565</f>
        <v>0.010250565997912037</v>
      </c>
    </row>
    <row r="563" spans="1:20">
      <c r="A563" s="14">
        <v>45251</v>
      </c>
      <c r="B563" s="10">
        <v>1386.799438476562</v>
      </c>
      <c r="C563" s="10">
        <v>252.2644195556641</v>
      </c>
      <c r="D563" s="10">
        <v>1121.5634765625</v>
      </c>
      <c r="E563" s="10">
        <v>19783.400390625</v>
      </c>
      <c r="F563" s="10">
        <v>698.7999877929688</v>
      </c>
      <c r="I563" s="15">
        <f>LN(B563/B562)</f>
        <v>0.04177470720544096</v>
      </c>
      <c r="J563" s="15">
        <f>LN(C563/C562)</f>
        <v>-0.0025622826108016626</v>
      </c>
      <c r="K563" s="15">
        <f>LN(D563/D562)</f>
        <v>-0.01973775263240459</v>
      </c>
      <c r="L563" s="15">
        <f>LN(E563/E562)</f>
        <v>0.004529201141300913</v>
      </c>
      <c r="M563" s="15">
        <f>LN(F563/F562)</f>
        <v>0.011224737023669369</v>
      </c>
      <c r="O563" s="14">
        <v>45254</v>
      </c>
      <c r="P563" s="15">
        <f>I566</f>
        <v>-0.010734096764828581</v>
      </c>
      <c r="Q563" s="15">
        <f>J566</f>
        <v>-0.007545716505451673</v>
      </c>
      <c r="R563" s="15">
        <f>K566</f>
        <v>0.040315305718934276</v>
      </c>
      <c r="S563" s="15">
        <f>L566</f>
        <v>-0.0003687570669664962</v>
      </c>
      <c r="T563" s="15">
        <f>M566</f>
        <v>0.002635287500939029</v>
      </c>
    </row>
    <row r="564" spans="1:20">
      <c r="A564" s="14">
        <v>45252</v>
      </c>
      <c r="B564" s="10">
        <v>1357.862426757812</v>
      </c>
      <c r="C564" s="10">
        <v>253.8575439453125</v>
      </c>
      <c r="D564" s="10">
        <v>1107.780395507812</v>
      </c>
      <c r="E564" s="10">
        <v>19811.849609375</v>
      </c>
      <c r="F564" s="10">
        <v>693.9500122070312</v>
      </c>
      <c r="I564" s="15">
        <f>LN(B564/B563)</f>
        <v>-0.021086811692874793</v>
      </c>
      <c r="J564" s="15">
        <f>LN(C564/C563)</f>
        <v>0.006295437725147613</v>
      </c>
      <c r="K564" s="15">
        <f>LN(D564/D563)</f>
        <v>-0.012365303394581856</v>
      </c>
      <c r="L564" s="15">
        <f>LN(E564/E563)</f>
        <v>0.0014370018446946907</v>
      </c>
      <c r="M564" s="15">
        <f>LN(F564/F563)</f>
        <v>-0.006964631398840986</v>
      </c>
      <c r="O564" s="14">
        <v>45258</v>
      </c>
      <c r="P564" s="15">
        <f>I567</f>
        <v>0.014605916556727728</v>
      </c>
      <c r="Q564" s="15">
        <f>J567</f>
        <v>0.011100122151738284</v>
      </c>
      <c r="R564" s="15">
        <f>K567</f>
        <v>0.011002122374091488</v>
      </c>
      <c r="S564" s="15">
        <f>L567</f>
        <v>0.004787784883390938</v>
      </c>
      <c r="T564" s="15">
        <f>M567</f>
        <v>0.005674176413677614</v>
      </c>
    </row>
    <row r="565" spans="1:20">
      <c r="A565" s="14">
        <v>45253</v>
      </c>
      <c r="B565" s="10">
        <v>1385.172729492188</v>
      </c>
      <c r="C565" s="10">
        <v>251.666976928711</v>
      </c>
      <c r="D565" s="10">
        <v>1131.732666015625</v>
      </c>
      <c r="E565" s="10">
        <v>19802</v>
      </c>
      <c r="F565" s="10">
        <v>701.0999755859375</v>
      </c>
      <c r="I565" s="15">
        <f>LN(B565/B564)</f>
        <v>0.01991312806797452</v>
      </c>
      <c r="J565" s="15">
        <f>LN(C565/C564)</f>
        <v>-0.008666565664527148</v>
      </c>
      <c r="K565" s="15">
        <f>LN(D565/D564)</f>
        <v>0.02139142144615938</v>
      </c>
      <c r="L565" s="15">
        <f>LN(E565/E564)</f>
        <v>-0.0004972811112830416</v>
      </c>
      <c r="M565" s="15">
        <f>LN(F565/F564)</f>
        <v>0.010250565997912037</v>
      </c>
      <c r="O565" s="14">
        <v>45259</v>
      </c>
      <c r="P565" s="15">
        <f>I568</f>
        <v>-0.006723157469353401</v>
      </c>
      <c r="Q565" s="15">
        <f>J568</f>
        <v>0.023379321559670648</v>
      </c>
      <c r="R565" s="15">
        <f>K568</f>
        <v>-0.029705854683580064</v>
      </c>
      <c r="S565" s="15">
        <f>L568</f>
        <v>0.010348656573869122</v>
      </c>
      <c r="T565" s="15">
        <f>M568</f>
        <v>-0.004963141128714872</v>
      </c>
    </row>
    <row r="566" spans="1:20">
      <c r="A566" s="14">
        <v>45254</v>
      </c>
      <c r="B566" s="10">
        <v>1370.383666992188</v>
      </c>
      <c r="C566" s="10">
        <v>249.7751159667969</v>
      </c>
      <c r="D566" s="10">
        <v>1178.291015625</v>
      </c>
      <c r="E566" s="10">
        <v>19794.69921875</v>
      </c>
      <c r="F566" s="10">
        <v>702.9500122070312</v>
      </c>
      <c r="I566" s="15">
        <f>LN(B566/B565)</f>
        <v>-0.010734096764828581</v>
      </c>
      <c r="J566" s="15">
        <f>LN(C566/C565)</f>
        <v>-0.007545716505451673</v>
      </c>
      <c r="K566" s="15">
        <f>LN(D566/D565)</f>
        <v>0.040315305718934276</v>
      </c>
      <c r="L566" s="15">
        <f>LN(E566/E565)</f>
        <v>-0.0003687570669664962</v>
      </c>
      <c r="M566" s="15">
        <f>LN(F566/F565)</f>
        <v>0.002635287500939029</v>
      </c>
      <c r="O566" s="14">
        <v>45260</v>
      </c>
      <c r="P566" s="15">
        <f>I569</f>
        <v>-7.132363455715943e-05</v>
      </c>
      <c r="Q566" s="15">
        <f>J569</f>
        <v>0.032957409369463855</v>
      </c>
      <c r="R566" s="15">
        <f>K569</f>
        <v>0.021787273198440375</v>
      </c>
      <c r="S566" s="15">
        <f>L569</f>
        <v>0.0018171025823992028</v>
      </c>
      <c r="T566" s="15">
        <f>M569</f>
        <v>0.014325728876955266</v>
      </c>
    </row>
    <row r="567" spans="1:20">
      <c r="A567" s="14">
        <v>45258</v>
      </c>
      <c r="B567" s="10">
        <v>1390.546264648438</v>
      </c>
      <c r="C567" s="10">
        <v>252.5630950927734</v>
      </c>
      <c r="D567" s="10">
        <v>1191.326293945312</v>
      </c>
      <c r="E567" s="10">
        <v>19889.69921875</v>
      </c>
      <c r="F567" s="10">
        <v>706.9500122070312</v>
      </c>
      <c r="I567" s="15">
        <f>LN(B567/B566)</f>
        <v>0.014605916556727728</v>
      </c>
      <c r="J567" s="15">
        <f>LN(C567/C566)</f>
        <v>0.011100122151738284</v>
      </c>
      <c r="K567" s="15">
        <f>LN(D567/D566)</f>
        <v>0.011002122374091488</v>
      </c>
      <c r="L567" s="15">
        <f>LN(E567/E566)</f>
        <v>0.004787784883390938</v>
      </c>
      <c r="M567" s="15">
        <f>LN(F567/F566)</f>
        <v>0.005674176413677614</v>
      </c>
      <c r="O567" s="14">
        <v>45261</v>
      </c>
      <c r="P567" s="15">
        <f>I570</f>
        <v>0.01008568190188948</v>
      </c>
      <c r="Q567" s="15">
        <f>J570</f>
        <v>-0.014639716867982282</v>
      </c>
      <c r="R567" s="15">
        <f>K570</f>
        <v>-0.00537062595948212</v>
      </c>
      <c r="S567" s="15">
        <f>L570</f>
        <v>0.00667064331563437</v>
      </c>
      <c r="T567" s="15">
        <f>M570</f>
        <v>0.013155812124840424</v>
      </c>
    </row>
    <row r="568" spans="1:20">
      <c r="A568" s="14">
        <v>45259</v>
      </c>
      <c r="B568" s="10">
        <v>1381.228759765625</v>
      </c>
      <c r="C568" s="10">
        <v>258.5374145507812</v>
      </c>
      <c r="D568" s="10">
        <v>1156.457397460938</v>
      </c>
      <c r="E568" s="10">
        <v>20096.599609375</v>
      </c>
      <c r="F568" s="10">
        <v>703.4500122070312</v>
      </c>
      <c r="I568" s="15">
        <f>LN(B568/B567)</f>
        <v>-0.006723157469353401</v>
      </c>
      <c r="J568" s="15">
        <f>LN(C568/C567)</f>
        <v>0.023379321559670648</v>
      </c>
      <c r="K568" s="15">
        <f>LN(D568/D567)</f>
        <v>-0.029705854683580064</v>
      </c>
      <c r="L568" s="15">
        <f>LN(E568/E567)</f>
        <v>0.010348656573869122</v>
      </c>
      <c r="M568" s="15">
        <f>LN(F568/F567)</f>
        <v>-0.004963141128714872</v>
      </c>
      <c r="O568" s="14">
        <v>45264</v>
      </c>
      <c r="P568" s="15">
        <f>I571</f>
        <v>0.01664455093190711</v>
      </c>
      <c r="Q568" s="15">
        <f>J571</f>
        <v>0.013894202814104776</v>
      </c>
      <c r="R568" s="15">
        <f>K571</f>
        <v>0.0055815025013431</v>
      </c>
      <c r="S568" s="15">
        <f>L571</f>
        <v>0.020457480483773903</v>
      </c>
      <c r="T568" s="15">
        <f>M571</f>
        <v>0.02012665464494079</v>
      </c>
    </row>
    <row r="569" spans="1:20">
      <c r="A569" s="14">
        <v>45260</v>
      </c>
      <c r="B569" s="10">
        <v>1381.130249023438</v>
      </c>
      <c r="C569" s="10">
        <v>267.2001037597656</v>
      </c>
      <c r="D569" s="10">
        <v>1181.929931640625</v>
      </c>
      <c r="E569" s="10">
        <v>20133.150390625</v>
      </c>
      <c r="F569" s="10">
        <v>713.5999755859375</v>
      </c>
      <c r="I569" s="15">
        <f>LN(B569/B568)</f>
        <v>-7.132363455715943e-05</v>
      </c>
      <c r="J569" s="15">
        <f>LN(C569/C568)</f>
        <v>0.032957409369463855</v>
      </c>
      <c r="K569" s="15">
        <f>LN(D569/D568)</f>
        <v>0.021787273198440375</v>
      </c>
      <c r="L569" s="15">
        <f>LN(E569/E568)</f>
        <v>0.0018171025823992028</v>
      </c>
      <c r="M569" s="15">
        <f>LN(F569/F568)</f>
        <v>0.014325728876955266</v>
      </c>
      <c r="O569" s="14">
        <v>45265</v>
      </c>
      <c r="P569" s="15">
        <f>I572</f>
        <v>0.0003127541825390898</v>
      </c>
      <c r="Q569" s="15">
        <f>J572</f>
        <v>0.013152110454267283</v>
      </c>
      <c r="R569" s="15">
        <f>K572</f>
        <v>-0.03776875233560721</v>
      </c>
      <c r="S569" s="15">
        <f>L572</f>
        <v>0.008102650447744338</v>
      </c>
      <c r="T569" s="15">
        <f>M572</f>
        <v>-0.004619292868990555</v>
      </c>
    </row>
    <row r="570" spans="1:20">
      <c r="A570" s="14">
        <v>45261</v>
      </c>
      <c r="B570" s="10">
        <v>1395.13037109375</v>
      </c>
      <c r="C570" s="10">
        <v>263.3168640136719</v>
      </c>
      <c r="D570" s="10">
        <v>1175.599243164062</v>
      </c>
      <c r="E570" s="10">
        <v>20267.900390625</v>
      </c>
      <c r="F570" s="10">
        <v>723.0499877929688</v>
      </c>
      <c r="I570" s="15">
        <f>LN(B570/B569)</f>
        <v>0.01008568190188948</v>
      </c>
      <c r="J570" s="15">
        <f>LN(C570/C569)</f>
        <v>-0.014639716867982282</v>
      </c>
      <c r="K570" s="15">
        <f>LN(D570/D569)</f>
        <v>-0.00537062595948212</v>
      </c>
      <c r="L570" s="15">
        <f>LN(E570/E569)</f>
        <v>0.00667064331563437</v>
      </c>
      <c r="M570" s="15">
        <f>LN(F570/F569)</f>
        <v>0.013155812124840424</v>
      </c>
      <c r="O570" s="14">
        <v>45266</v>
      </c>
      <c r="P570" s="15">
        <f>I573</f>
        <v>0.014074425706855423</v>
      </c>
      <c r="Q570" s="15">
        <f>J573</f>
        <v>-0.005721182344206065</v>
      </c>
      <c r="R570" s="15">
        <f>K573</f>
        <v>-0.01591194872714705</v>
      </c>
      <c r="S570" s="15">
        <f>L573</f>
        <v>0.003952820545223537</v>
      </c>
      <c r="T570" s="15">
        <f>M573</f>
        <v>-0.0029320035962055067</v>
      </c>
    </row>
    <row r="571" spans="1:20">
      <c r="A571" s="14">
        <v>45264</v>
      </c>
      <c r="B571" s="10">
        <v>1418.546020507812</v>
      </c>
      <c r="C571" s="10">
        <v>267.0009765625</v>
      </c>
      <c r="D571" s="10">
        <v>1182.17919921875</v>
      </c>
      <c r="E571" s="10">
        <v>20686.80078125</v>
      </c>
      <c r="F571" s="10">
        <v>737.75</v>
      </c>
      <c r="I571" s="15">
        <f>LN(B571/B570)</f>
        <v>0.01664455093190711</v>
      </c>
      <c r="J571" s="15">
        <f>LN(C571/C570)</f>
        <v>0.013894202814104776</v>
      </c>
      <c r="K571" s="15">
        <f>LN(D571/D570)</f>
        <v>0.0055815025013431</v>
      </c>
      <c r="L571" s="15">
        <f>LN(E571/E570)</f>
        <v>0.020457480483773903</v>
      </c>
      <c r="M571" s="15">
        <f>LN(F571/F570)</f>
        <v>0.02012665464494079</v>
      </c>
      <c r="O571" s="14">
        <v>45267</v>
      </c>
      <c r="P571" s="15">
        <f>I574</f>
        <v>0.0022583448601637872</v>
      </c>
      <c r="Q571" s="15">
        <f>J574</f>
        <v>0.029182984874955246</v>
      </c>
      <c r="R571" s="15">
        <f>K574</f>
        <v>0.004815557924908464</v>
      </c>
      <c r="S571" s="15">
        <f>L574</f>
        <v>-0.0017471243957791426</v>
      </c>
      <c r="T571" s="15">
        <f>M574</f>
        <v>0.0035446193703914737</v>
      </c>
    </row>
    <row r="572" spans="1:20">
      <c r="A572" s="14">
        <v>45265</v>
      </c>
      <c r="B572" s="10">
        <v>1418.98974609375</v>
      </c>
      <c r="C572" s="10">
        <v>270.5357971191406</v>
      </c>
      <c r="D572" s="10">
        <v>1138.362426757812</v>
      </c>
      <c r="E572" s="10">
        <v>20855.099609375</v>
      </c>
      <c r="F572" s="10">
        <v>734.3499755859375</v>
      </c>
      <c r="I572" s="15">
        <f>LN(B572/B571)</f>
        <v>0.0003127541825390898</v>
      </c>
      <c r="J572" s="15">
        <f>LN(C572/C571)</f>
        <v>0.013152110454267283</v>
      </c>
      <c r="K572" s="15">
        <f>LN(D572/D571)</f>
        <v>-0.03776875233560721</v>
      </c>
      <c r="L572" s="15">
        <f>LN(E572/E571)</f>
        <v>0.008102650447744338</v>
      </c>
      <c r="M572" s="15">
        <f>LN(F572/F571)</f>
        <v>-0.004619292868990555</v>
      </c>
      <c r="O572" s="14">
        <v>45268</v>
      </c>
      <c r="P572" s="15">
        <f>I575</f>
        <v>-0.010720541794628776</v>
      </c>
      <c r="Q572" s="15">
        <f>J575</f>
        <v>0.004483967091585984</v>
      </c>
      <c r="R572" s="15">
        <f>K575</f>
        <v>-0.022116091856598803</v>
      </c>
      <c r="S572" s="15">
        <f>L575</f>
        <v>0.0032600507599202964</v>
      </c>
      <c r="T572" s="15">
        <f>M575</f>
        <v>0.005293564331466394</v>
      </c>
    </row>
    <row r="573" spans="1:20">
      <c r="A573" s="14">
        <v>45266</v>
      </c>
      <c r="B573" s="10">
        <v>1439.102416992188</v>
      </c>
      <c r="C573" s="10">
        <v>268.992431640625</v>
      </c>
      <c r="D573" s="10">
        <v>1120.392211914062</v>
      </c>
      <c r="E573" s="10">
        <v>20937.69921875</v>
      </c>
      <c r="F573" s="10">
        <v>732.2000122070312</v>
      </c>
      <c r="I573" s="15">
        <f>LN(B573/B572)</f>
        <v>0.014074425706855423</v>
      </c>
      <c r="J573" s="15">
        <f>LN(C573/C572)</f>
        <v>-0.005721182344206065</v>
      </c>
      <c r="K573" s="15">
        <f>LN(D573/D572)</f>
        <v>-0.01591194872714705</v>
      </c>
      <c r="L573" s="15">
        <f>LN(E573/E572)</f>
        <v>0.003952820545223537</v>
      </c>
      <c r="M573" s="15">
        <f>LN(F573/F572)</f>
        <v>-0.0029320035962055067</v>
      </c>
      <c r="O573" s="14">
        <v>45271</v>
      </c>
      <c r="P573" s="15">
        <f>I576</f>
        <v>0.002277258617715962</v>
      </c>
      <c r="Q573" s="15">
        <f>J576</f>
        <v>0.031183802594340608</v>
      </c>
      <c r="R573" s="15">
        <f>K576</f>
        <v>0.0018542066786083602</v>
      </c>
      <c r="S573" s="15">
        <f>L576</f>
        <v>0.001320063516009915</v>
      </c>
      <c r="T573" s="15">
        <f>M576</f>
        <v>0.008425217360014102</v>
      </c>
    </row>
    <row r="574" spans="1:20">
      <c r="A574" s="14">
        <v>45267</v>
      </c>
      <c r="B574" s="10">
        <v>1442.356079101562</v>
      </c>
      <c r="C574" s="10">
        <v>276.9580993652344</v>
      </c>
      <c r="D574" s="10">
        <v>1125.800537109375</v>
      </c>
      <c r="E574" s="10">
        <v>20901.150390625</v>
      </c>
      <c r="F574" s="10">
        <v>734.7999877929688</v>
      </c>
      <c r="I574" s="15">
        <f>LN(B574/B573)</f>
        <v>0.0022583448601637872</v>
      </c>
      <c r="J574" s="15">
        <f>LN(C574/C573)</f>
        <v>0.029182984874955246</v>
      </c>
      <c r="K574" s="15">
        <f>LN(D574/D573)</f>
        <v>0.004815557924908464</v>
      </c>
      <c r="L574" s="15">
        <f>LN(E574/E573)</f>
        <v>-0.0017471243957791426</v>
      </c>
      <c r="M574" s="15">
        <f>LN(F574/F573)</f>
        <v>0.0035446193703914737</v>
      </c>
      <c r="O574" s="14">
        <v>45272</v>
      </c>
      <c r="P574" s="15">
        <f>I577</f>
        <v>-0.017559065521767645</v>
      </c>
      <c r="Q574" s="15">
        <f>J577</f>
        <v>-0.01362232813676995</v>
      </c>
      <c r="R574" s="15">
        <f>K577</f>
        <v>0.01460049283337302</v>
      </c>
      <c r="S574" s="15">
        <f>L577</f>
        <v>-0.004328963470418101</v>
      </c>
      <c r="T574" s="15">
        <f>M577</f>
        <v>-0.017604896124892598</v>
      </c>
    </row>
    <row r="575" spans="1:20">
      <c r="A575" s="14">
        <v>45268</v>
      </c>
      <c r="B575" s="10">
        <v>1426.975830078125</v>
      </c>
      <c r="C575" s="10">
        <v>278.2027587890625</v>
      </c>
      <c r="D575" s="10">
        <v>1101.175537109375</v>
      </c>
      <c r="E575" s="10">
        <v>20969.400390625</v>
      </c>
      <c r="F575" s="10">
        <v>738.7000122070312</v>
      </c>
      <c r="I575" s="15">
        <f>LN(B575/B574)</f>
        <v>-0.010720541794628776</v>
      </c>
      <c r="J575" s="15">
        <f>LN(C575/C574)</f>
        <v>0.004483967091585984</v>
      </c>
      <c r="K575" s="15">
        <f>LN(D575/D574)</f>
        <v>-0.022116091856598803</v>
      </c>
      <c r="L575" s="15">
        <f>LN(E575/E574)</f>
        <v>0.0032600507599202964</v>
      </c>
      <c r="M575" s="15">
        <f>LN(F575/F574)</f>
        <v>0.005293564331466394</v>
      </c>
      <c r="O575" s="14">
        <v>45273</v>
      </c>
      <c r="P575" s="15">
        <f>I578</f>
        <v>0.008105086631196674</v>
      </c>
      <c r="Q575" s="15">
        <f>J578</f>
        <v>0.01292819389401746</v>
      </c>
      <c r="R575" s="15">
        <f>K578</f>
        <v>0.01601298533928894</v>
      </c>
      <c r="S575" s="15">
        <f>L578</f>
        <v>0.0009537608817135473</v>
      </c>
      <c r="T575" s="15">
        <f>M578</f>
        <v>0.015925521828340946</v>
      </c>
    </row>
    <row r="576" spans="1:20">
      <c r="A576" s="14">
        <v>45271</v>
      </c>
      <c r="B576" s="10">
        <v>1430.229125976562</v>
      </c>
      <c r="C576" s="10">
        <v>287.0148620605469</v>
      </c>
      <c r="D576" s="10">
        <v>1103.21923828125</v>
      </c>
      <c r="E576" s="10">
        <v>20997.099609375</v>
      </c>
      <c r="F576" s="10">
        <v>744.9500122070312</v>
      </c>
      <c r="I576" s="15">
        <f>LN(B576/B575)</f>
        <v>0.002277258617715962</v>
      </c>
      <c r="J576" s="15">
        <f>LN(C576/C575)</f>
        <v>0.031183802594340608</v>
      </c>
      <c r="K576" s="15">
        <f>LN(D576/D575)</f>
        <v>0.0018542066786083602</v>
      </c>
      <c r="L576" s="15">
        <f>LN(E576/E575)</f>
        <v>0.001320063516009915</v>
      </c>
      <c r="M576" s="15">
        <f>LN(F576/F575)</f>
        <v>0.008425217360014102</v>
      </c>
      <c r="O576" s="14">
        <v>45274</v>
      </c>
      <c r="P576" s="15">
        <f>I579</f>
        <v>0.035782067875091784</v>
      </c>
      <c r="Q576" s="15">
        <f>J579</f>
        <v>0.028575779209723144</v>
      </c>
      <c r="R576" s="15">
        <f>K579</f>
        <v>0.03420334226756343</v>
      </c>
      <c r="S576" s="15">
        <f>L579</f>
        <v>0.012175662163725103</v>
      </c>
      <c r="T576" s="15">
        <f>M579</f>
        <v>0.038058971672294536</v>
      </c>
    </row>
    <row r="577" spans="1:20">
      <c r="A577" s="14">
        <v>45272</v>
      </c>
      <c r="B577" s="10">
        <v>1405.334838867188</v>
      </c>
      <c r="C577" s="10">
        <v>283.1315612792969</v>
      </c>
      <c r="D577" s="10">
        <v>1119.444946289062</v>
      </c>
      <c r="E577" s="10">
        <v>20906.400390625</v>
      </c>
      <c r="F577" s="10">
        <v>731.9500122070312</v>
      </c>
      <c r="I577" s="15">
        <f>LN(B577/B576)</f>
        <v>-0.017559065521767645</v>
      </c>
      <c r="J577" s="15">
        <f>LN(C577/C576)</f>
        <v>-0.01362232813676995</v>
      </c>
      <c r="K577" s="15">
        <f>LN(D577/D576)</f>
        <v>0.01460049283337302</v>
      </c>
      <c r="L577" s="15">
        <f>LN(E577/E576)</f>
        <v>-0.004328963470418101</v>
      </c>
      <c r="M577" s="15">
        <f>LN(F577/F576)</f>
        <v>-0.017604896124892598</v>
      </c>
      <c r="O577" s="14">
        <v>45275</v>
      </c>
      <c r="P577" s="15">
        <f>I580</f>
        <v>-0.008530081020048057</v>
      </c>
      <c r="Q577" s="15">
        <f>J580</f>
        <v>0.005551310798715659</v>
      </c>
      <c r="R577" s="15">
        <f>K580</f>
        <v>-0.027694884731913172</v>
      </c>
      <c r="S577" s="15">
        <f>L580</f>
        <v>0.012849864921501506</v>
      </c>
      <c r="T577" s="15">
        <f>M580</f>
        <v>-0.007144743418942795</v>
      </c>
    </row>
    <row r="578" spans="1:20">
      <c r="A578" s="14">
        <v>45273</v>
      </c>
      <c r="B578" s="10">
        <v>1416.771484375</v>
      </c>
      <c r="C578" s="10">
        <v>286.8157043457031</v>
      </c>
      <c r="D578" s="10">
        <v>1137.514892578125</v>
      </c>
      <c r="E578" s="10">
        <v>20926.349609375</v>
      </c>
      <c r="F578" s="10">
        <v>743.7000122070312</v>
      </c>
      <c r="I578" s="15">
        <f>LN(B578/B577)</f>
        <v>0.008105086631196674</v>
      </c>
      <c r="J578" s="15">
        <f>LN(C578/C577)</f>
        <v>0.01292819389401746</v>
      </c>
      <c r="K578" s="15">
        <f>LN(D578/D577)</f>
        <v>0.01601298533928894</v>
      </c>
      <c r="L578" s="15">
        <f>LN(E578/E577)</f>
        <v>0.0009537608817135473</v>
      </c>
      <c r="M578" s="15">
        <f>LN(F578/F577)</f>
        <v>0.015925521828340946</v>
      </c>
      <c r="O578" s="14">
        <v>45278</v>
      </c>
      <c r="P578" s="15">
        <f>I581</f>
        <v>-0.021008310764070993</v>
      </c>
      <c r="Q578" s="15">
        <f>J581</f>
        <v>-0.009438673792307157</v>
      </c>
      <c r="R578" s="15">
        <f>K581</f>
        <v>-0.007012419768149004</v>
      </c>
      <c r="S578" s="15">
        <f>L581</f>
        <v>-0.0017725827811074615</v>
      </c>
      <c r="T578" s="15">
        <f>M581</f>
        <v>-0.009628337799123046</v>
      </c>
    </row>
    <row r="579" spans="1:20">
      <c r="A579" s="14">
        <v>45274</v>
      </c>
      <c r="B579" s="10">
        <v>1468.384399414062</v>
      </c>
      <c r="C579" s="10">
        <v>295.1299133300781</v>
      </c>
      <c r="D579" s="10">
        <v>1177.0947265625</v>
      </c>
      <c r="E579" s="10">
        <v>21182.69921875</v>
      </c>
      <c r="F579" s="10">
        <v>772.5499877929688</v>
      </c>
      <c r="I579" s="15">
        <f>LN(B579/B578)</f>
        <v>0.035782067875091784</v>
      </c>
      <c r="J579" s="15">
        <f>LN(C579/C578)</f>
        <v>0.028575779209723144</v>
      </c>
      <c r="K579" s="15">
        <f>LN(D579/D578)</f>
        <v>0.03420334226756343</v>
      </c>
      <c r="L579" s="15">
        <f>LN(E579/E578)</f>
        <v>0.012175662163725103</v>
      </c>
      <c r="M579" s="15">
        <f>LN(F579/F578)</f>
        <v>0.038058971672294536</v>
      </c>
      <c r="O579" s="14">
        <v>45279</v>
      </c>
      <c r="P579" s="15">
        <f>I582</f>
        <v>-0.013647336866109675</v>
      </c>
      <c r="Q579" s="15">
        <f>J582</f>
        <v>0.026570265213263593</v>
      </c>
      <c r="R579" s="15">
        <f>K582</f>
        <v>-0.012507695381805165</v>
      </c>
      <c r="S579" s="15">
        <f>L582</f>
        <v>0.001607082806947435</v>
      </c>
      <c r="T579" s="15">
        <f>M582</f>
        <v>-0.005345296252581354</v>
      </c>
    </row>
    <row r="580" spans="1:20">
      <c r="A580" s="14">
        <v>45275</v>
      </c>
      <c r="B580" s="10">
        <v>1455.912231445312</v>
      </c>
      <c r="C580" s="10">
        <v>296.7728271484375</v>
      </c>
      <c r="D580" s="10">
        <v>1144.942504882812</v>
      </c>
      <c r="E580" s="10">
        <v>21456.650390625</v>
      </c>
      <c r="F580" s="10">
        <v>767.0499877929688</v>
      </c>
      <c r="I580" s="15">
        <f>LN(B580/B579)</f>
        <v>-0.008530081020048057</v>
      </c>
      <c r="J580" s="15">
        <f>LN(C580/C579)</f>
        <v>0.005551310798715659</v>
      </c>
      <c r="K580" s="15">
        <f>LN(D580/D579)</f>
        <v>-0.027694884731913172</v>
      </c>
      <c r="L580" s="15">
        <f>LN(E580/E579)</f>
        <v>0.012849864921501506</v>
      </c>
      <c r="M580" s="15">
        <f>LN(F580/F579)</f>
        <v>-0.007144743418942795</v>
      </c>
      <c r="O580" s="14">
        <v>45280</v>
      </c>
      <c r="P580" s="15">
        <f>I583</f>
        <v>-0.03223739913903705</v>
      </c>
      <c r="Q580" s="15">
        <f>J583</f>
        <v>-0.042617076175329546</v>
      </c>
      <c r="R580" s="15">
        <f>K583</f>
        <v>-0.020044616343371284</v>
      </c>
      <c r="S580" s="15">
        <f>L583</f>
        <v>-0.014222122733049722</v>
      </c>
      <c r="T580" s="15">
        <f>M583</f>
        <v>-0.024583489885612275</v>
      </c>
    </row>
    <row r="581" spans="1:20">
      <c r="A581" s="14">
        <v>45278</v>
      </c>
      <c r="B581" s="10">
        <v>1425.64501953125</v>
      </c>
      <c r="C581" s="10">
        <v>293.98486328125</v>
      </c>
      <c r="D581" s="10">
        <v>1136.941772460938</v>
      </c>
      <c r="E581" s="10">
        <v>21418.650390625</v>
      </c>
      <c r="F581" s="10">
        <v>759.7000122070312</v>
      </c>
      <c r="I581" s="15">
        <f>LN(B581/B580)</f>
        <v>-0.021008310764070993</v>
      </c>
      <c r="J581" s="15">
        <f>LN(C581/C580)</f>
        <v>-0.009438673792307157</v>
      </c>
      <c r="K581" s="15">
        <f>LN(D581/D580)</f>
        <v>-0.007012419768149004</v>
      </c>
      <c r="L581" s="15">
        <f>LN(E581/E580)</f>
        <v>-0.0017725827811074615</v>
      </c>
      <c r="M581" s="15">
        <f>LN(F581/F580)</f>
        <v>-0.009628337799123046</v>
      </c>
      <c r="O581" s="14">
        <v>45281</v>
      </c>
      <c r="P581" s="15">
        <f>I584</f>
        <v>0.008543237115904712</v>
      </c>
      <c r="Q581" s="15">
        <f>J584</f>
        <v>0.03980965372779441</v>
      </c>
      <c r="R581" s="15">
        <f>K584</f>
        <v>-0.006156437958745283</v>
      </c>
      <c r="S581" s="15">
        <f>L584</f>
        <v>0.004947534816775346</v>
      </c>
      <c r="T581" s="15">
        <f>M584</f>
        <v>0.00918055315381682</v>
      </c>
    </row>
    <row r="582" spans="1:20">
      <c r="A582" s="14">
        <v>45279</v>
      </c>
      <c r="B582" s="10">
        <v>1406.320922851562</v>
      </c>
      <c r="C582" s="10">
        <v>301.9008178710938</v>
      </c>
      <c r="D582" s="10">
        <v>1122.809814453125</v>
      </c>
      <c r="E582" s="10">
        <v>21453.099609375</v>
      </c>
      <c r="F582" s="10">
        <v>755.6500244140625</v>
      </c>
      <c r="I582" s="15">
        <f>LN(B582/B581)</f>
        <v>-0.013647336866109675</v>
      </c>
      <c r="J582" s="15">
        <f>LN(C582/C581)</f>
        <v>0.026570265213263593</v>
      </c>
      <c r="K582" s="15">
        <f>LN(D582/D581)</f>
        <v>-0.012507695381805165</v>
      </c>
      <c r="L582" s="15">
        <f>LN(E582/E581)</f>
        <v>0.001607082806947435</v>
      </c>
      <c r="M582" s="15">
        <f>LN(F582/F581)</f>
        <v>-0.005345296252581354</v>
      </c>
      <c r="O582" s="14">
        <v>45282</v>
      </c>
      <c r="P582" s="15">
        <f>I585</f>
        <v>0.010035584818572777</v>
      </c>
      <c r="Q582" s="15">
        <f>J585</f>
        <v>0.0026424384754750478</v>
      </c>
      <c r="R582" s="15">
        <f>K585</f>
        <v>0.046439190209812305</v>
      </c>
      <c r="S582" s="15">
        <f>L585</f>
        <v>0.004429103580375731</v>
      </c>
      <c r="T582" s="15">
        <f>M585</f>
        <v>0.025148142346176638</v>
      </c>
    </row>
    <row r="583" spans="1:20">
      <c r="A583" s="14">
        <v>45280</v>
      </c>
      <c r="B583" s="10">
        <v>1361.707763671875</v>
      </c>
      <c r="C583" s="10">
        <v>289.3049926757812</v>
      </c>
      <c r="D583" s="10">
        <v>1100.527587890625</v>
      </c>
      <c r="E583" s="10">
        <v>21150.150390625</v>
      </c>
      <c r="F583" s="10">
        <v>737.2999877929688</v>
      </c>
      <c r="I583" s="15">
        <f>LN(B583/B582)</f>
        <v>-0.03223739913903705</v>
      </c>
      <c r="J583" s="15">
        <f>LN(C583/C582)</f>
        <v>-0.042617076175329546</v>
      </c>
      <c r="K583" s="15">
        <f>LN(D583/D582)</f>
        <v>-0.020044616343371284</v>
      </c>
      <c r="L583" s="15">
        <f>LN(E583/E582)</f>
        <v>-0.014222122733049722</v>
      </c>
      <c r="M583" s="15">
        <f>LN(F583/F582)</f>
        <v>-0.024583489885612275</v>
      </c>
      <c r="O583" s="14">
        <v>45286</v>
      </c>
      <c r="P583" s="15">
        <f>I586</f>
        <v>-0.004487586258155276</v>
      </c>
      <c r="Q583" s="15">
        <f>J586</f>
        <v>-0.01361703919189722</v>
      </c>
      <c r="R583" s="15">
        <f>K586</f>
        <v>0.002758891284929033</v>
      </c>
      <c r="S583" s="15">
        <f>L586</f>
        <v>0.004297627887901326</v>
      </c>
      <c r="T583" s="15">
        <f>M586</f>
        <v>0.002421594306597755</v>
      </c>
    </row>
    <row r="584" spans="1:20">
      <c r="A584" s="14">
        <v>45281</v>
      </c>
      <c r="B584" s="10">
        <v>1373.390991210938</v>
      </c>
      <c r="C584" s="10">
        <v>301.054443359375</v>
      </c>
      <c r="D584" s="10">
        <v>1093.773071289062</v>
      </c>
      <c r="E584" s="10">
        <v>21255.05078125</v>
      </c>
      <c r="F584" s="10">
        <v>744.0999755859375</v>
      </c>
      <c r="I584" s="15">
        <f>LN(B584/B583)</f>
        <v>0.008543237115904712</v>
      </c>
      <c r="J584" s="15">
        <f>LN(C584/C583)</f>
        <v>0.03980965372779441</v>
      </c>
      <c r="K584" s="15">
        <f>LN(D584/D583)</f>
        <v>-0.006156437958745283</v>
      </c>
      <c r="L584" s="15">
        <f>LN(E584/E583)</f>
        <v>0.004947534816775346</v>
      </c>
      <c r="M584" s="15">
        <f>LN(F584/F583)</f>
        <v>0.00918055315381682</v>
      </c>
      <c r="O584" s="14">
        <v>45287</v>
      </c>
      <c r="P584" s="15">
        <f>I587</f>
        <v>0.010898801075458566</v>
      </c>
      <c r="Q584" s="15">
        <f>J587</f>
        <v>-0.011434378599295079</v>
      </c>
      <c r="R584" s="15">
        <f>K587</f>
        <v>-0.030796832864684272</v>
      </c>
      <c r="S584" s="15">
        <f>L587</f>
        <v>0.009903547502138933</v>
      </c>
      <c r="T584" s="15">
        <f>M587</f>
        <v>0.0067752065969470775</v>
      </c>
    </row>
    <row r="585" spans="1:20">
      <c r="A585" s="14">
        <v>45282</v>
      </c>
      <c r="B585" s="10">
        <v>1387.2431640625</v>
      </c>
      <c r="C585" s="10">
        <v>301.8510131835938</v>
      </c>
      <c r="D585" s="10">
        <v>1145.764892578125</v>
      </c>
      <c r="E585" s="10">
        <v>21349.400390625</v>
      </c>
      <c r="F585" s="10">
        <v>763.0499877929688</v>
      </c>
      <c r="I585" s="15">
        <f>LN(B585/B584)</f>
        <v>0.010035584818572777</v>
      </c>
      <c r="J585" s="15">
        <f>LN(C585/C584)</f>
        <v>0.0026424384754750478</v>
      </c>
      <c r="K585" s="15">
        <f>LN(D585/D584)</f>
        <v>0.046439190209812305</v>
      </c>
      <c r="L585" s="15">
        <f>LN(E585/E584)</f>
        <v>0.004429103580375731</v>
      </c>
      <c r="M585" s="15">
        <f>LN(F585/F584)</f>
        <v>0.025148142346176638</v>
      </c>
      <c r="O585" s="14">
        <v>45288</v>
      </c>
      <c r="P585" s="15">
        <f>I588</f>
        <v>0.01840171603768562</v>
      </c>
      <c r="Q585" s="15">
        <f>J588</f>
        <v>-0.011566742239973306</v>
      </c>
      <c r="R585" s="15">
        <f>K588</f>
        <v>0.004642639940421409</v>
      </c>
      <c r="S585" s="15">
        <f>L588</f>
        <v>0.0057075621422148105</v>
      </c>
      <c r="T585" s="15">
        <f>M588</f>
        <v>0.009434704980138556</v>
      </c>
    </row>
    <row r="586" spans="1:20">
      <c r="A586" s="14">
        <v>45286</v>
      </c>
      <c r="B586" s="10">
        <v>1381.03173828125</v>
      </c>
      <c r="C586" s="10">
        <v>297.7685546875</v>
      </c>
      <c r="D586" s="10">
        <v>1148.930297851562</v>
      </c>
      <c r="E586" s="10">
        <v>21441.349609375</v>
      </c>
      <c r="F586" s="10">
        <v>764.9000244140625</v>
      </c>
      <c r="I586" s="15">
        <f>LN(B586/B585)</f>
        <v>-0.004487586258155276</v>
      </c>
      <c r="J586" s="15">
        <f>LN(C586/C585)</f>
        <v>-0.01361703919189722</v>
      </c>
      <c r="K586" s="15">
        <f>LN(D586/D585)</f>
        <v>0.002758891284929033</v>
      </c>
      <c r="L586" s="15">
        <f>LN(E586/E585)</f>
        <v>0.004297627887901326</v>
      </c>
      <c r="M586" s="15">
        <f>LN(F586/F585)</f>
        <v>0.002421594306597755</v>
      </c>
      <c r="O586" s="14">
        <v>45289</v>
      </c>
      <c r="P586" s="15">
        <f>I589</f>
        <v>0.0006584208272752746</v>
      </c>
      <c r="Q586" s="15">
        <f>J589</f>
        <v>0.009704720048680629</v>
      </c>
      <c r="R586" s="15">
        <f>K589</f>
        <v>-0.0003118579850855323</v>
      </c>
      <c r="S586" s="15">
        <f>L589</f>
        <v>-0.0021741548367498844</v>
      </c>
      <c r="T586" s="15">
        <f>M589</f>
        <v>0.007241485500475006</v>
      </c>
    </row>
    <row r="587" spans="1:20">
      <c r="A587" s="14">
        <v>45287</v>
      </c>
      <c r="B587" s="10">
        <v>1396.165649414062</v>
      </c>
      <c r="C587" s="10">
        <v>294.3831481933594</v>
      </c>
      <c r="D587" s="10">
        <v>1114.086181640625</v>
      </c>
      <c r="E587" s="10">
        <v>21654.75</v>
      </c>
      <c r="F587" s="10">
        <v>770.0999755859375</v>
      </c>
      <c r="I587" s="15">
        <f>LN(B587/B586)</f>
        <v>0.010898801075458566</v>
      </c>
      <c r="J587" s="15">
        <f>LN(C587/C586)</f>
        <v>-0.011434378599295079</v>
      </c>
      <c r="K587" s="15">
        <f>LN(D587/D586)</f>
        <v>-0.030796832864684272</v>
      </c>
      <c r="L587" s="15">
        <f>LN(E587/E586)</f>
        <v>0.009903547502138933</v>
      </c>
      <c r="M587" s="15">
        <f>LN(F587/F586)</f>
        <v>0.0067752065969470775</v>
      </c>
      <c r="O587" s="14">
        <v>45294</v>
      </c>
      <c r="P587" s="15">
        <f>I592</f>
        <v>0.013385833247526123</v>
      </c>
      <c r="Q587" s="15">
        <f>J592</f>
        <v>0.01758144034447329</v>
      </c>
      <c r="R587" s="15">
        <f>K592</f>
        <v>0.024350465962521592</v>
      </c>
      <c r="S587" s="15">
        <f>L592</f>
        <v>-0.006875448193459907</v>
      </c>
      <c r="T587" s="15">
        <f>M592</f>
        <v>0.012193311040994304</v>
      </c>
    </row>
    <row r="588" spans="1:20">
      <c r="A588" s="14">
        <v>45288</v>
      </c>
      <c r="B588" s="10">
        <v>1422.095336914062</v>
      </c>
      <c r="C588" s="10">
        <v>290.9977111816406</v>
      </c>
      <c r="D588" s="10">
        <v>1119.2705078125</v>
      </c>
      <c r="E588" s="10">
        <v>21778.69921875</v>
      </c>
      <c r="F588" s="10">
        <v>777.4000244140625</v>
      </c>
      <c r="I588" s="15">
        <f>LN(B588/B587)</f>
        <v>0.01840171603768562</v>
      </c>
      <c r="J588" s="15">
        <f>LN(C588/C587)</f>
        <v>-0.011566742239973306</v>
      </c>
      <c r="K588" s="15">
        <f>LN(D588/D587)</f>
        <v>0.004642639940421409</v>
      </c>
      <c r="L588" s="15">
        <f>LN(E588/E587)</f>
        <v>0.0057075621422148105</v>
      </c>
      <c r="M588" s="15">
        <f>LN(F588/F587)</f>
        <v>0.009434704980138556</v>
      </c>
      <c r="O588" s="14">
        <v>45295</v>
      </c>
      <c r="P588" s="15">
        <f>I593</f>
        <v>0.049671133524813754</v>
      </c>
      <c r="Q588" s="15">
        <f>J593</f>
        <v>-0.001938342291568034</v>
      </c>
      <c r="R588" s="15">
        <f>K593</f>
        <v>0.031818170534381726</v>
      </c>
      <c r="S588" s="15">
        <f>L593</f>
        <v>0.006543017882762483</v>
      </c>
      <c r="T588" s="15">
        <f>M593</f>
        <v>0.06545021018916414</v>
      </c>
    </row>
    <row r="589" spans="1:20">
      <c r="A589" s="14">
        <v>45289</v>
      </c>
      <c r="B589" s="10">
        <v>1423.031982421875</v>
      </c>
      <c r="C589" s="10">
        <v>293.8355102539062</v>
      </c>
      <c r="D589" s="10">
        <v>1118.921508789062</v>
      </c>
      <c r="E589" s="10">
        <v>21731.400390625</v>
      </c>
      <c r="F589" s="10">
        <v>783.0499877929688</v>
      </c>
      <c r="I589" s="15">
        <f>LN(B589/B588)</f>
        <v>0.0006584208272752746</v>
      </c>
      <c r="J589" s="15">
        <f>LN(C589/C588)</f>
        <v>0.009704720048680629</v>
      </c>
      <c r="K589" s="15">
        <f>LN(D589/D588)</f>
        <v>-0.0003118579850855323</v>
      </c>
      <c r="L589" s="15">
        <f>LN(E589/E588)</f>
        <v>-0.0021741548367498844</v>
      </c>
      <c r="M589" s="15">
        <f>LN(F589/F588)</f>
        <v>0.007241485500475006</v>
      </c>
      <c r="O589" s="14">
        <v>45296</v>
      </c>
      <c r="P589" s="15">
        <f>I594</f>
        <v>-0.009600623916305345</v>
      </c>
      <c r="Q589" s="15">
        <f>J594</f>
        <v>0.03010023715873286</v>
      </c>
      <c r="R589" s="15">
        <f>K594</f>
        <v>0.05125426972893259</v>
      </c>
      <c r="S589" s="15">
        <f>L594</f>
        <v>0.0024072823978970102</v>
      </c>
      <c r="T589" s="15">
        <f>M594</f>
        <v>0.0036187716164778885</v>
      </c>
    </row>
    <row r="590" spans="1:20">
      <c r="A590" s="14">
        <v>45292</v>
      </c>
      <c r="B590" s="10">
        <v>1428.15869140625</v>
      </c>
      <c r="C590" s="10">
        <v>297.0715942382812</v>
      </c>
      <c r="D590" s="10">
        <v>1123.63232421875</v>
      </c>
      <c r="E590" s="10">
        <v>21741.900390625</v>
      </c>
      <c r="I590" s="15">
        <f>LN(B590/B589)</f>
        <v>0.0035961919745120348</v>
      </c>
      <c r="J590" s="15">
        <f>LN(C590/C589)</f>
        <v>0.010953045960175153</v>
      </c>
      <c r="K590" s="15">
        <f>LN(D590/D589)</f>
        <v>0.004201301471151938</v>
      </c>
      <c r="L590" s="15">
        <f>LN(E590/E589)</f>
        <v>0.0004830551173010514</v>
      </c>
      <c r="O590" s="14">
        <v>45299</v>
      </c>
      <c r="P590" s="15">
        <f>I595</f>
        <v>-0.0186430663753875</v>
      </c>
      <c r="Q590" s="15">
        <f>J595</f>
        <v>-0.0021988084619243803</v>
      </c>
      <c r="R590" s="15">
        <f>K595</f>
        <v>0.017820443645434184</v>
      </c>
      <c r="S590" s="15">
        <f>L595</f>
        <v>-0.009152465005292239</v>
      </c>
      <c r="T590" s="15">
        <f>M595</f>
        <v>0.0013019727594185632</v>
      </c>
    </row>
    <row r="591" spans="1:20">
      <c r="A591" s="14">
        <v>45293</v>
      </c>
      <c r="B591" s="10">
        <v>1419.3349609375</v>
      </c>
      <c r="C591" s="10">
        <v>303.1454467773438</v>
      </c>
      <c r="D591" s="10">
        <v>1114.285766601562</v>
      </c>
      <c r="E591" s="10">
        <v>21665.80078125</v>
      </c>
      <c r="F591" s="10">
        <v>778.4500122070312</v>
      </c>
      <c r="I591" s="15">
        <f>LN(B591/B590)</f>
        <v>-0.006197561637822001</v>
      </c>
      <c r="J591" s="15">
        <f>LN(C591/C590)</f>
        <v>0.020239544908730166</v>
      </c>
      <c r="K591" s="15">
        <f>LN(D591/D590)</f>
        <v>-0.008352952683409865</v>
      </c>
      <c r="L591" s="15">
        <f>LN(E591/E590)</f>
        <v>-0.0035062758581720864</v>
      </c>
      <c r="O591" s="14">
        <v>45300</v>
      </c>
      <c r="P591" s="15">
        <f>I596</f>
        <v>0.029286510706301987</v>
      </c>
      <c r="Q591" s="15">
        <f>J596</f>
        <v>0.0021988084619243343</v>
      </c>
      <c r="R591" s="15">
        <f>K596</f>
        <v>0.04132702077121096</v>
      </c>
      <c r="S591" s="15">
        <f>L596</f>
        <v>0.001479387172036867</v>
      </c>
      <c r="T591" s="15">
        <f>M596</f>
        <v>0.024881540142193122</v>
      </c>
    </row>
    <row r="592" spans="1:20">
      <c r="A592" s="14">
        <v>45294</v>
      </c>
      <c r="B592" s="10">
        <v>1438.461669921875</v>
      </c>
      <c r="C592" s="10">
        <v>308.5223083496094</v>
      </c>
      <c r="D592" s="10">
        <v>1141.752197265625</v>
      </c>
      <c r="E592" s="10">
        <v>21517.349609375</v>
      </c>
      <c r="F592" s="10">
        <v>788</v>
      </c>
      <c r="I592" s="15">
        <f>LN(B592/B591)</f>
        <v>0.013385833247526123</v>
      </c>
      <c r="J592" s="15">
        <f>LN(C592/C591)</f>
        <v>0.01758144034447329</v>
      </c>
      <c r="K592" s="15">
        <f>LN(D592/D591)</f>
        <v>0.024350465962521592</v>
      </c>
      <c r="L592" s="15">
        <f>LN(E592/E591)</f>
        <v>-0.006875448193459907</v>
      </c>
      <c r="M592" s="15">
        <f>LN(F592/F591)</f>
        <v>0.012193311040994304</v>
      </c>
      <c r="O592" s="14">
        <v>45301</v>
      </c>
      <c r="P592" s="15">
        <f>I597</f>
        <v>-0.008374148425680789</v>
      </c>
      <c r="Q592" s="15">
        <f>J597</f>
        <v>0.0018808251080899673</v>
      </c>
      <c r="R592" s="15">
        <f>K597</f>
        <v>-0.02622620471355436</v>
      </c>
      <c r="S592" s="15">
        <f>L597</f>
        <v>0.003421854015216792</v>
      </c>
      <c r="T592" s="15">
        <f>M597</f>
        <v>-0.001096663656387963</v>
      </c>
    </row>
    <row r="593" spans="1:20">
      <c r="A593" s="14">
        <v>45295</v>
      </c>
      <c r="B593" s="10">
        <v>1511.715942382812</v>
      </c>
      <c r="C593" s="10">
        <v>307.9248657226562</v>
      </c>
      <c r="D593" s="10">
        <v>1178.664794921875</v>
      </c>
      <c r="E593" s="10">
        <v>21658.599609375</v>
      </c>
      <c r="F593" s="10">
        <v>841.2999877929688</v>
      </c>
      <c r="I593" s="15">
        <f>LN(B593/B592)</f>
        <v>0.049671133524813754</v>
      </c>
      <c r="J593" s="15">
        <f>LN(C593/C592)</f>
        <v>-0.001938342291568034</v>
      </c>
      <c r="K593" s="15">
        <f>LN(D593/D592)</f>
        <v>0.031818170534381726</v>
      </c>
      <c r="L593" s="15">
        <f>LN(E593/E592)</f>
        <v>0.006543017882762483</v>
      </c>
      <c r="M593" s="15">
        <f>LN(F593/F592)</f>
        <v>0.06545021018916414</v>
      </c>
      <c r="O593" s="14">
        <v>45302</v>
      </c>
      <c r="P593" s="15">
        <f>I598</f>
        <v>0.01706642868178917</v>
      </c>
      <c r="Q593" s="15">
        <f>J598</f>
        <v>0.0026585888777168076</v>
      </c>
      <c r="R593" s="15">
        <f>K598</f>
        <v>-0.05051292755832703</v>
      </c>
      <c r="S593" s="15">
        <f>L598</f>
        <v>0.001317434984659037</v>
      </c>
      <c r="T593" s="15">
        <f>M598</f>
        <v>-0.00040430393150016656</v>
      </c>
    </row>
    <row r="594" spans="1:20">
      <c r="A594" s="14">
        <v>45296</v>
      </c>
      <c r="B594" s="10">
        <v>1497.27197265625</v>
      </c>
      <c r="C594" s="10">
        <v>317.3343811035156</v>
      </c>
      <c r="D594" s="10">
        <v>1240.6513671875</v>
      </c>
      <c r="E594" s="10">
        <v>21710.80078125</v>
      </c>
      <c r="F594" s="10">
        <v>844.3499755859375</v>
      </c>
      <c r="I594" s="15">
        <f>LN(B594/B593)</f>
        <v>-0.009600623916305345</v>
      </c>
      <c r="J594" s="15">
        <f>LN(C594/C593)</f>
        <v>0.03010023715873286</v>
      </c>
      <c r="K594" s="15">
        <f>LN(D594/D593)</f>
        <v>0.05125426972893259</v>
      </c>
      <c r="L594" s="15">
        <f>LN(E594/E593)</f>
        <v>0.0024072823978970102</v>
      </c>
      <c r="M594" s="15">
        <f>LN(F594/F593)</f>
        <v>0.0036187716164778885</v>
      </c>
      <c r="O594" s="14">
        <v>45303</v>
      </c>
      <c r="P594" s="15">
        <f>I599</f>
        <v>-0.00485562350255332</v>
      </c>
      <c r="Q594" s="15">
        <f>J599</f>
        <v>0.024071596212818052</v>
      </c>
      <c r="R594" s="15">
        <f>K599</f>
        <v>0.02272134601085304</v>
      </c>
      <c r="S594" s="15">
        <f>L599</f>
        <v>0.011361703346499745</v>
      </c>
      <c r="T594" s="15">
        <f>M599</f>
        <v>0.01786474718240003</v>
      </c>
    </row>
    <row r="595" spans="1:20">
      <c r="A595" s="14">
        <v>45299</v>
      </c>
      <c r="B595" s="10">
        <v>1469.616821289062</v>
      </c>
      <c r="C595" s="10">
        <v>316.6373901367188</v>
      </c>
      <c r="D595" s="10">
        <v>1262.95849609375</v>
      </c>
      <c r="E595" s="10">
        <v>21513</v>
      </c>
      <c r="F595" s="10">
        <v>845.4500122070312</v>
      </c>
      <c r="I595" s="15">
        <f>LN(B595/B594)</f>
        <v>-0.0186430663753875</v>
      </c>
      <c r="J595" s="15">
        <f>LN(C595/C594)</f>
        <v>-0.0021988084619243803</v>
      </c>
      <c r="K595" s="15">
        <f>LN(D595/D594)</f>
        <v>0.017820443645434184</v>
      </c>
      <c r="L595" s="15">
        <f>LN(E595/E594)</f>
        <v>-0.009152465005292239</v>
      </c>
      <c r="M595" s="15">
        <f>LN(F595/F594)</f>
        <v>0.0013019727594185632</v>
      </c>
      <c r="O595" s="14">
        <v>45306</v>
      </c>
      <c r="P595" s="15">
        <f>I600</f>
        <v>0.0188692660897101</v>
      </c>
      <c r="Q595" s="15">
        <f>J600</f>
        <v>0.0</v>
      </c>
      <c r="R595" s="15">
        <f>K600</f>
        <v>-0.008329189556549977</v>
      </c>
      <c r="S595" s="15">
        <f>L600</f>
        <v>0.009224398809286917</v>
      </c>
      <c r="T595" s="15">
        <f>M600</f>
        <v>0.0025505157716394886</v>
      </c>
    </row>
    <row r="596" spans="1:20">
      <c r="A596" s="14">
        <v>45300</v>
      </c>
      <c r="B596" s="10">
        <v>1513.293212890625</v>
      </c>
      <c r="C596" s="10">
        <v>317.3343811035156</v>
      </c>
      <c r="D596" s="10">
        <v>1316.246337890625</v>
      </c>
      <c r="E596" s="10">
        <v>21544.849609375</v>
      </c>
      <c r="F596" s="10">
        <v>866.75</v>
      </c>
      <c r="I596" s="15">
        <f>LN(B596/B595)</f>
        <v>0.029286510706301987</v>
      </c>
      <c r="J596" s="15">
        <f>LN(C596/C595)</f>
        <v>0.0021988084619243343</v>
      </c>
      <c r="K596" s="15">
        <f>LN(D596/D595)</f>
        <v>0.04132702077121096</v>
      </c>
      <c r="L596" s="15">
        <f>LN(E596/E595)</f>
        <v>0.001479387172036867</v>
      </c>
      <c r="M596" s="15">
        <f>LN(F596/F595)</f>
        <v>0.024881540142193122</v>
      </c>
      <c r="O596" s="14">
        <v>45307</v>
      </c>
      <c r="P596" s="15">
        <f>I601</f>
        <v>-0.027571373521493137</v>
      </c>
      <c r="Q596" s="15">
        <f>J601</f>
        <v>-0.025009069733058123</v>
      </c>
      <c r="R596" s="15">
        <f>K601</f>
        <v>-0.013840246276011341</v>
      </c>
      <c r="S596" s="15">
        <f>L601</f>
        <v>-0.002952587985615914</v>
      </c>
      <c r="T596" s="15">
        <f>M601</f>
        <v>-0.01678218793793428</v>
      </c>
    </row>
    <row r="597" spans="1:20">
      <c r="A597" s="14">
        <v>45301</v>
      </c>
      <c r="B597" s="10">
        <v>1500.673583984375</v>
      </c>
      <c r="C597" s="10">
        <v>317.9317932128906</v>
      </c>
      <c r="D597" s="10">
        <v>1282.174926757812</v>
      </c>
      <c r="E597" s="10">
        <v>21618.69921875</v>
      </c>
      <c r="F597" s="10">
        <v>865.7999877929688</v>
      </c>
      <c r="I597" s="15">
        <f>LN(B597/B596)</f>
        <v>-0.008374148425680789</v>
      </c>
      <c r="J597" s="15">
        <f>LN(C597/C596)</f>
        <v>0.0018808251080899673</v>
      </c>
      <c r="K597" s="15">
        <f>LN(D597/D596)</f>
        <v>-0.02622620471355436</v>
      </c>
      <c r="L597" s="15">
        <f>LN(E597/E596)</f>
        <v>0.003421854015216792</v>
      </c>
      <c r="M597" s="15">
        <f>LN(F597/F596)</f>
        <v>-0.001096663656387963</v>
      </c>
      <c r="O597" s="14">
        <v>45308</v>
      </c>
      <c r="P597" s="15">
        <f>I602</f>
        <v>0.002158128965725704</v>
      </c>
      <c r="Q597" s="15">
        <f>J602</f>
        <v>-0.011319160998739494</v>
      </c>
      <c r="R597" s="15">
        <f>K602</f>
        <v>-0.011695577026331798</v>
      </c>
      <c r="S597" s="15">
        <f>L602</f>
        <v>-0.021115770473744744</v>
      </c>
      <c r="T597" s="15">
        <f>M602</f>
        <v>-0.014261924216758209</v>
      </c>
    </row>
    <row r="598" spans="1:20">
      <c r="A598" s="14">
        <v>45302</v>
      </c>
      <c r="B598" s="10">
        <v>1526.504516601562</v>
      </c>
      <c r="C598" s="10">
        <v>318.7781677246094</v>
      </c>
      <c r="D598" s="10">
        <v>1219.01708984375</v>
      </c>
      <c r="E598" s="10">
        <v>21647.19921875</v>
      </c>
      <c r="F598" s="10">
        <v>865.4500122070312</v>
      </c>
      <c r="I598" s="15">
        <f>LN(B598/B597)</f>
        <v>0.01706642868178917</v>
      </c>
      <c r="J598" s="15">
        <f>LN(C598/C597)</f>
        <v>0.0026585888777168076</v>
      </c>
      <c r="K598" s="15">
        <f>LN(D598/D597)</f>
        <v>-0.05051292755832703</v>
      </c>
      <c r="L598" s="15">
        <f>LN(E598/E597)</f>
        <v>0.001317434984659037</v>
      </c>
      <c r="M598" s="15">
        <f>LN(F598/F597)</f>
        <v>-0.00040430393150016656</v>
      </c>
      <c r="O598" s="14">
        <v>45309</v>
      </c>
      <c r="P598" s="15">
        <f>I603</f>
        <v>-0.01169651079379235</v>
      </c>
      <c r="Q598" s="15">
        <f>J603</f>
        <v>0.007717220533172895</v>
      </c>
      <c r="R598" s="15">
        <f>K603</f>
        <v>0.0284941465448885</v>
      </c>
      <c r="S598" s="15">
        <f>L603</f>
        <v>-0.0050982455047793645</v>
      </c>
      <c r="T598" s="15">
        <f>M603</f>
        <v>0.007214381128922929</v>
      </c>
    </row>
    <row r="599" spans="1:20">
      <c r="A599" s="14">
        <v>45303</v>
      </c>
      <c r="B599" s="10">
        <v>1519.1103515625</v>
      </c>
      <c r="C599" s="10">
        <v>326.5447692871094</v>
      </c>
      <c r="D599" s="10">
        <v>1247.031860351562</v>
      </c>
      <c r="E599" s="10">
        <v>21894.55078125</v>
      </c>
      <c r="F599" s="10">
        <v>881.0499877929688</v>
      </c>
      <c r="I599" s="15">
        <f>LN(B599/B598)</f>
        <v>-0.00485562350255332</v>
      </c>
      <c r="J599" s="15">
        <f>LN(C599/C598)</f>
        <v>0.024071596212818052</v>
      </c>
      <c r="K599" s="15">
        <f>LN(D599/D598)</f>
        <v>0.02272134601085304</v>
      </c>
      <c r="L599" s="15">
        <f>LN(E599/E598)</f>
        <v>0.011361703346499745</v>
      </c>
      <c r="M599" s="15">
        <f>LN(F599/F598)</f>
        <v>0.01786474718240003</v>
      </c>
      <c r="O599" s="14">
        <v>45310</v>
      </c>
      <c r="P599" s="15">
        <f>I604</f>
        <v>0.0039908426400204</v>
      </c>
      <c r="Q599" s="15">
        <f>J604</f>
        <v>-0.006768983551682958</v>
      </c>
      <c r="R599" s="15">
        <f>K604</f>
        <v>0.02977434316313743</v>
      </c>
      <c r="S599" s="15">
        <f>L604</f>
        <v>0.007434254509367264</v>
      </c>
      <c r="T599" s="15">
        <f>M604</f>
        <v>0.006932436775644896</v>
      </c>
    </row>
    <row r="600" spans="1:20">
      <c r="A600" s="14">
        <v>45306</v>
      </c>
      <c r="B600" s="10">
        <v>1548.046997070312</v>
      </c>
      <c r="C600" s="10">
        <v>326.5447692871094</v>
      </c>
      <c r="D600" s="10">
        <v>1236.688232421875</v>
      </c>
      <c r="E600" s="10">
        <v>22097.44921875</v>
      </c>
      <c r="F600" s="10">
        <v>883.2999877929688</v>
      </c>
      <c r="I600" s="15">
        <f>LN(B600/B599)</f>
        <v>0.0188692660897101</v>
      </c>
      <c r="J600" s="15">
        <f>LN(C600/C599)</f>
        <v>0.0</v>
      </c>
      <c r="K600" s="15">
        <f>LN(D600/D599)</f>
        <v>-0.008329189556549977</v>
      </c>
      <c r="L600" s="15">
        <f>LN(E600/E599)</f>
        <v>0.009224398809286917</v>
      </c>
      <c r="M600" s="15">
        <f>LN(F600/F599)</f>
        <v>0.0025505157716394886</v>
      </c>
      <c r="O600" s="14">
        <v>45314</v>
      </c>
      <c r="P600" s="15">
        <f>I605</f>
        <v>-0.10342400980336723</v>
      </c>
      <c r="Q600" s="15">
        <f>J605</f>
        <v>-0.015600424364724204</v>
      </c>
      <c r="R600" s="15">
        <f>K605</f>
        <v>-0.06744895422941782</v>
      </c>
      <c r="S600" s="15">
        <f>L605</f>
        <v>-0.017900098054810153</v>
      </c>
      <c r="T600" s="15">
        <f>M605</f>
        <v>-0.06216939416742063</v>
      </c>
    </row>
    <row r="601" spans="1:20">
      <c r="A601" s="14">
        <v>45307</v>
      </c>
      <c r="B601" s="10">
        <v>1505.9482421875</v>
      </c>
      <c r="C601" s="10">
        <v>318.4794616699219</v>
      </c>
      <c r="D601" s="10">
        <v>1219.690063476562</v>
      </c>
      <c r="E601" s="10">
        <v>22032.30078125</v>
      </c>
      <c r="F601" s="10">
        <v>868.5999755859375</v>
      </c>
      <c r="I601" s="15">
        <f>LN(B601/B600)</f>
        <v>-0.027571373521493137</v>
      </c>
      <c r="J601" s="15">
        <f>LN(C601/C600)</f>
        <v>-0.025009069733058123</v>
      </c>
      <c r="K601" s="15">
        <f>LN(D601/D600)</f>
        <v>-0.013840246276011341</v>
      </c>
      <c r="L601" s="15">
        <f>LN(E601/E600)</f>
        <v>-0.002952587985615914</v>
      </c>
      <c r="M601" s="15">
        <f>LN(F601/F600)</f>
        <v>-0.01678218793793428</v>
      </c>
      <c r="O601" s="14">
        <v>45315</v>
      </c>
      <c r="P601" s="15">
        <f>I606</f>
        <v>-0.04919179831151942</v>
      </c>
      <c r="Q601" s="15">
        <f>J606</f>
        <v>0.009580168580985834</v>
      </c>
      <c r="R601" s="15">
        <f>K606</f>
        <v>-0.012260509077928926</v>
      </c>
      <c r="S601" s="15">
        <f>L606</f>
        <v>0.010079006802925212</v>
      </c>
      <c r="T601" s="15">
        <f>M606</f>
        <v>0.0023863571635192268</v>
      </c>
    </row>
    <row r="602" spans="1:20">
      <c r="A602" s="14">
        <v>45308</v>
      </c>
      <c r="B602" s="10">
        <v>1509.201782226562</v>
      </c>
      <c r="C602" s="10">
        <v>314.8948669433594</v>
      </c>
      <c r="D602" s="10">
        <v>1205.508178710938</v>
      </c>
      <c r="E602" s="10">
        <v>21571.94921875</v>
      </c>
      <c r="F602" s="10">
        <v>856.2999877929688</v>
      </c>
      <c r="I602" s="15">
        <f>LN(B602/B601)</f>
        <v>0.002158128965725704</v>
      </c>
      <c r="J602" s="15">
        <f>LN(C602/C601)</f>
        <v>-0.011319160998739494</v>
      </c>
      <c r="K602" s="15">
        <f>LN(D602/D601)</f>
        <v>-0.011695577026331798</v>
      </c>
      <c r="L602" s="15">
        <f>LN(E602/E601)</f>
        <v>-0.021115770473744744</v>
      </c>
      <c r="M602" s="15">
        <f>LN(F602/F601)</f>
        <v>-0.014261924216758209</v>
      </c>
      <c r="O602" s="14">
        <v>45316</v>
      </c>
      <c r="P602" s="15">
        <f>I607</f>
        <v>-3.826509842268922e-05</v>
      </c>
      <c r="Q602" s="15">
        <f>J607</f>
        <v>0.004122978819467312</v>
      </c>
      <c r="R602" s="15">
        <f>K607</f>
        <v>-0.030388915998359727</v>
      </c>
      <c r="S602" s="15">
        <f>L607</f>
        <v>-0.004735247364061254</v>
      </c>
      <c r="T602" s="15">
        <f>M607</f>
        <v>0.006639700728973445</v>
      </c>
    </row>
    <row r="603" spans="1:20">
      <c r="A603" s="14">
        <v>45309</v>
      </c>
      <c r="B603" s="10">
        <v>1491.652221679688</v>
      </c>
      <c r="C603" s="10">
        <v>317.3343811035156</v>
      </c>
      <c r="D603" s="10">
        <v>1240.352172851562</v>
      </c>
      <c r="E603" s="10">
        <v>21462.25</v>
      </c>
      <c r="F603" s="10">
        <v>862.5</v>
      </c>
      <c r="I603" s="15">
        <f>LN(B603/B602)</f>
        <v>-0.01169651079379235</v>
      </c>
      <c r="J603" s="15">
        <f>LN(C603/C602)</f>
        <v>0.007717220533172895</v>
      </c>
      <c r="K603" s="15">
        <f>LN(D603/D602)</f>
        <v>0.0284941465448885</v>
      </c>
      <c r="L603" s="15">
        <f>LN(E603/E602)</f>
        <v>-0.0050982455047793645</v>
      </c>
      <c r="M603" s="15">
        <f>LN(F603/F602)</f>
        <v>0.007214381128922929</v>
      </c>
      <c r="O603" s="14">
        <v>45320</v>
      </c>
      <c r="P603" s="15">
        <f>I608</f>
        <v>0.0030628380230714783</v>
      </c>
      <c r="Q603" s="15">
        <f>J608</f>
        <v>-0.01611272234880937</v>
      </c>
      <c r="R603" s="15">
        <f>K608</f>
        <v>0.025094165194732676</v>
      </c>
      <c r="S603" s="15">
        <f>L608</f>
        <v>0.01786996821930258</v>
      </c>
      <c r="T603" s="15">
        <f>M608</f>
        <v>0.012489270963674236</v>
      </c>
    </row>
    <row r="604" spans="1:20">
      <c r="A604" s="14">
        <v>45310</v>
      </c>
      <c r="B604" s="10">
        <v>1497.617065429688</v>
      </c>
      <c r="C604" s="10">
        <v>315.193603515625</v>
      </c>
      <c r="D604" s="10">
        <v>1277.838134765625</v>
      </c>
      <c r="E604" s="10">
        <v>21622.400390625</v>
      </c>
      <c r="F604" s="10">
        <v>868.5</v>
      </c>
      <c r="I604" s="15">
        <f>LN(B604/B603)</f>
        <v>0.0039908426400204</v>
      </c>
      <c r="J604" s="15">
        <f>LN(C604/C603)</f>
        <v>-0.006768983551682958</v>
      </c>
      <c r="K604" s="15">
        <f>LN(D604/D603)</f>
        <v>0.02977434316313743</v>
      </c>
      <c r="L604" s="15">
        <f>LN(E604/E603)</f>
        <v>0.007434254509367264</v>
      </c>
      <c r="M604" s="15">
        <f>LN(F604/F603)</f>
        <v>0.006932436775644896</v>
      </c>
      <c r="O604" s="14">
        <v>45321</v>
      </c>
      <c r="P604" s="15">
        <f>I609</f>
        <v>-0.0050971728053218</v>
      </c>
      <c r="Q604" s="15">
        <f>J609</f>
        <v>0.01927282152483326</v>
      </c>
      <c r="R604" s="15">
        <f>K609</f>
        <v>0.00453396358661505</v>
      </c>
      <c r="S604" s="15">
        <f>L609</f>
        <v>-0.009963166019046519</v>
      </c>
      <c r="T604" s="15">
        <f>M609</f>
        <v>0.003829988131055378</v>
      </c>
    </row>
    <row r="605" spans="1:20">
      <c r="A605" s="14">
        <v>45314</v>
      </c>
      <c r="B605" s="10">
        <v>1350.468017578125</v>
      </c>
      <c r="C605" s="10">
        <v>310.3146057128906</v>
      </c>
      <c r="D605" s="10">
        <v>1194.49169921875</v>
      </c>
      <c r="E605" s="10">
        <v>21238.80078125</v>
      </c>
      <c r="F605" s="10">
        <v>816.1500244140625</v>
      </c>
      <c r="I605" s="15">
        <f>LN(B605/B604)</f>
        <v>-0.10342400980336723</v>
      </c>
      <c r="J605" s="15">
        <f>LN(C605/C604)</f>
        <v>-0.015600424364724204</v>
      </c>
      <c r="K605" s="15">
        <f>LN(D605/D604)</f>
        <v>-0.06744895422941782</v>
      </c>
      <c r="L605" s="15">
        <f>LN(E605/E604)</f>
        <v>-0.017900098054810153</v>
      </c>
      <c r="M605" s="15">
        <f>LN(F605/F604)</f>
        <v>-0.06216939416742063</v>
      </c>
      <c r="O605" s="14">
        <v>45322</v>
      </c>
      <c r="P605" s="15">
        <f>I610</f>
        <v>0.017066831022036367</v>
      </c>
      <c r="Q605" s="15">
        <f>J610</f>
        <v>0.003621792061742042</v>
      </c>
      <c r="R605" s="15">
        <f>K610</f>
        <v>0.024452877943717557</v>
      </c>
      <c r="S605" s="15">
        <f>L610</f>
        <v>0.009415559590485083</v>
      </c>
      <c r="T605" s="15">
        <f>M610</f>
        <v>0.022560499467103742</v>
      </c>
    </row>
    <row r="606" spans="1:20">
      <c r="A606" s="14">
        <v>45315</v>
      </c>
      <c r="B606" s="10">
        <v>1285.6435546875</v>
      </c>
      <c r="C606" s="10">
        <v>313.3017578125</v>
      </c>
      <c r="D606" s="10">
        <v>1179.93603515625</v>
      </c>
      <c r="E606" s="10">
        <v>21453.94921875</v>
      </c>
      <c r="F606" s="10">
        <v>818.0999755859375</v>
      </c>
      <c r="I606" s="15">
        <f>LN(B606/B605)</f>
        <v>-0.04919179831151942</v>
      </c>
      <c r="J606" s="15">
        <f>LN(C606/C605)</f>
        <v>0.009580168580985834</v>
      </c>
      <c r="K606" s="15">
        <f>LN(D606/D605)</f>
        <v>-0.012260509077928926</v>
      </c>
      <c r="L606" s="15">
        <f>LN(E606/E605)</f>
        <v>0.010079006802925212</v>
      </c>
      <c r="M606" s="15">
        <f>LN(F606/F605)</f>
        <v>0.0023863571635192268</v>
      </c>
      <c r="O606" s="14">
        <v>45323</v>
      </c>
      <c r="P606" s="15">
        <f>I611</f>
        <v>-0.01223720897011315</v>
      </c>
      <c r="Q606" s="15">
        <f>J611</f>
        <v>-0.010587181038605576</v>
      </c>
      <c r="R606" s="15">
        <f>K611</f>
        <v>-0.03070855306583667</v>
      </c>
      <c r="S606" s="15">
        <f>L611</f>
        <v>-0.00130114950214822</v>
      </c>
      <c r="T606" s="15">
        <f>M611</f>
        <v>-0.009446472241257197</v>
      </c>
    </row>
    <row r="607" spans="1:20">
      <c r="A607" s="14">
        <v>45316</v>
      </c>
      <c r="B607" s="10">
        <v>1285.594360351562</v>
      </c>
      <c r="C607" s="10">
        <v>314.5961608886719</v>
      </c>
      <c r="D607" s="10">
        <v>1144.618408203125</v>
      </c>
      <c r="E607" s="10">
        <v>21352.599609375</v>
      </c>
      <c r="F607" s="10">
        <v>823.5499877929688</v>
      </c>
      <c r="I607" s="15">
        <f>LN(B607/B606)</f>
        <v>-3.826509842268922e-05</v>
      </c>
      <c r="J607" s="15">
        <f>LN(C607/C606)</f>
        <v>0.004122978819467312</v>
      </c>
      <c r="K607" s="15">
        <f>LN(D607/D606)</f>
        <v>-0.030388915998359727</v>
      </c>
      <c r="L607" s="15">
        <f>LN(E607/E606)</f>
        <v>-0.004735247364061254</v>
      </c>
      <c r="M607" s="15">
        <f>LN(F607/F606)</f>
        <v>0.006639700728973445</v>
      </c>
      <c r="O607" s="14">
        <v>45324</v>
      </c>
      <c r="P607" s="15">
        <f>I612</f>
        <v>-0.015787343379905158</v>
      </c>
      <c r="Q607" s="15">
        <f>J612</f>
        <v>0.02571891175262907</v>
      </c>
      <c r="R607" s="15">
        <f>K612</f>
        <v>0.05318679058213882</v>
      </c>
      <c r="S607" s="15">
        <f>L612</f>
        <v>0.007180149098767169</v>
      </c>
      <c r="T607" s="15">
        <f>M612</f>
        <v>0.009446472241257182</v>
      </c>
    </row>
    <row r="608" spans="1:20">
      <c r="A608" s="14">
        <v>45320</v>
      </c>
      <c r="B608" s="10">
        <v>1289.537963867188</v>
      </c>
      <c r="C608" s="10">
        <v>309.5677795410156</v>
      </c>
      <c r="D608" s="10">
        <v>1173.705078125</v>
      </c>
      <c r="E608" s="10">
        <v>21737.599609375</v>
      </c>
      <c r="F608" s="10">
        <v>833.9000244140625</v>
      </c>
      <c r="I608" s="15">
        <f>LN(B608/B607)</f>
        <v>0.0030628380230714783</v>
      </c>
      <c r="J608" s="15">
        <f>LN(C608/C607)</f>
        <v>-0.01611272234880937</v>
      </c>
      <c r="K608" s="15">
        <f>LN(D608/D607)</f>
        <v>0.025094165194732676</v>
      </c>
      <c r="L608" s="15">
        <f>LN(E608/E607)</f>
        <v>0.01786996821930258</v>
      </c>
      <c r="M608" s="15">
        <f>LN(F608/F607)</f>
        <v>0.012489270963674236</v>
      </c>
      <c r="O608" s="14">
        <v>45327</v>
      </c>
      <c r="P608" s="15">
        <f>I613</f>
        <v>0.009602498185246165</v>
      </c>
      <c r="Q608" s="15">
        <f>J613</f>
        <v>0.011085532613679422</v>
      </c>
      <c r="R608" s="15">
        <f>K613</f>
        <v>0.0687239830553665</v>
      </c>
      <c r="S608" s="15">
        <f>L613</f>
        <v>-0.0037639297855089193</v>
      </c>
      <c r="T608" s="15">
        <f>M613</f>
        <v>0.0076209540100477475</v>
      </c>
    </row>
    <row r="609" spans="1:20">
      <c r="A609" s="14">
        <v>45321</v>
      </c>
      <c r="B609" s="10">
        <v>1282.981689453125</v>
      </c>
      <c r="C609" s="10">
        <v>315.5918884277344</v>
      </c>
      <c r="D609" s="10">
        <v>1179.038696289062</v>
      </c>
      <c r="E609" s="10">
        <v>21522.099609375</v>
      </c>
      <c r="F609" s="10">
        <v>837.0999755859375</v>
      </c>
      <c r="I609" s="15">
        <f>LN(B609/B608)</f>
        <v>-0.0050971728053218</v>
      </c>
      <c r="J609" s="15">
        <f>LN(C609/C608)</f>
        <v>0.01927282152483326</v>
      </c>
      <c r="K609" s="15">
        <f>LN(D609/D608)</f>
        <v>0.00453396358661505</v>
      </c>
      <c r="L609" s="15">
        <f>LN(E609/E608)</f>
        <v>-0.009963166019046519</v>
      </c>
      <c r="M609" s="15">
        <f>LN(F609/F608)</f>
        <v>0.003829988131055378</v>
      </c>
      <c r="O609" s="14">
        <v>45328</v>
      </c>
      <c r="P609" s="15">
        <f>I614</f>
        <v>0.015220162729957394</v>
      </c>
      <c r="Q609" s="15">
        <f>J614</f>
        <v>0.0022939465655755953</v>
      </c>
      <c r="R609" s="15">
        <f>K614</f>
        <v>-0.0011115726121243177</v>
      </c>
      <c r="S609" s="15">
        <f>L614</f>
        <v>0.007217294659854949</v>
      </c>
      <c r="T609" s="15">
        <f>M614</f>
        <v>0.004048588526000111</v>
      </c>
    </row>
    <row r="610" spans="1:20">
      <c r="A610" s="14">
        <v>45322</v>
      </c>
      <c r="B610" s="10">
        <v>1305.066040039062</v>
      </c>
      <c r="C610" s="10">
        <v>316.7369689941406</v>
      </c>
      <c r="D610" s="10">
        <v>1208.224975585938</v>
      </c>
      <c r="E610" s="10">
        <v>21725.69921875</v>
      </c>
      <c r="F610" s="10">
        <v>856.2000122070312</v>
      </c>
      <c r="I610" s="15">
        <f>LN(B610/B609)</f>
        <v>0.017066831022036367</v>
      </c>
      <c r="J610" s="15">
        <f>LN(C610/C609)</f>
        <v>0.003621792061742042</v>
      </c>
      <c r="K610" s="15">
        <f>LN(D610/D609)</f>
        <v>0.024452877943717557</v>
      </c>
      <c r="L610" s="15">
        <f>LN(E610/E609)</f>
        <v>0.009415559590485083</v>
      </c>
      <c r="M610" s="15">
        <f>LN(F610/F609)</f>
        <v>0.022560499467103742</v>
      </c>
      <c r="O610" s="14">
        <v>45329</v>
      </c>
      <c r="P610" s="15">
        <f>I615</f>
        <v>-0.0008353928016947556</v>
      </c>
      <c r="Q610" s="15">
        <f>J615</f>
        <v>-0.012451000340786571</v>
      </c>
      <c r="R610" s="15">
        <f>K615</f>
        <v>0.0403467474155033</v>
      </c>
      <c r="S610" s="15">
        <f>L615</f>
        <v>5.014190025218764e-05</v>
      </c>
      <c r="T610" s="15">
        <f>M615</f>
        <v>0.01818858674559747</v>
      </c>
    </row>
    <row r="611" spans="1:20">
      <c r="A611" s="14">
        <v>45323</v>
      </c>
      <c r="B611" s="10">
        <v>1289.192993164062</v>
      </c>
      <c r="C611" s="10">
        <v>313.4013061523438</v>
      </c>
      <c r="D611" s="10">
        <v>1171.68603515625</v>
      </c>
      <c r="E611" s="10">
        <v>21697.44921875</v>
      </c>
      <c r="F611" s="10">
        <v>848.1500244140625</v>
      </c>
      <c r="I611" s="15">
        <f>LN(B611/B610)</f>
        <v>-0.01223720897011315</v>
      </c>
      <c r="J611" s="15">
        <f>LN(C611/C610)</f>
        <v>-0.010587181038605576</v>
      </c>
      <c r="K611" s="15">
        <f>LN(D611/D610)</f>
        <v>-0.03070855306583667</v>
      </c>
      <c r="L611" s="15">
        <f>LN(E611/E610)</f>
        <v>-0.00130114950214822</v>
      </c>
      <c r="M611" s="15">
        <f>LN(F611/F610)</f>
        <v>-0.009446472241257197</v>
      </c>
      <c r="O611" s="14">
        <v>45330</v>
      </c>
      <c r="P611" s="15">
        <f>I616</f>
        <v>0.021754365493154227</v>
      </c>
      <c r="Q611" s="15">
        <f>J616</f>
        <v>0.06032435382462154</v>
      </c>
      <c r="R611" s="15">
        <f>K616</f>
        <v>0.016235426222022425</v>
      </c>
      <c r="S611" s="15">
        <f>L616</f>
        <v>-0.009739290405751649</v>
      </c>
      <c r="T611" s="15">
        <f>M616</f>
        <v>-0.0069389842507858865</v>
      </c>
    </row>
    <row r="612" spans="1:20">
      <c r="A612" s="14">
        <v>45324</v>
      </c>
      <c r="B612" s="10">
        <v>1268.999877929688</v>
      </c>
      <c r="C612" s="10">
        <v>321.5661926269531</v>
      </c>
      <c r="D612" s="10">
        <v>1235.691284179688</v>
      </c>
      <c r="E612" s="10">
        <v>21853.80078125</v>
      </c>
      <c r="F612" s="10">
        <v>856.2000122070312</v>
      </c>
      <c r="I612" s="15">
        <f>LN(B612/B611)</f>
        <v>-0.015787343379905158</v>
      </c>
      <c r="J612" s="15">
        <f>LN(C612/C611)</f>
        <v>0.02571891175262907</v>
      </c>
      <c r="K612" s="15">
        <f>LN(D612/D611)</f>
        <v>0.05318679058213882</v>
      </c>
      <c r="L612" s="15">
        <f>LN(E612/E611)</f>
        <v>0.007180149098767169</v>
      </c>
      <c r="M612" s="15">
        <f>LN(F612/F611)</f>
        <v>0.009446472241257182</v>
      </c>
      <c r="O612" s="14">
        <v>45331</v>
      </c>
      <c r="P612" s="15">
        <f>I617</f>
        <v>-0.0024932260741702254</v>
      </c>
      <c r="Q612" s="15">
        <f>J617</f>
        <v>0.008266339583164082</v>
      </c>
      <c r="R612" s="15">
        <f>K617</f>
        <v>0.0019398553488862212</v>
      </c>
      <c r="S612" s="15">
        <f>L617</f>
        <v>0.0029678235415700974</v>
      </c>
      <c r="T612" s="15">
        <f>M617</f>
        <v>-0.00011412738133111149</v>
      </c>
    </row>
    <row r="613" spans="1:20">
      <c r="A613" s="14">
        <v>45327</v>
      </c>
      <c r="B613" s="10">
        <v>1281.244140625</v>
      </c>
      <c r="C613" s="10">
        <v>325.1507568359375</v>
      </c>
      <c r="D613" s="10">
        <v>1323.598999023438</v>
      </c>
      <c r="E613" s="10">
        <v>21771.69921875</v>
      </c>
      <c r="F613" s="10">
        <v>862.75</v>
      </c>
      <c r="I613" s="15">
        <f>LN(B613/B612)</f>
        <v>0.009602498185246165</v>
      </c>
      <c r="J613" s="15">
        <f>LN(C613/C612)</f>
        <v>0.011085532613679422</v>
      </c>
      <c r="K613" s="15">
        <f>LN(D613/D612)</f>
        <v>0.0687239830553665</v>
      </c>
      <c r="L613" s="15">
        <f>LN(E613/E612)</f>
        <v>-0.0037639297855089193</v>
      </c>
      <c r="M613" s="15">
        <f>LN(F613/F612)</f>
        <v>0.0076209540100477475</v>
      </c>
      <c r="O613" s="14">
        <v>45334</v>
      </c>
      <c r="P613" s="15">
        <f>I618</f>
        <v>-0.007930317579983151</v>
      </c>
      <c r="Q613" s="15">
        <f>J618</f>
        <v>-0.010161340985436612</v>
      </c>
      <c r="R613" s="15">
        <f>K618</f>
        <v>-0.05756107286224479</v>
      </c>
      <c r="S613" s="15">
        <f>L618</f>
        <v>-0.007670764664605448</v>
      </c>
      <c r="T613" s="15">
        <f>M618</f>
        <v>-0.03013148703075685</v>
      </c>
    </row>
    <row r="614" spans="1:20">
      <c r="A614" s="14">
        <v>45328</v>
      </c>
      <c r="B614" s="10">
        <v>1300.89404296875</v>
      </c>
      <c r="C614" s="10">
        <v>325.8974914550781</v>
      </c>
      <c r="D614" s="10">
        <v>1322.128540039062</v>
      </c>
      <c r="E614" s="10">
        <v>21929.400390625</v>
      </c>
      <c r="F614" s="10">
        <v>866.25</v>
      </c>
      <c r="I614" s="15">
        <f>LN(B614/B613)</f>
        <v>0.015220162729957394</v>
      </c>
      <c r="J614" s="15">
        <f>LN(C614/C613)</f>
        <v>0.0022939465655755953</v>
      </c>
      <c r="K614" s="15">
        <f>LN(D614/D613)</f>
        <v>-0.0011115726121243177</v>
      </c>
      <c r="L614" s="15">
        <f>LN(E614/E613)</f>
        <v>0.007217294659854949</v>
      </c>
      <c r="M614" s="15">
        <f>LN(F614/F613)</f>
        <v>0.004048588526000111</v>
      </c>
      <c r="O614" s="14">
        <v>45335</v>
      </c>
      <c r="P614" s="15">
        <f>I619</f>
        <v>-0.009926289792260625</v>
      </c>
      <c r="Q614" s="15">
        <f>J619</f>
        <v>-0.022277208417946365</v>
      </c>
      <c r="R614" s="15">
        <f>K619</f>
        <v>-0.034546675977862776</v>
      </c>
      <c r="S614" s="15">
        <f>L619</f>
        <v>0.005867234081485647</v>
      </c>
      <c r="T614" s="15">
        <f>M619</f>
        <v>0.0005293171498173774</v>
      </c>
    </row>
    <row r="615" spans="1:20">
      <c r="A615" s="14">
        <v>45329</v>
      </c>
      <c r="B615" s="10">
        <v>1299.807739257812</v>
      </c>
      <c r="C615" s="10">
        <v>321.8648986816406</v>
      </c>
      <c r="D615" s="10">
        <v>1376.562866210938</v>
      </c>
      <c r="E615" s="10">
        <v>21930.5</v>
      </c>
      <c r="F615" s="10">
        <v>882.1500244140625</v>
      </c>
      <c r="I615" s="15">
        <f>LN(B615/B614)</f>
        <v>-0.0008353928016947556</v>
      </c>
      <c r="J615" s="15">
        <f>LN(C615/C614)</f>
        <v>-0.012451000340786571</v>
      </c>
      <c r="K615" s="15">
        <f>LN(D615/D614)</f>
        <v>0.0403467474155033</v>
      </c>
      <c r="L615" s="15">
        <f>LN(E615/E614)</f>
        <v>5.014190025218764e-05</v>
      </c>
      <c r="M615" s="15">
        <f>LN(F615/F614)</f>
        <v>0.01818858674559747</v>
      </c>
      <c r="O615" s="14">
        <v>45336</v>
      </c>
      <c r="P615" s="15">
        <f>I620</f>
        <v>0.0024245199627502836</v>
      </c>
      <c r="Q615" s="15">
        <f>J620</f>
        <v>0.01862307867254044</v>
      </c>
      <c r="R615" s="15">
        <f>K620</f>
        <v>0.005579567330967162</v>
      </c>
      <c r="S615" s="15">
        <f>L620</f>
        <v>0.004442111482625561</v>
      </c>
      <c r="T615" s="15">
        <f>M620</f>
        <v>0.012387648691076643</v>
      </c>
    </row>
    <row r="616" spans="1:20">
      <c r="A616" s="14">
        <v>45330</v>
      </c>
      <c r="B616" s="10">
        <v>1328.39404296875</v>
      </c>
      <c r="C616" s="10">
        <v>341.8787841796875</v>
      </c>
      <c r="D616" s="10">
        <v>1399.094360351562</v>
      </c>
      <c r="E616" s="10">
        <v>21717.94921875</v>
      </c>
      <c r="F616" s="10">
        <v>876.0499877929688</v>
      </c>
      <c r="I616" s="15">
        <f>LN(B616/B615)</f>
        <v>0.021754365493154227</v>
      </c>
      <c r="J616" s="15">
        <f>LN(C616/C615)</f>
        <v>0.06032435382462154</v>
      </c>
      <c r="K616" s="15">
        <f>LN(D616/D615)</f>
        <v>0.016235426222022425</v>
      </c>
      <c r="L616" s="15">
        <f>LN(E616/E615)</f>
        <v>-0.009739290405751649</v>
      </c>
      <c r="M616" s="15">
        <f>LN(F616/F615)</f>
        <v>-0.0069389842507858865</v>
      </c>
      <c r="O616" s="14">
        <v>45337</v>
      </c>
      <c r="P616" s="15">
        <f>I621</f>
        <v>-0.009275474478743264</v>
      </c>
      <c r="Q616" s="15">
        <f>J621</f>
        <v>0.011212240173403904</v>
      </c>
      <c r="R616" s="15">
        <f>K621</f>
        <v>0.06205027097834495</v>
      </c>
      <c r="S616" s="15">
        <f>L621</f>
        <v>0.003231907943473083</v>
      </c>
      <c r="T616" s="15">
        <f>M621</f>
        <v>0.009708842208467886</v>
      </c>
    </row>
    <row r="617" spans="1:20">
      <c r="A617" s="14">
        <v>45331</v>
      </c>
      <c r="B617" s="10">
        <v>1325.086181640625</v>
      </c>
      <c r="C617" s="10">
        <v>344.7165832519531</v>
      </c>
      <c r="D617" s="10">
        <v>1401.81103515625</v>
      </c>
      <c r="E617" s="10">
        <v>21782.5</v>
      </c>
      <c r="F617" s="10">
        <v>875.9500122070312</v>
      </c>
      <c r="I617" s="15">
        <f>LN(B617/B616)</f>
        <v>-0.0024932260741702254</v>
      </c>
      <c r="J617" s="15">
        <f>LN(C617/C616)</f>
        <v>0.008266339583164082</v>
      </c>
      <c r="K617" s="15">
        <f>LN(D617/D616)</f>
        <v>0.0019398553488862212</v>
      </c>
      <c r="L617" s="15">
        <f>LN(E617/E616)</f>
        <v>0.0029678235415700974</v>
      </c>
      <c r="M617" s="15">
        <f>LN(F617/F616)</f>
        <v>-0.00011412738133111149</v>
      </c>
      <c r="O617" s="14">
        <v>45338</v>
      </c>
      <c r="P617" s="15">
        <f>I622</f>
        <v>0.00976736035935398</v>
      </c>
      <c r="Q617" s="15">
        <f>J622</f>
        <v>0.025589368560107746</v>
      </c>
      <c r="R617" s="15">
        <f>K622</f>
        <v>-0.004053106382643863</v>
      </c>
      <c r="S617" s="15">
        <f>L622</f>
        <v>0.005913324803860001</v>
      </c>
      <c r="T617" s="15">
        <f>M622</f>
        <v>0.01518205921918438</v>
      </c>
    </row>
    <row r="618" spans="1:20">
      <c r="A618" s="14">
        <v>45334</v>
      </c>
      <c r="B618" s="10">
        <v>1314.619384765625</v>
      </c>
      <c r="C618" s="10">
        <v>341.2315368652344</v>
      </c>
      <c r="D618" s="10">
        <v>1323.399658203125</v>
      </c>
      <c r="E618" s="10">
        <v>21616.05078125</v>
      </c>
      <c r="F618" s="10">
        <v>849.9500122070312</v>
      </c>
      <c r="I618" s="15">
        <f>LN(B618/B617)</f>
        <v>-0.007930317579983151</v>
      </c>
      <c r="J618" s="15">
        <f>LN(C618/C617)</f>
        <v>-0.010161340985436612</v>
      </c>
      <c r="K618" s="15">
        <f>LN(D618/D617)</f>
        <v>-0.05756107286224479</v>
      </c>
      <c r="L618" s="15">
        <f>LN(E618/E617)</f>
        <v>-0.007670764664605448</v>
      </c>
      <c r="M618" s="15">
        <f>LN(F618/F617)</f>
        <v>-0.03013148703075685</v>
      </c>
      <c r="O618" s="14">
        <v>45343</v>
      </c>
      <c r="P618" s="15">
        <f>I625</f>
        <v>0.00900871729793702</v>
      </c>
      <c r="Q618" s="15">
        <f>J625</f>
        <v>-0.016205905088714383</v>
      </c>
      <c r="R618" s="15">
        <f>K625</f>
        <v>0.024290027018826224</v>
      </c>
      <c r="S618" s="15">
        <f>L625</f>
        <v>-0.006413220819374543</v>
      </c>
      <c r="T618" s="15">
        <f>M625</f>
        <v>0.019813680134272323</v>
      </c>
    </row>
    <row r="619" spans="1:20">
      <c r="A619" s="14">
        <v>45335</v>
      </c>
      <c r="B619" s="10">
        <v>1301.634643554688</v>
      </c>
      <c r="C619" s="10">
        <v>333.7138977050781</v>
      </c>
      <c r="D619" s="10">
        <v>1278.461303710938</v>
      </c>
      <c r="E619" s="10">
        <v>21743.25</v>
      </c>
      <c r="F619" s="10">
        <v>850.4000244140625</v>
      </c>
      <c r="I619" s="15">
        <f>LN(B619/B618)</f>
        <v>-0.009926289792260625</v>
      </c>
      <c r="J619" s="15">
        <f>LN(C619/C618)</f>
        <v>-0.022277208417946365</v>
      </c>
      <c r="K619" s="15">
        <f>LN(D619/D618)</f>
        <v>-0.034546675977862776</v>
      </c>
      <c r="L619" s="15">
        <f>LN(E619/E618)</f>
        <v>0.005867234081485647</v>
      </c>
      <c r="M619" s="15">
        <f>LN(F619/F618)</f>
        <v>0.0005293171498173774</v>
      </c>
      <c r="O619" s="14">
        <v>45344</v>
      </c>
      <c r="P619" s="15">
        <f>I626</f>
        <v>0.04208805295093796</v>
      </c>
      <c r="Q619" s="15">
        <f>J626</f>
        <v>-0.00044174134159674703</v>
      </c>
      <c r="R619" s="15">
        <f>K626</f>
        <v>-0.031551020671009775</v>
      </c>
      <c r="S619" s="15">
        <f>L626</f>
        <v>0.007336344949249518</v>
      </c>
      <c r="T619" s="15">
        <f>M626</f>
        <v>0.005401274537923077</v>
      </c>
    </row>
    <row r="620" spans="1:20">
      <c r="A620" s="14">
        <v>45336</v>
      </c>
      <c r="B620" s="10">
        <v>1304.794311523438</v>
      </c>
      <c r="C620" s="10">
        <v>339.9869079589844</v>
      </c>
      <c r="D620" s="10">
        <v>1285.614501953125</v>
      </c>
      <c r="E620" s="10">
        <v>21840.05078125</v>
      </c>
      <c r="F620" s="10">
        <v>861</v>
      </c>
      <c r="I620" s="15">
        <f>LN(B620/B619)</f>
        <v>0.0024245199627502836</v>
      </c>
      <c r="J620" s="15">
        <f>LN(C620/C619)</f>
        <v>0.01862307867254044</v>
      </c>
      <c r="K620" s="15">
        <f>LN(D620/D619)</f>
        <v>0.005579567330967162</v>
      </c>
      <c r="L620" s="15">
        <f>LN(E620/E619)</f>
        <v>0.004442111482625561</v>
      </c>
      <c r="M620" s="15">
        <f>LN(F620/F619)</f>
        <v>0.012387648691076643</v>
      </c>
      <c r="O620" s="14">
        <v>45345</v>
      </c>
      <c r="P620" s="15">
        <f>I627</f>
        <v>-0.008782136366146793</v>
      </c>
      <c r="Q620" s="15">
        <f>J627</f>
        <v>0.03059761038068713</v>
      </c>
      <c r="R620" s="15">
        <f>K627</f>
        <v>0.03645928076022105</v>
      </c>
      <c r="S620" s="15">
        <f>L627</f>
        <v>-0.000213818777795819</v>
      </c>
      <c r="T620" s="15">
        <f>M627</f>
        <v>0.0099541135452716</v>
      </c>
    </row>
    <row r="621" spans="1:20">
      <c r="A621" s="14">
        <v>45337</v>
      </c>
      <c r="B621" s="10">
        <v>1292.747680664062</v>
      </c>
      <c r="C621" s="10">
        <v>343.8203735351562</v>
      </c>
      <c r="D621" s="10">
        <v>1367.914184570312</v>
      </c>
      <c r="E621" s="10">
        <v>21910.75</v>
      </c>
      <c r="F621" s="10">
        <v>869.4000244140625</v>
      </c>
      <c r="I621" s="15">
        <f>LN(B621/B620)</f>
        <v>-0.009275474478743264</v>
      </c>
      <c r="J621" s="15">
        <f>LN(C621/C620)</f>
        <v>0.011212240173403904</v>
      </c>
      <c r="K621" s="15">
        <f>LN(D621/D620)</f>
        <v>0.06205027097834495</v>
      </c>
      <c r="L621" s="15">
        <f>LN(E621/E620)</f>
        <v>0.003231907943473083</v>
      </c>
      <c r="M621" s="15">
        <f>LN(F621/F620)</f>
        <v>0.009708842208467886</v>
      </c>
      <c r="O621" s="14">
        <v>45348</v>
      </c>
      <c r="P621" s="15">
        <f>I628</f>
        <v>0.006602857075776921</v>
      </c>
      <c r="Q621" s="15">
        <f>J628</f>
        <v>0.011925194733263143</v>
      </c>
      <c r="R621" s="15">
        <f>K628</f>
        <v>-0.015896690745310464</v>
      </c>
      <c r="S621" s="15">
        <f>L628</f>
        <v>-0.004089278221713085</v>
      </c>
      <c r="T621" s="15">
        <f>M628</f>
        <v>0.0006528215170171055</v>
      </c>
    </row>
    <row r="622" spans="1:20">
      <c r="A622" s="14">
        <v>45338</v>
      </c>
      <c r="B622" s="10">
        <v>1305.436279296875</v>
      </c>
      <c r="C622" s="10">
        <v>352.7320556640625</v>
      </c>
      <c r="D622" s="10">
        <v>1362.381103515625</v>
      </c>
      <c r="E622" s="10">
        <v>22040.69921875</v>
      </c>
      <c r="F622" s="10">
        <v>882.7000122070312</v>
      </c>
      <c r="I622" s="15">
        <f>LN(B622/B621)</f>
        <v>0.00976736035935398</v>
      </c>
      <c r="J622" s="15">
        <f>LN(C622/C621)</f>
        <v>0.025589368560107746</v>
      </c>
      <c r="K622" s="15">
        <f>LN(D622/D621)</f>
        <v>-0.004053106382643863</v>
      </c>
      <c r="L622" s="15">
        <f>LN(E622/E621)</f>
        <v>0.005913324803860001</v>
      </c>
      <c r="M622" s="15">
        <f>LN(F622/F621)</f>
        <v>0.01518205921918438</v>
      </c>
      <c r="O622" s="14">
        <v>45349</v>
      </c>
      <c r="P622" s="15">
        <f>I629</f>
        <v>0.007173456997907149</v>
      </c>
      <c r="Q622" s="15">
        <f>J629</f>
        <v>-0.015358665091943828</v>
      </c>
      <c r="R622" s="15">
        <f>K629</f>
        <v>-0.012718028585400689</v>
      </c>
      <c r="S622" s="15">
        <f>L629</f>
        <v>0.003443060208267885</v>
      </c>
      <c r="T622" s="15">
        <f>M629</f>
        <v>0.010603343951291177</v>
      </c>
    </row>
    <row r="623" spans="1:20">
      <c r="A623" s="14">
        <v>45341</v>
      </c>
      <c r="B623" s="10">
        <v>1283.16943359375</v>
      </c>
      <c r="C623" s="10">
        <v>344.666748046875</v>
      </c>
      <c r="D623" s="10">
        <v>1388.626220703125</v>
      </c>
      <c r="E623" s="10">
        <v>22122.25</v>
      </c>
      <c r="I623" s="15">
        <f>LN(B623/B622)</f>
        <v>-0.017204161149103458</v>
      </c>
      <c r="J623" s="15">
        <f>LN(C623/C622)</f>
        <v>-0.023130717086329432</v>
      </c>
      <c r="K623" s="15">
        <f>LN(D623/D622)</f>
        <v>0.019080947719824045</v>
      </c>
      <c r="L623" s="15">
        <f>LN(E623/E622)</f>
        <v>0.0036931806134258504</v>
      </c>
      <c r="O623" s="14">
        <v>45350</v>
      </c>
      <c r="P623" s="15">
        <f>I630</f>
        <v>-0.03849180833453386</v>
      </c>
      <c r="Q623" s="15">
        <f>J630</f>
        <v>-0.026869654192538762</v>
      </c>
      <c r="R623" s="15">
        <f>K630</f>
        <v>-0.015733203650350636</v>
      </c>
      <c r="S623" s="15">
        <f>L630</f>
        <v>-0.011198396451173726</v>
      </c>
      <c r="T623" s="15">
        <f>M630</f>
        <v>-0.02137521803717778</v>
      </c>
    </row>
    <row r="624" spans="1:20">
      <c r="A624" s="14">
        <v>45342</v>
      </c>
      <c r="B624" s="10">
        <v>1293.043823242188</v>
      </c>
      <c r="C624" s="10">
        <v>343.7706298828125</v>
      </c>
      <c r="D624" s="10">
        <v>1409.0390625</v>
      </c>
      <c r="E624" s="10">
        <v>22196.94921875</v>
      </c>
      <c r="F624" s="10">
        <v>887</v>
      </c>
      <c r="I624" s="15">
        <f>LN(B624/B623)</f>
        <v>0.0076658545080965125</v>
      </c>
      <c r="J624" s="15">
        <f>LN(C624/C623)</f>
        <v>-0.002603341128480783</v>
      </c>
      <c r="K624" s="15">
        <f>LN(D624/D623)</f>
        <v>0.014593028102425864</v>
      </c>
      <c r="L624" s="15">
        <f>LN(E624/E623)</f>
        <v>0.003370967472487328</v>
      </c>
      <c r="O624" s="14">
        <v>45351</v>
      </c>
      <c r="P624" s="15">
        <f>I631</f>
        <v>0.008591749429322133</v>
      </c>
      <c r="Q624" s="15">
        <f>J631</f>
        <v>0.03001751753192601</v>
      </c>
      <c r="R624" s="15">
        <f>K631</f>
        <v>-0.008458356350370016</v>
      </c>
      <c r="S624" s="15">
        <f>L631</f>
        <v>0.0014408171929075416</v>
      </c>
      <c r="T624" s="15">
        <f>M631</f>
        <v>0.0011538011774343741</v>
      </c>
    </row>
    <row r="625" spans="1:20">
      <c r="A625" s="14">
        <v>45343</v>
      </c>
      <c r="B625" s="10">
        <v>1304.7451171875</v>
      </c>
      <c r="C625" s="10">
        <v>338.2444152832031</v>
      </c>
      <c r="D625" s="10">
        <v>1443.683715820312</v>
      </c>
      <c r="E625" s="10">
        <v>22055.05078125</v>
      </c>
      <c r="F625" s="10">
        <v>904.75</v>
      </c>
      <c r="I625" s="15">
        <f>LN(B625/B624)</f>
        <v>0.00900871729793702</v>
      </c>
      <c r="J625" s="15">
        <f>LN(C625/C624)</f>
        <v>-0.016205905088714383</v>
      </c>
      <c r="K625" s="15">
        <f>LN(D625/D624)</f>
        <v>0.024290027018826224</v>
      </c>
      <c r="L625" s="15">
        <f>LN(E625/E624)</f>
        <v>-0.006413220819374543</v>
      </c>
      <c r="M625" s="15">
        <f>LN(F625/F624)</f>
        <v>0.019813680134272323</v>
      </c>
      <c r="O625" s="14">
        <v>45352</v>
      </c>
      <c r="P625" s="15">
        <f>I632</f>
        <v>0.01769628894432346</v>
      </c>
      <c r="Q625" s="15">
        <f>J632</f>
        <v>0.01319820722624506</v>
      </c>
      <c r="R625" s="15">
        <f>K632</f>
        <v>-0.006942458140570567</v>
      </c>
      <c r="S625" s="15">
        <f>L632</f>
        <v>0.0160624736924449</v>
      </c>
      <c r="T625" s="15">
        <f>M632</f>
        <v>0.007167691808348729</v>
      </c>
    </row>
    <row r="626" spans="1:20">
      <c r="A626" s="14">
        <v>45344</v>
      </c>
      <c r="B626" s="10">
        <v>1360.831298828125</v>
      </c>
      <c r="C626" s="10">
        <v>338.0950317382812</v>
      </c>
      <c r="D626" s="10">
        <v>1398.845092773438</v>
      </c>
      <c r="E626" s="10">
        <v>22217.44921875</v>
      </c>
      <c r="F626" s="10">
        <v>909.6500244140624</v>
      </c>
      <c r="I626" s="15">
        <f>LN(B626/B625)</f>
        <v>0.04208805295093796</v>
      </c>
      <c r="J626" s="15">
        <f>LN(C626/C625)</f>
        <v>-0.00044174134159674703</v>
      </c>
      <c r="K626" s="15">
        <f>LN(D626/D625)</f>
        <v>-0.031551020671009775</v>
      </c>
      <c r="L626" s="15">
        <f>LN(E626/E625)</f>
        <v>0.007336344949249518</v>
      </c>
      <c r="M626" s="15">
        <f>LN(F626/F625)</f>
        <v>0.005401274537923077</v>
      </c>
      <c r="O626" s="14">
        <v>45355</v>
      </c>
      <c r="P626" s="15">
        <f>I633</f>
        <v>0.013394448272524057</v>
      </c>
      <c r="Q626" s="15">
        <f>J633</f>
        <v>0.009820456887742806</v>
      </c>
      <c r="R626" s="15">
        <f>K633</f>
        <v>-0.014623523330374885</v>
      </c>
      <c r="S626" s="15">
        <f>L633</f>
        <v>0.0029880715530739466</v>
      </c>
      <c r="T626" s="15">
        <f>M633</f>
        <v>0.011222406890656561</v>
      </c>
    </row>
    <row r="627" spans="1:20">
      <c r="A627" s="14">
        <v>45345</v>
      </c>
      <c r="B627" s="10">
        <v>1348.9326171875</v>
      </c>
      <c r="C627" s="10">
        <v>348.5998229980469</v>
      </c>
      <c r="D627" s="10">
        <v>1450.787109375</v>
      </c>
      <c r="E627" s="10">
        <v>22212.69921875</v>
      </c>
      <c r="F627" s="10">
        <v>918.75</v>
      </c>
      <c r="I627" s="15">
        <f>LN(B627/B626)</f>
        <v>-0.008782136366146793</v>
      </c>
      <c r="J627" s="15">
        <f>LN(C627/C626)</f>
        <v>0.03059761038068713</v>
      </c>
      <c r="K627" s="15">
        <f>LN(D627/D626)</f>
        <v>0.03645928076022105</v>
      </c>
      <c r="L627" s="15">
        <f>LN(E627/E626)</f>
        <v>-0.000213818777795819</v>
      </c>
      <c r="M627" s="15">
        <f>LN(F627/F626)</f>
        <v>0.0099541135452716</v>
      </c>
      <c r="O627" s="14">
        <v>45356</v>
      </c>
      <c r="P627" s="15">
        <f>I634</f>
        <v>-0.007564538641781354</v>
      </c>
      <c r="Q627" s="15">
        <f>J634</f>
        <v>-0.01151382358313492</v>
      </c>
      <c r="R627" s="15">
        <f>K634</f>
        <v>0.0190998294021667</v>
      </c>
      <c r="S627" s="15">
        <f>L634</f>
        <v>-0.0022027147028049303</v>
      </c>
      <c r="T627" s="15">
        <f>M634</f>
        <v>0.003121935357229439</v>
      </c>
    </row>
    <row r="628" spans="1:20">
      <c r="A628" s="14">
        <v>45348</v>
      </c>
      <c r="B628" s="10">
        <v>1357.868896484375</v>
      </c>
      <c r="C628" s="10">
        <v>352.7818298339844</v>
      </c>
      <c r="D628" s="10">
        <v>1427.90673828125</v>
      </c>
      <c r="E628" s="10">
        <v>22122.05078125</v>
      </c>
      <c r="F628" s="10">
        <v>919.3499755859376</v>
      </c>
      <c r="I628" s="15">
        <f>LN(B628/B627)</f>
        <v>0.006602857075776921</v>
      </c>
      <c r="J628" s="15">
        <f>LN(C628/C627)</f>
        <v>0.011925194733263143</v>
      </c>
      <c r="K628" s="15">
        <f>LN(D628/D627)</f>
        <v>-0.015896690745310464</v>
      </c>
      <c r="L628" s="15">
        <f>LN(E628/E627)</f>
        <v>-0.004089278221713085</v>
      </c>
      <c r="M628" s="15">
        <f>LN(F628/F627)</f>
        <v>0.0006528215170171055</v>
      </c>
      <c r="O628" s="14">
        <v>45357</v>
      </c>
      <c r="P628" s="15">
        <f>I635</f>
        <v>-0.01615156861559598</v>
      </c>
      <c r="Q628" s="15">
        <f>J635</f>
        <v>-0.01551289463462654</v>
      </c>
      <c r="R628" s="15">
        <f>K635</f>
        <v>-0.017066280636278287</v>
      </c>
      <c r="S628" s="15">
        <f>L635</f>
        <v>0.0052531495595052715</v>
      </c>
      <c r="T628" s="15">
        <f>M635</f>
        <v>-0.01352688121437265</v>
      </c>
    </row>
    <row r="629" spans="1:20">
      <c r="A629" s="14">
        <v>45349</v>
      </c>
      <c r="B629" s="10">
        <v>1367.64453125</v>
      </c>
      <c r="C629" s="10">
        <v>347.4049682617188</v>
      </c>
      <c r="D629" s="10">
        <v>1409.861572265625</v>
      </c>
      <c r="E629" s="10">
        <v>22198.349609375</v>
      </c>
      <c r="F629" s="10">
        <v>929.1500244140624</v>
      </c>
      <c r="I629" s="15">
        <f>LN(B629/B628)</f>
        <v>0.007173456997907149</v>
      </c>
      <c r="J629" s="15">
        <f>LN(C629/C628)</f>
        <v>-0.015358665091943828</v>
      </c>
      <c r="K629" s="15">
        <f>LN(D629/D628)</f>
        <v>-0.012718028585400689</v>
      </c>
      <c r="L629" s="15">
        <f>LN(E629/E628)</f>
        <v>0.003443060208267885</v>
      </c>
      <c r="M629" s="15">
        <f>LN(F629/F628)</f>
        <v>0.010603343951291177</v>
      </c>
      <c r="O629" s="14">
        <v>45358</v>
      </c>
      <c r="P629" s="15">
        <f>I636</f>
        <v>0.016987056000008625</v>
      </c>
      <c r="Q629" s="15">
        <f>J636</f>
        <v>-0.0033042990272159557</v>
      </c>
      <c r="R629" s="15">
        <f>K636</f>
        <v>0.02720027824082361</v>
      </c>
      <c r="S629" s="15">
        <f>L636</f>
        <v>0.0008672911404987264</v>
      </c>
      <c r="T629" s="15">
        <f>M636</f>
        <v>-0.0014718846977136673</v>
      </c>
    </row>
    <row r="630" spans="1:20">
      <c r="A630" s="14">
        <v>45350</v>
      </c>
      <c r="B630" s="10">
        <v>1316.001708984375</v>
      </c>
      <c r="C630" s="10">
        <v>338.1946105957031</v>
      </c>
      <c r="D630" s="10">
        <v>1387.853515625</v>
      </c>
      <c r="E630" s="10">
        <v>21951.150390625</v>
      </c>
      <c r="F630" s="10">
        <v>909.5</v>
      </c>
      <c r="I630" s="15">
        <f>LN(B630/B629)</f>
        <v>-0.03849180833453386</v>
      </c>
      <c r="J630" s="15">
        <f>LN(C630/C629)</f>
        <v>-0.026869654192538762</v>
      </c>
      <c r="K630" s="15">
        <f>LN(D630/D629)</f>
        <v>-0.015733203650350636</v>
      </c>
      <c r="L630" s="15">
        <f>LN(E630/E629)</f>
        <v>-0.011198396451173726</v>
      </c>
      <c r="M630" s="15">
        <f>LN(F630/F629)</f>
        <v>-0.02137521803717778</v>
      </c>
      <c r="O630" s="14">
        <v>45362</v>
      </c>
      <c r="P630" s="15">
        <f>I637</f>
        <v>-0.013375155989175927</v>
      </c>
      <c r="Q630" s="15">
        <f>J637</f>
        <v>-0.03217126412007401</v>
      </c>
      <c r="R630" s="15">
        <f>K637</f>
        <v>-0.005424573058439049</v>
      </c>
      <c r="S630" s="15">
        <f>L637</f>
        <v>-0.007178885448103384</v>
      </c>
      <c r="T630" s="15">
        <f>M637</f>
        <v>-0.01091589487331209</v>
      </c>
    </row>
    <row r="631" spans="1:20">
      <c r="A631" s="14">
        <v>45351</v>
      </c>
      <c r="B631" s="10">
        <v>1327.357177734375</v>
      </c>
      <c r="C631" s="10">
        <v>348.5002746582031</v>
      </c>
      <c r="D631" s="10">
        <v>1376.1640625</v>
      </c>
      <c r="E631" s="10">
        <v>21982.80078125</v>
      </c>
      <c r="F631" s="10">
        <v>910.5499877929688</v>
      </c>
      <c r="I631" s="15">
        <f>LN(B631/B630)</f>
        <v>0.008591749429322133</v>
      </c>
      <c r="J631" s="15">
        <f>LN(C631/C630)</f>
        <v>0.03001751753192601</v>
      </c>
      <c r="K631" s="15">
        <f>LN(D631/D630)</f>
        <v>-0.008458356350370016</v>
      </c>
      <c r="L631" s="15">
        <f>LN(E631/E630)</f>
        <v>0.0014408171929075416</v>
      </c>
      <c r="M631" s="15">
        <f>LN(F631/F630)</f>
        <v>0.0011538011774343741</v>
      </c>
      <c r="O631" s="14">
        <v>45363</v>
      </c>
      <c r="P631" s="15">
        <f>I638</f>
        <v>-0.025108498079896423</v>
      </c>
      <c r="Q631" s="15">
        <f>J638</f>
        <v>-0.05341521404079718</v>
      </c>
      <c r="R631" s="15">
        <f>K638</f>
        <v>0.013872185064245089</v>
      </c>
      <c r="S631" s="15">
        <f>L638</f>
        <v>0.00013650954899359894</v>
      </c>
      <c r="T631" s="15">
        <f>M638</f>
        <v>-0.03782514269623282</v>
      </c>
    </row>
    <row r="632" spans="1:20">
      <c r="A632" s="14">
        <v>45352</v>
      </c>
      <c r="B632" s="10">
        <v>1351.055541992188</v>
      </c>
      <c r="C632" s="10">
        <v>353.1303405761719</v>
      </c>
      <c r="D632" s="10">
        <v>1366.643188476562</v>
      </c>
      <c r="E632" s="10">
        <v>22338.75</v>
      </c>
      <c r="F632" s="10">
        <v>917.0999755859376</v>
      </c>
      <c r="I632" s="15">
        <f>LN(B632/B631)</f>
        <v>0.01769628894432346</v>
      </c>
      <c r="J632" s="15">
        <f>LN(C632/C631)</f>
        <v>0.01319820722624506</v>
      </c>
      <c r="K632" s="15">
        <f>LN(D632/D631)</f>
        <v>-0.006942458140570567</v>
      </c>
      <c r="L632" s="15">
        <f>LN(E632/E631)</f>
        <v>0.0160624736924449</v>
      </c>
      <c r="M632" s="15">
        <f>LN(F632/F631)</f>
        <v>0.007167691808348729</v>
      </c>
      <c r="O632" s="14">
        <v>45364</v>
      </c>
      <c r="P632" s="15">
        <f>I639</f>
        <v>-0.019465398268659017</v>
      </c>
      <c r="Q632" s="15">
        <f>J639</f>
        <v>-0.10712142379139786</v>
      </c>
      <c r="R632" s="15">
        <f>K639</f>
        <v>-0.08015424265478976</v>
      </c>
      <c r="S632" s="15">
        <f>L639</f>
        <v>-0.015248393356596964</v>
      </c>
      <c r="T632" s="15">
        <f>M639</f>
        <v>-0.05462111244913587</v>
      </c>
    </row>
    <row r="633" spans="1:20">
      <c r="A633" s="14">
        <v>45355</v>
      </c>
      <c r="B633" s="10">
        <v>1369.27392578125</v>
      </c>
      <c r="C633" s="10">
        <v>356.6153259277344</v>
      </c>
      <c r="D633" s="10">
        <v>1346.803466796875</v>
      </c>
      <c r="E633" s="10">
        <v>22405.599609375</v>
      </c>
      <c r="F633" s="10">
        <v>927.4500122070312</v>
      </c>
      <c r="I633" s="15">
        <f>LN(B633/B632)</f>
        <v>0.013394448272524057</v>
      </c>
      <c r="J633" s="15">
        <f>LN(C633/C632)</f>
        <v>0.009820456887742806</v>
      </c>
      <c r="K633" s="15">
        <f>LN(D633/D632)</f>
        <v>-0.014623523330374885</v>
      </c>
      <c r="L633" s="15">
        <f>LN(E633/E632)</f>
        <v>0.0029880715530739466</v>
      </c>
      <c r="M633" s="15">
        <f>LN(F633/F632)</f>
        <v>0.011222406890656561</v>
      </c>
      <c r="O633" s="14">
        <v>45365</v>
      </c>
      <c r="P633" s="15">
        <f>I640</f>
        <v>0.019616209129136163</v>
      </c>
      <c r="Q633" s="15">
        <f>J640</f>
        <v>0.037501176204247436</v>
      </c>
      <c r="R633" s="15">
        <f>K640</f>
        <v>0.02192490190934886</v>
      </c>
      <c r="S633" s="15">
        <f>L640</f>
        <v>0.006748394232673185</v>
      </c>
      <c r="T633" s="15">
        <f>M640</f>
        <v>0.0060914971752176125</v>
      </c>
    </row>
    <row r="634" spans="1:20">
      <c r="A634" s="14">
        <v>45356</v>
      </c>
      <c r="B634" s="10">
        <v>1358.955078125</v>
      </c>
      <c r="C634" s="10">
        <v>352.5328674316406</v>
      </c>
      <c r="D634" s="10">
        <v>1372.7744140625</v>
      </c>
      <c r="E634" s="10">
        <v>22356.30078125</v>
      </c>
      <c r="F634" s="10">
        <v>930.3499755859376</v>
      </c>
      <c r="I634" s="15">
        <f>LN(B634/B633)</f>
        <v>-0.007564538641781354</v>
      </c>
      <c r="J634" s="15">
        <f>LN(C634/C633)</f>
        <v>-0.01151382358313492</v>
      </c>
      <c r="K634" s="15">
        <f>LN(D634/D633)</f>
        <v>0.0190998294021667</v>
      </c>
      <c r="L634" s="15">
        <f>LN(E634/E633)</f>
        <v>-0.0022027147028049303</v>
      </c>
      <c r="M634" s="15">
        <f>LN(F634/F633)</f>
        <v>0.003121935357229439</v>
      </c>
      <c r="O634" s="14">
        <v>45366</v>
      </c>
      <c r="P634" s="15">
        <f>I641</f>
        <v>7.563003153715976e-05</v>
      </c>
      <c r="Q634" s="15">
        <f>J641</f>
        <v>0.004360344947979442</v>
      </c>
      <c r="R634" s="15">
        <f>K641</f>
        <v>0.029116441522195776</v>
      </c>
      <c r="S634" s="15">
        <f>L641</f>
        <v>-0.005583024746448362</v>
      </c>
      <c r="T634" s="15">
        <f>M641</f>
        <v>-0.0016849776732833423</v>
      </c>
    </row>
    <row r="635" spans="1:20">
      <c r="A635" s="14">
        <v>45357</v>
      </c>
      <c r="B635" s="10">
        <v>1337.18212890625</v>
      </c>
      <c r="C635" s="10">
        <v>347.1062622070312</v>
      </c>
      <c r="D635" s="10">
        <v>1349.545043945312</v>
      </c>
      <c r="E635" s="10">
        <v>22474.05078125</v>
      </c>
      <c r="F635" s="10">
        <v>917.8499755859376</v>
      </c>
      <c r="I635" s="15">
        <f>LN(B635/B634)</f>
        <v>-0.01615156861559598</v>
      </c>
      <c r="J635" s="15">
        <f>LN(C635/C634)</f>
        <v>-0.01551289463462654</v>
      </c>
      <c r="K635" s="15">
        <f>LN(D635/D634)</f>
        <v>-0.017066280636278287</v>
      </c>
      <c r="L635" s="15">
        <f>LN(E635/E634)</f>
        <v>0.0052531495595052715</v>
      </c>
      <c r="M635" s="15">
        <f>LN(F635/F634)</f>
        <v>-0.01352688121437265</v>
      </c>
      <c r="O635" s="14">
        <v>45369</v>
      </c>
      <c r="P635" s="15">
        <f>I642</f>
        <v>0.01619907660733688</v>
      </c>
      <c r="Q635" s="15">
        <f>J642</f>
        <v>-0.009077167020345263</v>
      </c>
      <c r="R635" s="15">
        <f>K642</f>
        <v>-0.03385024698526174</v>
      </c>
      <c r="S635" s="15">
        <f>L642</f>
        <v>0.001467800056624233</v>
      </c>
      <c r="T635" s="15">
        <f>M642</f>
        <v>0.00468690120120056</v>
      </c>
    </row>
    <row r="636" spans="1:20">
      <c r="A636" s="14">
        <v>45358</v>
      </c>
      <c r="B636" s="10">
        <v>1360.090942382812</v>
      </c>
      <c r="C636" s="10">
        <v>345.9612121582031</v>
      </c>
      <c r="D636" s="10">
        <v>1386.7568359375</v>
      </c>
      <c r="E636" s="10">
        <v>22493.55078125</v>
      </c>
      <c r="F636" s="10">
        <v>916.5</v>
      </c>
      <c r="I636" s="15">
        <f>LN(B636/B635)</f>
        <v>0.016987056000008625</v>
      </c>
      <c r="J636" s="15">
        <f>LN(C636/C635)</f>
        <v>-0.0033042990272159557</v>
      </c>
      <c r="K636" s="15">
        <f>LN(D636/D635)</f>
        <v>0.02720027824082361</v>
      </c>
      <c r="L636" s="15">
        <f>LN(E636/E635)</f>
        <v>0.0008672911404987264</v>
      </c>
      <c r="M636" s="15">
        <f>LN(F636/F635)</f>
        <v>-0.0014718846977136673</v>
      </c>
      <c r="O636" s="14">
        <v>45370</v>
      </c>
      <c r="P636" s="15">
        <f>I643</f>
        <v>0.009712664213386008</v>
      </c>
      <c r="Q636" s="15">
        <f>J643</f>
        <v>-0.024097708104321297</v>
      </c>
      <c r="R636" s="15">
        <f>K643</f>
        <v>-0.00020889784985090188</v>
      </c>
      <c r="S636" s="15">
        <f>L643</f>
        <v>-0.010860963960358783</v>
      </c>
      <c r="T636" s="15">
        <f>M643</f>
        <v>-0.005831942681133363</v>
      </c>
    </row>
    <row r="637" spans="1:20">
      <c r="A637" s="14">
        <v>45362</v>
      </c>
      <c r="B637" s="10">
        <v>1342.020629882812</v>
      </c>
      <c r="C637" s="10">
        <v>335.0083312988281</v>
      </c>
      <c r="D637" s="10">
        <v>1379.254638671875</v>
      </c>
      <c r="E637" s="10">
        <v>22332.650390625</v>
      </c>
      <c r="F637" s="10">
        <v>906.5499877929688</v>
      </c>
      <c r="I637" s="15">
        <f>LN(B637/B636)</f>
        <v>-0.013375155989175927</v>
      </c>
      <c r="J637" s="15">
        <f>LN(C637/C636)</f>
        <v>-0.03217126412007401</v>
      </c>
      <c r="K637" s="15">
        <f>LN(D637/D636)</f>
        <v>-0.005424573058439049</v>
      </c>
      <c r="L637" s="15">
        <f>LN(E637/E636)</f>
        <v>-0.007178885448103384</v>
      </c>
      <c r="M637" s="15">
        <f>LN(F637/F636)</f>
        <v>-0.01091589487331209</v>
      </c>
      <c r="O637" s="14">
        <v>45371</v>
      </c>
      <c r="P637" s="15">
        <f>I644</f>
        <v>0.016980882322202972</v>
      </c>
      <c r="Q637" s="15">
        <f>J644</f>
        <v>0.001901064526407743</v>
      </c>
      <c r="R637" s="15">
        <f>K644</f>
        <v>-0.027073684533946298</v>
      </c>
      <c r="S637" s="15">
        <f>L644</f>
        <v>0.0009918508439663014</v>
      </c>
      <c r="T637" s="15">
        <f>M644</f>
        <v>0.006191554048654733</v>
      </c>
    </row>
    <row r="638" spans="1:20">
      <c r="A638" s="14">
        <v>45363</v>
      </c>
      <c r="B638" s="10">
        <v>1308.744018554688</v>
      </c>
      <c r="C638" s="10">
        <v>317.5833129882812</v>
      </c>
      <c r="D638" s="10">
        <v>1398.521240234375</v>
      </c>
      <c r="E638" s="10">
        <v>22335.69921875</v>
      </c>
      <c r="F638" s="10">
        <v>872.9000244140625</v>
      </c>
      <c r="I638" s="15">
        <f>LN(B638/B637)</f>
        <v>-0.025108498079896423</v>
      </c>
      <c r="J638" s="15">
        <f>LN(C638/C637)</f>
        <v>-0.05341521404079718</v>
      </c>
      <c r="K638" s="15">
        <f>LN(D638/D637)</f>
        <v>0.013872185064245089</v>
      </c>
      <c r="L638" s="15">
        <f>LN(E638/E637)</f>
        <v>0.00013650954899359894</v>
      </c>
      <c r="M638" s="15">
        <f>LN(F638/F637)</f>
        <v>-0.03782514269623282</v>
      </c>
      <c r="O638" s="14">
        <v>45372</v>
      </c>
      <c r="P638" s="15">
        <f>I645</f>
        <v>0.029163044737748323</v>
      </c>
      <c r="Q638" s="15">
        <f>J645</f>
        <v>0.059974440983593925</v>
      </c>
      <c r="R638" s="15">
        <f>K645</f>
        <v>-0.0020891980169109904</v>
      </c>
      <c r="S638" s="15">
        <f>L645</f>
        <v>0.007883528864675105</v>
      </c>
      <c r="T638" s="15">
        <f>M645</f>
        <v>0.029581550417423743</v>
      </c>
    </row>
    <row r="639" spans="1:20">
      <c r="A639" s="14">
        <v>45364</v>
      </c>
      <c r="B639" s="10">
        <v>1283.51513671875</v>
      </c>
      <c r="C639" s="10">
        <v>285.3221130371094</v>
      </c>
      <c r="D639" s="10">
        <v>1290.798706054688</v>
      </c>
      <c r="E639" s="10">
        <v>21997.69921875</v>
      </c>
      <c r="F639" s="10">
        <v>826.5</v>
      </c>
      <c r="I639" s="15">
        <f>LN(B639/B638)</f>
        <v>-0.019465398268659017</v>
      </c>
      <c r="J639" s="15">
        <f>LN(C639/C638)</f>
        <v>-0.10712142379139786</v>
      </c>
      <c r="K639" s="15">
        <f>LN(D639/D638)</f>
        <v>-0.08015424265478976</v>
      </c>
      <c r="L639" s="15">
        <f>LN(E639/E638)</f>
        <v>-0.015248393356596964</v>
      </c>
      <c r="M639" s="15">
        <f>LN(F639/F638)</f>
        <v>-0.05462111244913587</v>
      </c>
      <c r="O639" s="14">
        <v>45373</v>
      </c>
      <c r="P639" s="15">
        <f>I646</f>
        <v>0.015392498165388737</v>
      </c>
      <c r="Q639" s="15">
        <f>J646</f>
        <v>-0.0157329286113621</v>
      </c>
      <c r="R639" s="15">
        <f>K646</f>
        <v>-0.004034470895659286</v>
      </c>
      <c r="S639" s="15">
        <f>L646</f>
        <v>0.0038450866714008036</v>
      </c>
      <c r="T639" s="15">
        <f>M646</f>
        <v>0.017417794709497912</v>
      </c>
    </row>
    <row r="640" spans="1:20">
      <c r="A640" s="14">
        <v>45365</v>
      </c>
      <c r="B640" s="10">
        <v>1308.94140625</v>
      </c>
      <c r="C640" s="10">
        <v>296.2251892089844</v>
      </c>
      <c r="D640" s="10">
        <v>1319.411865234375</v>
      </c>
      <c r="E640" s="10">
        <v>22146.650390625</v>
      </c>
      <c r="F640" s="10">
        <v>831.5499877929688</v>
      </c>
      <c r="I640" s="15">
        <f>LN(B640/B639)</f>
        <v>0.019616209129136163</v>
      </c>
      <c r="J640" s="15">
        <f>LN(C640/C639)</f>
        <v>0.037501176204247436</v>
      </c>
      <c r="K640" s="15">
        <f>LN(D640/D639)</f>
        <v>0.02192490190934886</v>
      </c>
      <c r="L640" s="15">
        <f>LN(E640/E639)</f>
        <v>0.006748394232673185</v>
      </c>
      <c r="M640" s="15">
        <f>LN(F640/F639)</f>
        <v>0.0060914971752176125</v>
      </c>
      <c r="O640" s="14">
        <v>45377</v>
      </c>
      <c r="P640" s="15">
        <f>I647</f>
        <v>0.03277075497184452</v>
      </c>
      <c r="Q640" s="15">
        <f>J647</f>
        <v>-0.004801730903508078</v>
      </c>
      <c r="R640" s="15">
        <f>K647</f>
        <v>0.05898402594932413</v>
      </c>
      <c r="S640" s="15">
        <f>L647</f>
        <v>-0.004174507484794188</v>
      </c>
      <c r="T640" s="15">
        <f>M647</f>
        <v>0.015544662142906394</v>
      </c>
    </row>
    <row r="641" spans="1:20">
      <c r="A641" s="14">
        <v>45366</v>
      </c>
      <c r="B641" s="10">
        <v>1309.040405273438</v>
      </c>
      <c r="C641" s="10">
        <v>297.5196533203125</v>
      </c>
      <c r="D641" s="10">
        <v>1358.393188476562</v>
      </c>
      <c r="E641" s="10">
        <v>22023.349609375</v>
      </c>
      <c r="F641" s="10">
        <v>830.1500244140625</v>
      </c>
      <c r="I641" s="15">
        <f>LN(B641/B640)</f>
        <v>7.563003153715976e-05</v>
      </c>
      <c r="J641" s="15">
        <f>LN(C641/C640)</f>
        <v>0.004360344947979442</v>
      </c>
      <c r="K641" s="15">
        <f>LN(D641/D640)</f>
        <v>0.029116441522195776</v>
      </c>
      <c r="L641" s="15">
        <f>LN(E641/E640)</f>
        <v>-0.005583024746448362</v>
      </c>
      <c r="M641" s="15">
        <f>LN(F641/F640)</f>
        <v>-0.0016849776732833423</v>
      </c>
      <c r="O641" s="14">
        <v>45378</v>
      </c>
      <c r="P641" s="15">
        <f>I648</f>
        <v>0.013222689451146285</v>
      </c>
      <c r="Q641" s="15">
        <f>J648</f>
        <v>0.032334613899650755</v>
      </c>
      <c r="R641" s="15">
        <f>K648</f>
        <v>0.009336073093544903</v>
      </c>
      <c r="S641" s="15">
        <f>L648</f>
        <v>0.005391158338500764</v>
      </c>
      <c r="T641" s="15">
        <f>M648</f>
        <v>0.008464399583499973</v>
      </c>
    </row>
    <row r="642" spans="1:20">
      <c r="A642" s="14">
        <v>45369</v>
      </c>
      <c r="B642" s="10">
        <v>1330.418334960938</v>
      </c>
      <c r="C642" s="10">
        <v>294.8312377929688</v>
      </c>
      <c r="D642" s="10">
        <v>1313.180786132812</v>
      </c>
      <c r="E642" s="10">
        <v>22055.69921875</v>
      </c>
      <c r="F642" s="10">
        <v>834.0499877929688</v>
      </c>
      <c r="I642" s="15">
        <f>LN(B642/B641)</f>
        <v>0.01619907660733688</v>
      </c>
      <c r="J642" s="15">
        <f>LN(C642/C641)</f>
        <v>-0.009077167020345263</v>
      </c>
      <c r="K642" s="15">
        <f>LN(D642/D641)</f>
        <v>-0.03385024698526174</v>
      </c>
      <c r="L642" s="15">
        <f>LN(E642/E641)</f>
        <v>0.001467800056624233</v>
      </c>
      <c r="M642" s="15">
        <f>LN(F642/F641)</f>
        <v>0.00468690120120056</v>
      </c>
      <c r="O642" s="14">
        <v>45379</v>
      </c>
      <c r="P642" s="15">
        <f>I649</f>
        <v>-0.026148176730964433</v>
      </c>
      <c r="Q642" s="15">
        <f>J649</f>
        <v>0.0006427162292423403</v>
      </c>
      <c r="R642" s="15">
        <f>K649</f>
        <v>0.019907265171146982</v>
      </c>
      <c r="S642" s="15">
        <f>L649</f>
        <v>0.009145057280234776</v>
      </c>
      <c r="T642" s="15">
        <f>M649</f>
        <v>0.005455395791662501</v>
      </c>
    </row>
    <row r="643" spans="1:20">
      <c r="A643" s="14">
        <v>45370</v>
      </c>
      <c r="B643" s="10">
        <v>1343.403198242188</v>
      </c>
      <c r="C643" s="10">
        <v>287.8114013671875</v>
      </c>
      <c r="D643" s="10">
        <v>1312.906494140625</v>
      </c>
      <c r="E643" s="10">
        <v>21817.44921875</v>
      </c>
      <c r="F643" s="10">
        <v>829.2000122070312</v>
      </c>
      <c r="I643" s="15">
        <f>LN(B643/B642)</f>
        <v>0.009712664213386008</v>
      </c>
      <c r="J643" s="15">
        <f>LN(C643/C642)</f>
        <v>-0.024097708104321297</v>
      </c>
      <c r="K643" s="15">
        <f>LN(D643/D642)</f>
        <v>-0.00020889784985090188</v>
      </c>
      <c r="L643" s="15">
        <f>LN(E643/E642)</f>
        <v>-0.010860963960358783</v>
      </c>
      <c r="M643" s="15">
        <f>LN(F643/F642)</f>
        <v>-0.005831942681133363</v>
      </c>
      <c r="O643" s="14">
        <v>45383</v>
      </c>
      <c r="P643" s="15">
        <f>I650</f>
        <v>0.01846177579301567</v>
      </c>
      <c r="Q643" s="15">
        <f>J650</f>
        <v>0.0399800085114438</v>
      </c>
      <c r="R643" s="15">
        <f>K650</f>
        <v>0.02249205897374365</v>
      </c>
      <c r="S643" s="15">
        <f>L650</f>
        <v>0.006032745520934439</v>
      </c>
      <c r="T643" s="15">
        <f>M650</f>
        <v>0.04265676062469968</v>
      </c>
    </row>
    <row r="644" spans="1:20">
      <c r="A644" s="14">
        <v>45371</v>
      </c>
      <c r="B644" s="10">
        <v>1366.41015625</v>
      </c>
      <c r="C644" s="10">
        <v>288.3590698242188</v>
      </c>
      <c r="D644" s="10">
        <v>1277.838134765625</v>
      </c>
      <c r="E644" s="10">
        <v>21839.099609375</v>
      </c>
      <c r="F644" s="10">
        <v>834.3499755859375</v>
      </c>
      <c r="I644" s="15">
        <f>LN(B644/B643)</f>
        <v>0.016980882322202972</v>
      </c>
      <c r="J644" s="15">
        <f>LN(C644/C643)</f>
        <v>0.001901064526407743</v>
      </c>
      <c r="K644" s="15">
        <f>LN(D644/D643)</f>
        <v>-0.027073684533946298</v>
      </c>
      <c r="L644" s="15">
        <f>LN(E644/E643)</f>
        <v>0.0009918508439663014</v>
      </c>
      <c r="M644" s="15">
        <f>LN(F644/F643)</f>
        <v>0.006191554048654733</v>
      </c>
      <c r="O644" s="14">
        <v>45384</v>
      </c>
      <c r="P644" s="15">
        <f>I651</f>
        <v>0.033554534391849015</v>
      </c>
      <c r="Q644" s="15">
        <f>J651</f>
        <v>0.01955757735656923</v>
      </c>
      <c r="R644" s="15">
        <f>K651</f>
        <v>0.018312617221547905</v>
      </c>
      <c r="S644" s="15">
        <f>L651</f>
        <v>-0.00038736104211539534</v>
      </c>
      <c r="T644" s="15">
        <f>M651</f>
        <v>0.010004001571389557</v>
      </c>
    </row>
    <row r="645" spans="1:20">
      <c r="A645" s="14">
        <v>45372</v>
      </c>
      <c r="B645" s="10">
        <v>1406.845581054688</v>
      </c>
      <c r="C645" s="10">
        <v>306.182373046875</v>
      </c>
      <c r="D645" s="10">
        <v>1275.171264648438</v>
      </c>
      <c r="E645" s="10">
        <v>22011.94921875</v>
      </c>
      <c r="F645" s="10">
        <v>859.4000244140625</v>
      </c>
      <c r="I645" s="15">
        <f>LN(B645/B644)</f>
        <v>0.029163044737748323</v>
      </c>
      <c r="J645" s="15">
        <f>LN(C645/C644)</f>
        <v>0.059974440983593925</v>
      </c>
      <c r="K645" s="15">
        <f>LN(D645/D644)</f>
        <v>-0.0020891980169109904</v>
      </c>
      <c r="L645" s="15">
        <f>LN(E645/E644)</f>
        <v>0.007883528864675105</v>
      </c>
      <c r="M645" s="15">
        <f>LN(F645/F644)</f>
        <v>0.029581550417423743</v>
      </c>
      <c r="O645" s="14">
        <v>45385</v>
      </c>
      <c r="P645" s="15">
        <f>I652</f>
        <v>-0.018633286351693815</v>
      </c>
      <c r="Q645" s="15">
        <f>J652</f>
        <v>-0.0048536288003842906</v>
      </c>
      <c r="R645" s="15">
        <f>K652</f>
        <v>-0.010786806433155468</v>
      </c>
      <c r="S645" s="15">
        <f>L652</f>
        <v>-0.0008309754048160305</v>
      </c>
      <c r="T645" s="15">
        <f>M652</f>
        <v>-0.026145978370119154</v>
      </c>
    </row>
    <row r="646" spans="1:20">
      <c r="A646" s="14">
        <v>45373</v>
      </c>
      <c r="B646" s="10">
        <v>1428.66796875</v>
      </c>
      <c r="C646" s="10">
        <v>301.4029235839844</v>
      </c>
      <c r="D646" s="10">
        <v>1270.036987304688</v>
      </c>
      <c r="E646" s="10">
        <v>22096.75</v>
      </c>
      <c r="F646" s="10">
        <v>874.5</v>
      </c>
      <c r="I646" s="15">
        <f>LN(B646/B645)</f>
        <v>0.015392498165388737</v>
      </c>
      <c r="J646" s="15">
        <f>LN(C646/C645)</f>
        <v>-0.0157329286113621</v>
      </c>
      <c r="K646" s="15">
        <f>LN(D646/D645)</f>
        <v>-0.004034470895659286</v>
      </c>
      <c r="L646" s="15">
        <f>LN(E646/E645)</f>
        <v>0.0038450866714008036</v>
      </c>
      <c r="M646" s="15">
        <f>LN(F646/F645)</f>
        <v>0.017417794709497912</v>
      </c>
      <c r="O646" s="14">
        <v>45386</v>
      </c>
      <c r="P646" s="15">
        <f>I653</f>
        <v>0.007085307999000492</v>
      </c>
      <c r="Q646" s="15">
        <f>J653</f>
        <v>-0.011622717963622381</v>
      </c>
      <c r="R646" s="15">
        <f>K653</f>
        <v>-0.005963482553864187</v>
      </c>
      <c r="S646" s="15">
        <f>L653</f>
        <v>0.0035595696965144527</v>
      </c>
      <c r="T646" s="15">
        <f>M653</f>
        <v>-0.00037848497551641076</v>
      </c>
    </row>
    <row r="647" spans="1:20">
      <c r="A647" s="14">
        <v>45377</v>
      </c>
      <c r="B647" s="10">
        <v>1476.262084960938</v>
      </c>
      <c r="C647" s="10">
        <v>299.9591369628906</v>
      </c>
      <c r="D647" s="10">
        <v>1347.202270507812</v>
      </c>
      <c r="E647" s="10">
        <v>22004.69921875</v>
      </c>
      <c r="F647" s="10">
        <v>888.2000122070312</v>
      </c>
      <c r="I647" s="15">
        <f>LN(B647/B646)</f>
        <v>0.03277075497184452</v>
      </c>
      <c r="J647" s="15">
        <f>LN(C647/C646)</f>
        <v>-0.004801730903508078</v>
      </c>
      <c r="K647" s="15">
        <f>LN(D647/D646)</f>
        <v>0.05898402594932413</v>
      </c>
      <c r="L647" s="15">
        <f>LN(E647/E646)</f>
        <v>-0.004174507484794188</v>
      </c>
      <c r="M647" s="15">
        <f>LN(F647/F646)</f>
        <v>0.015544662142906394</v>
      </c>
      <c r="O647" s="14">
        <v>45387</v>
      </c>
      <c r="P647" s="15">
        <f>I654</f>
        <v>0.009068453770559788</v>
      </c>
      <c r="Q647" s="15">
        <f>J654</f>
        <v>0.01435580551429224</v>
      </c>
      <c r="R647" s="15">
        <f>K654</f>
        <v>-0.0002281959666815133</v>
      </c>
      <c r="S647" s="15">
        <f>L654</f>
        <v>-4.22476898839797e-05</v>
      </c>
      <c r="T647" s="15">
        <f>M654</f>
        <v>0.014230338134817085</v>
      </c>
    </row>
    <row r="648" spans="1:20">
      <c r="A648" s="14">
        <v>45378</v>
      </c>
      <c r="B648" s="10">
        <v>1495.911865234375</v>
      </c>
      <c r="C648" s="10">
        <v>309.8167114257812</v>
      </c>
      <c r="D648" s="10">
        <v>1359.838745117188</v>
      </c>
      <c r="E648" s="10">
        <v>22123.650390625</v>
      </c>
      <c r="F648" s="10">
        <v>895.75</v>
      </c>
      <c r="I648" s="15">
        <f>LN(B648/B647)</f>
        <v>0.013222689451146285</v>
      </c>
      <c r="J648" s="15">
        <f>LN(C648/C647)</f>
        <v>0.032334613899650755</v>
      </c>
      <c r="K648" s="15">
        <f>LN(D648/D647)</f>
        <v>0.009336073093544903</v>
      </c>
      <c r="L648" s="15">
        <f>LN(E648/E647)</f>
        <v>0.005391158338500764</v>
      </c>
      <c r="M648" s="15">
        <f>LN(F648/F647)</f>
        <v>0.008464399583499973</v>
      </c>
      <c r="O648" s="14">
        <v>45390</v>
      </c>
      <c r="P648" s="15">
        <f>I655</f>
        <v>-0.011935745985382959</v>
      </c>
      <c r="Q648" s="15">
        <f>J655</f>
        <v>0.023378746326919008</v>
      </c>
      <c r="R648" s="15">
        <f>K655</f>
        <v>0.01659901164136841</v>
      </c>
      <c r="S648" s="15">
        <f>L655</f>
        <v>0.006755296273493474</v>
      </c>
      <c r="T648" s="15">
        <f>M655</f>
        <v>0.013241718907361458</v>
      </c>
    </row>
    <row r="649" spans="1:20">
      <c r="A649" s="14">
        <v>45379</v>
      </c>
      <c r="B649" s="10">
        <v>1457.303466796875</v>
      </c>
      <c r="C649" s="10">
        <v>310.0158996582031</v>
      </c>
      <c r="D649" s="10">
        <v>1387.1806640625</v>
      </c>
      <c r="E649" s="10">
        <v>22326.900390625</v>
      </c>
      <c r="F649" s="10">
        <v>900.6500244140625</v>
      </c>
      <c r="I649" s="15">
        <f>LN(B649/B648)</f>
        <v>-0.026148176730964433</v>
      </c>
      <c r="J649" s="15">
        <f>LN(C649/C648)</f>
        <v>0.0006427162292423403</v>
      </c>
      <c r="K649" s="15">
        <f>LN(D649/D648)</f>
        <v>0.019907265171146982</v>
      </c>
      <c r="L649" s="15">
        <f>LN(E649/E648)</f>
        <v>0.009145057280234776</v>
      </c>
      <c r="M649" s="15">
        <f>LN(F649/F648)</f>
        <v>0.005455395791662501</v>
      </c>
      <c r="O649" s="14">
        <v>45391</v>
      </c>
      <c r="P649" s="15">
        <f>I656</f>
        <v>-0.005168522750197195</v>
      </c>
      <c r="Q649" s="15">
        <f>J656</f>
        <v>0.01747354065906458</v>
      </c>
      <c r="R649" s="15">
        <f>K656</f>
        <v>0.0037374148629567366</v>
      </c>
      <c r="S649" s="15">
        <f>L656</f>
        <v>-0.0010395619844089984</v>
      </c>
      <c r="T649" s="15">
        <f>M656</f>
        <v>0.005300306628386864</v>
      </c>
    </row>
    <row r="650" spans="1:20">
      <c r="A650" s="14">
        <v>45383</v>
      </c>
      <c r="B650" s="10">
        <v>1484.457763671875</v>
      </c>
      <c r="C650" s="10">
        <v>322.6614379882812</v>
      </c>
      <c r="D650" s="10">
        <v>1418.734741210938</v>
      </c>
      <c r="E650" s="10">
        <v>22462</v>
      </c>
      <c r="F650" s="10">
        <v>939.9000244140624</v>
      </c>
      <c r="I650" s="15">
        <f>LN(B650/B649)</f>
        <v>0.01846177579301567</v>
      </c>
      <c r="J650" s="15">
        <f>LN(C650/C649)</f>
        <v>0.0399800085114438</v>
      </c>
      <c r="K650" s="15">
        <f>LN(D650/D649)</f>
        <v>0.02249205897374365</v>
      </c>
      <c r="L650" s="15">
        <f>LN(E650/E649)</f>
        <v>0.006032745520934439</v>
      </c>
      <c r="M650" s="15">
        <f>LN(F650/F649)</f>
        <v>0.04265676062469968</v>
      </c>
      <c r="O650" s="14">
        <v>45392</v>
      </c>
      <c r="P650" s="15">
        <f>I657</f>
        <v>-0.004305884828680397</v>
      </c>
      <c r="Q650" s="15">
        <f>J657</f>
        <v>0.005660821055481083</v>
      </c>
      <c r="R650" s="15">
        <f>K657</f>
        <v>0.040430687440744996</v>
      </c>
      <c r="S650" s="15">
        <f>L657</f>
        <v>0.004892486360835239</v>
      </c>
      <c r="T650" s="15">
        <f>M657</f>
        <v>0.005844956192972205</v>
      </c>
    </row>
    <row r="651" spans="1:20">
      <c r="A651" s="14">
        <v>45384</v>
      </c>
      <c r="B651" s="10">
        <v>1535.113159179688</v>
      </c>
      <c r="C651" s="10">
        <v>329.0340270996094</v>
      </c>
      <c r="D651" s="10">
        <v>1444.954833984375</v>
      </c>
      <c r="E651" s="10">
        <v>22453.30078125</v>
      </c>
      <c r="F651" s="10">
        <v>949.3499755859376</v>
      </c>
      <c r="I651" s="15">
        <f>LN(B651/B650)</f>
        <v>0.033554534391849015</v>
      </c>
      <c r="J651" s="15">
        <f>LN(C651/C650)</f>
        <v>0.01955757735656923</v>
      </c>
      <c r="K651" s="15">
        <f>LN(D651/D650)</f>
        <v>0.018312617221547905</v>
      </c>
      <c r="L651" s="15">
        <f>LN(E651/E650)</f>
        <v>-0.00038736104211539534</v>
      </c>
      <c r="M651" s="15">
        <f>LN(F651/F650)</f>
        <v>0.010004001571389557</v>
      </c>
      <c r="O651" s="14">
        <v>45394</v>
      </c>
      <c r="P651" s="15">
        <f>I658</f>
        <v>-0.011862212071401451</v>
      </c>
      <c r="Q651" s="15">
        <f>J658</f>
        <v>-0.020767062247101134</v>
      </c>
      <c r="R651" s="15">
        <f>K658</f>
        <v>-0.01053928407307092</v>
      </c>
      <c r="S651" s="15">
        <f>L658</f>
        <v>-0.01035502147176367</v>
      </c>
      <c r="T651" s="15">
        <f>M658</f>
        <v>-0.008885230443757063</v>
      </c>
    </row>
    <row r="652" spans="1:20">
      <c r="A652" s="14">
        <v>45385</v>
      </c>
      <c r="B652" s="10">
        <v>1506.773803710938</v>
      </c>
      <c r="C652" s="10">
        <v>327.4408874511719</v>
      </c>
      <c r="D652" s="10">
        <v>1429.4521484375</v>
      </c>
      <c r="E652" s="10">
        <v>22434.650390625</v>
      </c>
      <c r="F652" s="10">
        <v>924.8499755859376</v>
      </c>
      <c r="I652" s="15">
        <f>LN(B652/B651)</f>
        <v>-0.018633286351693815</v>
      </c>
      <c r="J652" s="15">
        <f>LN(C652/C651)</f>
        <v>-0.0048536288003842906</v>
      </c>
      <c r="K652" s="15">
        <f>LN(D652/D651)</f>
        <v>-0.010786806433155468</v>
      </c>
      <c r="L652" s="15">
        <f>LN(E652/E651)</f>
        <v>-0.0008309754048160305</v>
      </c>
      <c r="M652" s="15">
        <f>LN(F652/F651)</f>
        <v>-0.026145978370119154</v>
      </c>
      <c r="O652" s="14">
        <v>45397</v>
      </c>
      <c r="P652" s="15">
        <f>I659</f>
        <v>-0.021529453165662484</v>
      </c>
      <c r="Q652" s="15">
        <f>J659</f>
        <v>-0.017441057872281583</v>
      </c>
      <c r="R652" s="15">
        <f>K659</f>
        <v>0.002283278674500544</v>
      </c>
      <c r="S652" s="15">
        <f>L659</f>
        <v>-0.011024443666037696</v>
      </c>
      <c r="T652" s="15">
        <f>M659</f>
        <v>-0.010926801480894827</v>
      </c>
    </row>
    <row r="653" spans="1:20">
      <c r="A653" s="14">
        <v>45386</v>
      </c>
      <c r="B653" s="10">
        <v>1517.487670898438</v>
      </c>
      <c r="C653" s="10">
        <v>323.6571655273438</v>
      </c>
      <c r="D653" s="10">
        <v>1420.953002929688</v>
      </c>
      <c r="E653" s="10">
        <v>22514.650390625</v>
      </c>
      <c r="F653" s="10">
        <v>924.5</v>
      </c>
      <c r="I653" s="15">
        <f>LN(B653/B652)</f>
        <v>0.007085307999000492</v>
      </c>
      <c r="J653" s="15">
        <f>LN(C653/C652)</f>
        <v>-0.011622717963622381</v>
      </c>
      <c r="K653" s="15">
        <f>LN(D653/D652)</f>
        <v>-0.005963482553864187</v>
      </c>
      <c r="L653" s="15">
        <f>LN(E653/E652)</f>
        <v>0.0035595696965144527</v>
      </c>
      <c r="M653" s="15">
        <f>LN(F653/F652)</f>
        <v>-0.00037848497551641076</v>
      </c>
      <c r="O653" s="14">
        <v>45398</v>
      </c>
      <c r="P653" s="15">
        <f>I660</f>
        <v>-0.00508729816101844</v>
      </c>
      <c r="Q653" s="15">
        <f>J660</f>
        <v>0.0018030182638943332</v>
      </c>
      <c r="R653" s="15">
        <f>K660</f>
        <v>0.04088653258419339</v>
      </c>
      <c r="S653" s="15">
        <f>L660</f>
        <v>-0.005610032105390299</v>
      </c>
      <c r="T653" s="15">
        <f>M660</f>
        <v>-0.004574949804068642</v>
      </c>
    </row>
    <row r="654" spans="1:20">
      <c r="A654" s="14">
        <v>45387</v>
      </c>
      <c r="B654" s="10">
        <v>1531.3115234375</v>
      </c>
      <c r="C654" s="10">
        <v>328.3370361328125</v>
      </c>
      <c r="D654" s="10">
        <v>1420.628784179688</v>
      </c>
      <c r="E654" s="10">
        <v>22513.69921875</v>
      </c>
      <c r="F654" s="10">
        <v>937.75</v>
      </c>
      <c r="I654" s="15">
        <f>LN(B654/B653)</f>
        <v>0.009068453770559788</v>
      </c>
      <c r="J654" s="15">
        <f>LN(C654/C653)</f>
        <v>0.01435580551429224</v>
      </c>
      <c r="K654" s="15">
        <f>LN(D654/D653)</f>
        <v>-0.0002281959666815133</v>
      </c>
      <c r="L654" s="15">
        <f>LN(E654/E653)</f>
        <v>-4.22476898839797e-05</v>
      </c>
      <c r="M654" s="15">
        <f>LN(F654/F653)</f>
        <v>0.014230338134817085</v>
      </c>
      <c r="O654" s="14">
        <v>45400</v>
      </c>
      <c r="P654" s="15">
        <f>I661</f>
        <v>-0.04301681681240359</v>
      </c>
      <c r="Q654" s="15">
        <f>J661</f>
        <v>0.00314715961004735</v>
      </c>
      <c r="R654" s="15">
        <f>K661</f>
        <v>0.008671462154211313</v>
      </c>
      <c r="S654" s="15">
        <f>L661</f>
        <v>-0.006888920065700564</v>
      </c>
      <c r="T654" s="15">
        <f>M661</f>
        <v>-0.005346176860729464</v>
      </c>
    </row>
    <row r="655" spans="1:20">
      <c r="A655" s="14">
        <v>45390</v>
      </c>
      <c r="B655" s="10">
        <v>1513.142822265625</v>
      </c>
      <c r="C655" s="10">
        <v>336.1035766601562</v>
      </c>
      <c r="D655" s="10">
        <v>1444.406616210938</v>
      </c>
      <c r="E655" s="10">
        <v>22666.30078125</v>
      </c>
      <c r="F655" s="10">
        <v>950.25</v>
      </c>
      <c r="I655" s="15">
        <f>LN(B655/B654)</f>
        <v>-0.011935745985382959</v>
      </c>
      <c r="J655" s="15">
        <f>LN(C655/C654)</f>
        <v>0.023378746326919008</v>
      </c>
      <c r="K655" s="15">
        <f>LN(D655/D654)</f>
        <v>0.01659901164136841</v>
      </c>
      <c r="L655" s="15">
        <f>LN(E655/E654)</f>
        <v>0.006755296273493474</v>
      </c>
      <c r="M655" s="15">
        <f>LN(F655/F654)</f>
        <v>0.013241718907361458</v>
      </c>
      <c r="O655" s="14">
        <v>45401</v>
      </c>
      <c r="P655" s="15">
        <f>I662</f>
        <v>-0.003221355753946807</v>
      </c>
      <c r="Q655" s="15">
        <f>J662</f>
        <v>0.018384591096724922</v>
      </c>
      <c r="R655" s="15">
        <f>K662</f>
        <v>-0.010943176522796284</v>
      </c>
      <c r="S655" s="15">
        <f>L662</f>
        <v>0.006848265696137249</v>
      </c>
      <c r="T655" s="15">
        <f>M662</f>
        <v>-0.006993035490970637</v>
      </c>
    </row>
    <row r="656" spans="1:20">
      <c r="A656" s="14">
        <v>45391</v>
      </c>
      <c r="B656" s="10">
        <v>1505.34228515625</v>
      </c>
      <c r="C656" s="10">
        <v>342.0281066894531</v>
      </c>
      <c r="D656" s="10">
        <v>1449.815063476562</v>
      </c>
      <c r="E656" s="10">
        <v>22642.75</v>
      </c>
      <c r="F656" s="10">
        <v>955.2999877929688</v>
      </c>
      <c r="I656" s="15">
        <f>LN(B656/B655)</f>
        <v>-0.005168522750197195</v>
      </c>
      <c r="J656" s="15">
        <f>LN(C656/C655)</f>
        <v>0.01747354065906458</v>
      </c>
      <c r="K656" s="15">
        <f>LN(D656/D655)</f>
        <v>0.0037374148629567366</v>
      </c>
      <c r="L656" s="15">
        <f>LN(E656/E655)</f>
        <v>-0.0010395619844089984</v>
      </c>
      <c r="M656" s="15">
        <f>LN(F656/F655)</f>
        <v>0.005300306628386864</v>
      </c>
      <c r="O656" s="14">
        <v>45404</v>
      </c>
      <c r="P656" s="15">
        <f>I663</f>
        <v>0.020158780953440963</v>
      </c>
      <c r="Q656" s="15">
        <f>J663</f>
        <v>0.03166596040615216</v>
      </c>
      <c r="R656" s="15">
        <f>K663</f>
        <v>-0.008557297268474037</v>
      </c>
      <c r="S656" s="15">
        <f>L663</f>
        <v>0.008515605079627573</v>
      </c>
      <c r="T656" s="15">
        <f>M663</f>
        <v>0.007368173465214156</v>
      </c>
    </row>
    <row r="657" spans="1:20">
      <c r="A657" s="14">
        <v>45392</v>
      </c>
      <c r="B657" s="10">
        <v>1498.874389648438</v>
      </c>
      <c r="C657" s="10">
        <v>343.9697570800781</v>
      </c>
      <c r="D657" s="10">
        <v>1509.633178710938</v>
      </c>
      <c r="E657" s="10">
        <v>22753.80078125</v>
      </c>
      <c r="F657" s="10">
        <v>960.9000244140624</v>
      </c>
      <c r="I657" s="15">
        <f>LN(B657/B656)</f>
        <v>-0.004305884828680397</v>
      </c>
      <c r="J657" s="15">
        <f>LN(C657/C656)</f>
        <v>0.005660821055481083</v>
      </c>
      <c r="K657" s="15">
        <f>LN(D657/D656)</f>
        <v>0.040430687440744996</v>
      </c>
      <c r="L657" s="15">
        <f>LN(E657/E656)</f>
        <v>0.004892486360835239</v>
      </c>
      <c r="M657" s="15">
        <f>LN(F657/F656)</f>
        <v>0.005844956192972205</v>
      </c>
      <c r="O657" s="14">
        <v>45405</v>
      </c>
      <c r="P657" s="15">
        <f>I664</f>
        <v>0.035143349074230064</v>
      </c>
      <c r="Q657" s="15">
        <f>J664</f>
        <v>0.024602317087552256</v>
      </c>
      <c r="R657" s="15">
        <f>K664</f>
        <v>0.022758563133956387</v>
      </c>
      <c r="S657" s="15">
        <f>L664</f>
        <v>0.0014137138340638612</v>
      </c>
      <c r="T657" s="15">
        <f>M664</f>
        <v>0.025500018711560647</v>
      </c>
    </row>
    <row r="658" spans="1:20">
      <c r="A658" s="14">
        <v>45394</v>
      </c>
      <c r="B658" s="10">
        <v>1481.199462890625</v>
      </c>
      <c r="C658" s="10">
        <v>336.9001770019531</v>
      </c>
      <c r="D658" s="10">
        <v>1493.806274414062</v>
      </c>
      <c r="E658" s="10">
        <v>22519.400390625</v>
      </c>
      <c r="F658" s="10">
        <v>952.4000244140624</v>
      </c>
      <c r="I658" s="15">
        <f>LN(B658/B657)</f>
        <v>-0.011862212071401451</v>
      </c>
      <c r="J658" s="15">
        <f>LN(C658/C657)</f>
        <v>-0.020767062247101134</v>
      </c>
      <c r="K658" s="15">
        <f>LN(D658/D657)</f>
        <v>-0.01053928407307092</v>
      </c>
      <c r="L658" s="15">
        <f>LN(E658/E657)</f>
        <v>-0.01035502147176367</v>
      </c>
      <c r="M658" s="15">
        <f>LN(F658/F657)</f>
        <v>-0.008885230443757063</v>
      </c>
      <c r="O658" s="14">
        <v>45406</v>
      </c>
      <c r="P658" s="15">
        <f>I665</f>
        <v>-0.009098574255318879</v>
      </c>
      <c r="Q658" s="15">
        <f>J665</f>
        <v>0.011185751329915948</v>
      </c>
      <c r="R658" s="15">
        <f>K665</f>
        <v>0.007347165810051777</v>
      </c>
      <c r="S658" s="15">
        <f>L665</f>
        <v>0.001536747364098986</v>
      </c>
      <c r="T658" s="15">
        <f>M665</f>
        <v>0.008892632759319202</v>
      </c>
    </row>
    <row r="659" spans="1:20">
      <c r="A659" s="14">
        <v>45397</v>
      </c>
      <c r="B659" s="10">
        <v>1449.65087890625</v>
      </c>
      <c r="C659" s="10">
        <v>331.0752258300781</v>
      </c>
      <c r="D659" s="10">
        <v>1497.220947265625</v>
      </c>
      <c r="E659" s="10">
        <v>22272.5</v>
      </c>
      <c r="F659" s="10">
        <v>942.0499877929688</v>
      </c>
      <c r="I659" s="15">
        <f>LN(B659/B658)</f>
        <v>-0.021529453165662484</v>
      </c>
      <c r="J659" s="15">
        <f>LN(C659/C658)</f>
        <v>-0.017441057872281583</v>
      </c>
      <c r="K659" s="15">
        <f>LN(D659/D658)</f>
        <v>0.002283278674500544</v>
      </c>
      <c r="L659" s="15">
        <f>LN(E659/E658)</f>
        <v>-0.011024443666037696</v>
      </c>
      <c r="M659" s="15">
        <f>LN(F659/F658)</f>
        <v>-0.010926801480894827</v>
      </c>
      <c r="O659" s="14">
        <v>45407</v>
      </c>
      <c r="P659" s="15">
        <f>I666</f>
        <v>0.009268233931248234</v>
      </c>
      <c r="Q659" s="15">
        <f>J666</f>
        <v>-0.012992608188337898</v>
      </c>
      <c r="R659" s="15">
        <f>K666</f>
        <v>-0.008484586652638838</v>
      </c>
      <c r="S659" s="15">
        <f>L666</f>
        <v>0.007468967297299811</v>
      </c>
      <c r="T659" s="15">
        <f>M666</f>
        <v>-0.0024882335625006947</v>
      </c>
    </row>
    <row r="660" spans="1:20">
      <c r="A660" s="14">
        <v>45398</v>
      </c>
      <c r="B660" s="10">
        <v>1442.294799804688</v>
      </c>
      <c r="C660" s="10">
        <v>331.6726989746094</v>
      </c>
      <c r="D660" s="10">
        <v>1559.705810546875</v>
      </c>
      <c r="E660" s="10">
        <v>22147.900390625</v>
      </c>
      <c r="F660" s="10">
        <v>937.75</v>
      </c>
      <c r="I660" s="15">
        <f>LN(B660/B659)</f>
        <v>-0.00508729816101844</v>
      </c>
      <c r="J660" s="15">
        <f>LN(C660/C659)</f>
        <v>0.0018030182638943332</v>
      </c>
      <c r="K660" s="15">
        <f>LN(D660/D659)</f>
        <v>0.04088653258419339</v>
      </c>
      <c r="L660" s="15">
        <f>LN(E660/E659)</f>
        <v>-0.005610032105390299</v>
      </c>
      <c r="M660" s="15">
        <f>LN(F660/F659)</f>
        <v>-0.004574949804068642</v>
      </c>
      <c r="O660" s="14">
        <v>45408</v>
      </c>
      <c r="P660" s="15">
        <f>I667</f>
        <v>0.018582350296294847</v>
      </c>
      <c r="Q660" s="15">
        <f>J667</f>
        <v>0.013129807558849942</v>
      </c>
      <c r="R660" s="15">
        <f>K667</f>
        <v>-0.022946598767134254</v>
      </c>
      <c r="S660" s="15">
        <f>L667</f>
        <v>-0.006685928069119567</v>
      </c>
      <c r="T660" s="15">
        <f>M667</f>
        <v>0.005899429565961166</v>
      </c>
    </row>
    <row r="661" spans="1:20">
      <c r="A661" s="14">
        <v>45400</v>
      </c>
      <c r="B661" s="10">
        <v>1381.5673828125</v>
      </c>
      <c r="C661" s="10">
        <v>332.7181701660156</v>
      </c>
      <c r="D661" s="10">
        <v>1573.28955078125</v>
      </c>
      <c r="E661" s="10">
        <v>21995.849609375</v>
      </c>
      <c r="F661" s="10">
        <v>932.75</v>
      </c>
      <c r="I661" s="15">
        <f>LN(B661/B660)</f>
        <v>-0.04301681681240359</v>
      </c>
      <c r="J661" s="15">
        <f>LN(C661/C660)</f>
        <v>0.00314715961004735</v>
      </c>
      <c r="K661" s="15">
        <f>LN(D661/D660)</f>
        <v>0.008671462154211313</v>
      </c>
      <c r="L661" s="15">
        <f>LN(E661/E660)</f>
        <v>-0.006888920065700564</v>
      </c>
      <c r="M661" s="15">
        <f>LN(F661/F660)</f>
        <v>-0.005346176860729464</v>
      </c>
      <c r="O661" s="14">
        <v>45411</v>
      </c>
      <c r="P661" s="15">
        <f>I668</f>
        <v>-0.01512874783544582</v>
      </c>
      <c r="Q661" s="15">
        <f>J668</f>
        <v>0.009565648326092394</v>
      </c>
      <c r="R661" s="15">
        <f>K668</f>
        <v>-0.015732383167325018</v>
      </c>
      <c r="S661" s="15">
        <f>L668</f>
        <v>0.009917283345523465</v>
      </c>
      <c r="T661" s="15">
        <f>M668</f>
        <v>-0.010060251194289011</v>
      </c>
    </row>
    <row r="662" spans="1:20">
      <c r="A662" s="14">
        <v>45401</v>
      </c>
      <c r="B662" s="10">
        <v>1377.1240234375</v>
      </c>
      <c r="C662" s="10">
        <v>338.8916320800781</v>
      </c>
      <c r="D662" s="10">
        <v>1556.166625976562</v>
      </c>
      <c r="E662" s="10">
        <v>22147</v>
      </c>
      <c r="F662" s="10">
        <v>926.25</v>
      </c>
      <c r="I662" s="15">
        <f>LN(B662/B661)</f>
        <v>-0.003221355753946807</v>
      </c>
      <c r="J662" s="15">
        <f>LN(C662/C661)</f>
        <v>0.018384591096724922</v>
      </c>
      <c r="K662" s="15">
        <f>LN(D662/D661)</f>
        <v>-0.010943176522796284</v>
      </c>
      <c r="L662" s="15">
        <f>LN(E662/E661)</f>
        <v>0.006848265696137249</v>
      </c>
      <c r="M662" s="15">
        <f>LN(F662/F661)</f>
        <v>-0.006993035490970637</v>
      </c>
      <c r="O662" s="14">
        <v>45412</v>
      </c>
      <c r="P662" s="15">
        <f>I669</f>
        <v>0.0027339015476413628</v>
      </c>
      <c r="Q662" s="15">
        <f>J669</f>
        <v>-0.013004163859405077</v>
      </c>
      <c r="R662" s="15">
        <f>K669</f>
        <v>0.03513143879685507</v>
      </c>
      <c r="S662" s="15">
        <f>L669</f>
        <v>-0.0017039682453004383</v>
      </c>
      <c r="T662" s="15">
        <f>M669</f>
        <v>0.014385040135003154</v>
      </c>
    </row>
    <row r="663" spans="1:20">
      <c r="A663" s="14">
        <v>45404</v>
      </c>
      <c r="B663" s="10">
        <v>1405.166870117188</v>
      </c>
      <c r="C663" s="10">
        <v>349.794677734375</v>
      </c>
      <c r="D663" s="10">
        <v>1542.906860351562</v>
      </c>
      <c r="E663" s="10">
        <v>22336.400390625</v>
      </c>
      <c r="F663" s="10">
        <v>933.0999755859376</v>
      </c>
      <c r="I663" s="15">
        <f>LN(B663/B662)</f>
        <v>0.020158780953440963</v>
      </c>
      <c r="J663" s="15">
        <f>LN(C663/C662)</f>
        <v>0.03166596040615216</v>
      </c>
      <c r="K663" s="15">
        <f>LN(D663/D662)</f>
        <v>-0.008557297268474037</v>
      </c>
      <c r="L663" s="15">
        <f>LN(E663/E662)</f>
        <v>0.008515605079627573</v>
      </c>
      <c r="M663" s="15">
        <f>LN(F663/F662)</f>
        <v>0.007368173465214156</v>
      </c>
      <c r="O663" s="14">
        <v>45414</v>
      </c>
      <c r="P663" s="15">
        <f>I670</f>
        <v>0.03053997415382689</v>
      </c>
      <c r="Q663" s="15">
        <f>J670</f>
        <v>-0.00913492270370845</v>
      </c>
      <c r="R663" s="15">
        <f>K670</f>
        <v>-0.005775459944197951</v>
      </c>
      <c r="S663" s="15">
        <f>L670</f>
        <v>0.0019158763335262374</v>
      </c>
      <c r="T663" s="15">
        <f>M670</f>
        <v>-0.0006166561461766005</v>
      </c>
    </row>
    <row r="664" spans="1:20">
      <c r="A664" s="14">
        <v>45405</v>
      </c>
      <c r="B664" s="10">
        <v>1455.427124023438</v>
      </c>
      <c r="C664" s="10">
        <v>358.5071716308594</v>
      </c>
      <c r="D664" s="10">
        <v>1578.423828125</v>
      </c>
      <c r="E664" s="10">
        <v>22368</v>
      </c>
      <c r="F664" s="10">
        <v>957.2000122070312</v>
      </c>
      <c r="I664" s="15">
        <f>LN(B664/B663)</f>
        <v>0.035143349074230064</v>
      </c>
      <c r="J664" s="15">
        <f>LN(C664/C663)</f>
        <v>0.024602317087552256</v>
      </c>
      <c r="K664" s="15">
        <f>LN(D664/D663)</f>
        <v>0.022758563133956387</v>
      </c>
      <c r="L664" s="15">
        <f>LN(E664/E663)</f>
        <v>0.0014137138340638612</v>
      </c>
      <c r="M664" s="15">
        <f>LN(F664/F663)</f>
        <v>0.025500018711560647</v>
      </c>
      <c r="O664" s="14">
        <v>45415</v>
      </c>
      <c r="P664" s="15">
        <f>I671</f>
        <v>-0.03791536497927284</v>
      </c>
      <c r="Q664" s="15">
        <f>J671</f>
        <v>-0.005996868492552135</v>
      </c>
      <c r="R664" s="15">
        <f>K671</f>
        <v>-0.02265780442118125</v>
      </c>
      <c r="S664" s="15">
        <f>L671</f>
        <v>-0.0076389620148829334</v>
      </c>
      <c r="T664" s="15">
        <f>M671</f>
        <v>-0.010334406807737045</v>
      </c>
    </row>
    <row r="665" spans="1:20">
      <c r="A665" s="14">
        <v>45406</v>
      </c>
      <c r="B665" s="10">
        <v>1442.244873046875</v>
      </c>
      <c r="C665" s="10">
        <v>362.5398559570313</v>
      </c>
      <c r="D665" s="10">
        <v>1590.0634765625</v>
      </c>
      <c r="E665" s="10">
        <v>22402.400390625</v>
      </c>
      <c r="F665" s="10">
        <v>965.75</v>
      </c>
      <c r="I665" s="15">
        <f>LN(B665/B664)</f>
        <v>-0.009098574255318879</v>
      </c>
      <c r="J665" s="15">
        <f>LN(C665/C664)</f>
        <v>0.011185751329915948</v>
      </c>
      <c r="K665" s="15">
        <f>LN(D665/D664)</f>
        <v>0.007347165810051777</v>
      </c>
      <c r="L665" s="15">
        <f>LN(E665/E664)</f>
        <v>0.001536747364098986</v>
      </c>
      <c r="M665" s="15">
        <f>LN(F665/F664)</f>
        <v>0.008892632759319202</v>
      </c>
      <c r="O665" s="14">
        <v>45418</v>
      </c>
      <c r="P665" s="15">
        <f>I672</f>
        <v>0.017670664216312908</v>
      </c>
      <c r="Q665" s="15">
        <f>J672</f>
        <v>0.02609377864437988</v>
      </c>
      <c r="R665" s="15">
        <f>K672</f>
        <v>0.014164831950341364</v>
      </c>
      <c r="S665" s="15">
        <f>L672</f>
        <v>-0.0014760226012829026</v>
      </c>
      <c r="T665" s="15">
        <f>M672</f>
        <v>0.02720662445091626</v>
      </c>
    </row>
    <row r="666" spans="1:20">
      <c r="A666" s="14">
        <v>45407</v>
      </c>
      <c r="B666" s="10">
        <v>1455.674072265625</v>
      </c>
      <c r="C666" s="10">
        <v>357.8599853515625</v>
      </c>
      <c r="D666" s="10">
        <v>1576.629516601562</v>
      </c>
      <c r="E666" s="10">
        <v>22570.349609375</v>
      </c>
      <c r="F666" s="10">
        <v>963.3499755859376</v>
      </c>
      <c r="I666" s="15">
        <f>LN(B666/B665)</f>
        <v>0.009268233931248234</v>
      </c>
      <c r="J666" s="15">
        <f>LN(C666/C665)</f>
        <v>-0.012992608188337898</v>
      </c>
      <c r="K666" s="15">
        <f>LN(D666/D665)</f>
        <v>-0.008484586652638838</v>
      </c>
      <c r="L666" s="15">
        <f>LN(E666/E665)</f>
        <v>0.007468967297299811</v>
      </c>
      <c r="M666" s="15">
        <f>LN(F666/F665)</f>
        <v>-0.0024882335625006947</v>
      </c>
      <c r="O666" s="14">
        <v>45419</v>
      </c>
      <c r="P666" s="15">
        <f>I673</f>
        <v>-0.021344519708543168</v>
      </c>
      <c r="Q666" s="15">
        <f>J673</f>
        <v>-0.022463492406750638</v>
      </c>
      <c r="R666" s="15">
        <f>K673</f>
        <v>-0.043396764167682615</v>
      </c>
      <c r="S666" s="15">
        <f>L673</f>
        <v>-0.0062665796554610105</v>
      </c>
      <c r="T666" s="15">
        <f>M673</f>
        <v>-0.03549938019733187</v>
      </c>
    </row>
    <row r="667" spans="1:20">
      <c r="A667" s="14">
        <v>45408</v>
      </c>
      <c r="B667" s="10">
        <v>1482.976806640625</v>
      </c>
      <c r="C667" s="10">
        <v>362.589599609375</v>
      </c>
      <c r="D667" s="10">
        <v>1540.863159179688</v>
      </c>
      <c r="E667" s="10">
        <v>22419.94921875</v>
      </c>
      <c r="F667" s="10">
        <v>969.0499877929688</v>
      </c>
      <c r="I667" s="15">
        <f>LN(B667/B666)</f>
        <v>0.018582350296294847</v>
      </c>
      <c r="J667" s="15">
        <f>LN(C667/C666)</f>
        <v>0.013129807558849942</v>
      </c>
      <c r="K667" s="15">
        <f>LN(D667/D666)</f>
        <v>-0.022946598767134254</v>
      </c>
      <c r="L667" s="15">
        <f>LN(E667/E666)</f>
        <v>-0.006685928069119567</v>
      </c>
      <c r="M667" s="15">
        <f>LN(F667/F666)</f>
        <v>0.005899429565961166</v>
      </c>
      <c r="O667" s="14">
        <v>45420</v>
      </c>
      <c r="P667" s="15">
        <f>I674</f>
        <v>0.021811454245664223</v>
      </c>
      <c r="Q667" s="15">
        <f>J674</f>
        <v>0.0012535338921166462</v>
      </c>
      <c r="R667" s="15">
        <f>K674</f>
        <v>-0.014439758066972936</v>
      </c>
      <c r="S667" s="15">
        <f>L674</f>
        <v>0.0</v>
      </c>
      <c r="T667" s="15">
        <f>M674</f>
        <v>0.006421116179382553</v>
      </c>
    </row>
    <row r="668" spans="1:20">
      <c r="A668" s="14">
        <v>45411</v>
      </c>
      <c r="B668" s="10">
        <v>1460.710083007812</v>
      </c>
      <c r="C668" s="10">
        <v>366.0746459960938</v>
      </c>
      <c r="D668" s="10">
        <v>1516.811401367188</v>
      </c>
      <c r="E668" s="10">
        <v>22643.400390625</v>
      </c>
      <c r="F668" s="10">
        <v>959.3499755859376</v>
      </c>
      <c r="I668" s="15">
        <f>LN(B668/B667)</f>
        <v>-0.01512874783544582</v>
      </c>
      <c r="J668" s="15">
        <f>LN(C668/C667)</f>
        <v>0.009565648326092394</v>
      </c>
      <c r="K668" s="15">
        <f>LN(D668/D667)</f>
        <v>-0.015732383167325018</v>
      </c>
      <c r="L668" s="15">
        <f>LN(E668/E667)</f>
        <v>0.009917283345523465</v>
      </c>
      <c r="M668" s="15">
        <f>LN(F668/F667)</f>
        <v>-0.010060251194289011</v>
      </c>
      <c r="O668" s="14">
        <v>45421</v>
      </c>
      <c r="P668" s="15">
        <f>I675</f>
        <v>-0.027656575365167663</v>
      </c>
      <c r="Q668" s="15">
        <f>J675</f>
        <v>0.01820730837181774</v>
      </c>
      <c r="R668" s="15">
        <f>K675</f>
        <v>-0.036870380159184195</v>
      </c>
      <c r="S668" s="15">
        <f>L675</f>
        <v>-0.015590012996666094</v>
      </c>
      <c r="T668" s="15">
        <f>M675</f>
        <v>-0.022523673336280525</v>
      </c>
    </row>
    <row r="669" spans="1:20">
      <c r="A669" s="14">
        <v>45412</v>
      </c>
      <c r="B669" s="10">
        <v>1464.708984375</v>
      </c>
      <c r="C669" s="10">
        <v>361.344970703125</v>
      </c>
      <c r="D669" s="10">
        <v>1571.046264648438</v>
      </c>
      <c r="E669" s="10">
        <v>22604.849609375</v>
      </c>
      <c r="F669" s="10">
        <v>973.25</v>
      </c>
      <c r="I669" s="15">
        <f>LN(B669/B668)</f>
        <v>0.0027339015476413628</v>
      </c>
      <c r="J669" s="15">
        <f>LN(C669/C668)</f>
        <v>-0.013004163859405077</v>
      </c>
      <c r="K669" s="15">
        <f>LN(D669/D668)</f>
        <v>0.03513143879685507</v>
      </c>
      <c r="L669" s="15">
        <f>LN(E669/E668)</f>
        <v>-0.0017039682453004383</v>
      </c>
      <c r="M669" s="15">
        <f>LN(F669/F668)</f>
        <v>0.014385040135003154</v>
      </c>
      <c r="O669" s="14">
        <v>45422</v>
      </c>
      <c r="P669" s="15">
        <f>I676</f>
        <v>0.007615771073540926</v>
      </c>
      <c r="Q669" s="15">
        <f>J676</f>
        <v>0.008167775808863749</v>
      </c>
      <c r="R669" s="15">
        <f>K676</f>
        <v>0.011153801209320293</v>
      </c>
      <c r="S669" s="15">
        <f>L676</f>
        <v>0.004439599522660019</v>
      </c>
      <c r="T669" s="15">
        <f>M676</f>
        <v>-0.004373845939950561</v>
      </c>
    </row>
    <row r="670" spans="1:20">
      <c r="A670" s="14">
        <v>45414</v>
      </c>
      <c r="B670" s="10">
        <v>1510.131225585938</v>
      </c>
      <c r="C670" s="10">
        <v>358.0591430664062</v>
      </c>
      <c r="D670" s="10">
        <v>1561.998901367188</v>
      </c>
      <c r="E670" s="10">
        <v>22648.19921875</v>
      </c>
      <c r="F670" s="10">
        <v>972.6500244140624</v>
      </c>
      <c r="I670" s="15">
        <f>LN(B670/B669)</f>
        <v>0.03053997415382689</v>
      </c>
      <c r="J670" s="15">
        <f>LN(C670/C669)</f>
        <v>-0.00913492270370845</v>
      </c>
      <c r="K670" s="15">
        <f>LN(D670/D669)</f>
        <v>-0.005775459944197951</v>
      </c>
      <c r="L670" s="15">
        <f>LN(E670/E669)</f>
        <v>0.0019158763335262374</v>
      </c>
      <c r="M670" s="15">
        <f>LN(F670/F669)</f>
        <v>-0.0006166561461766005</v>
      </c>
      <c r="O670" s="14">
        <v>45425</v>
      </c>
      <c r="P670" s="15">
        <f>I677</f>
        <v>0.008874227423115789</v>
      </c>
      <c r="Q670" s="15">
        <f>J677</f>
        <v>0.010787727020768736</v>
      </c>
      <c r="R670" s="15">
        <f>K677</f>
        <v>0.04779088890206635</v>
      </c>
      <c r="S670" s="15">
        <f>L677</f>
        <v>0.002212518664983643</v>
      </c>
      <c r="T670" s="15">
        <f>M677</f>
        <v>0.012272752079214364</v>
      </c>
    </row>
    <row r="671" spans="1:20">
      <c r="A671" s="14">
        <v>45415</v>
      </c>
      <c r="B671" s="10">
        <v>1453.945922851562</v>
      </c>
      <c r="C671" s="10">
        <v>355.9183349609375</v>
      </c>
      <c r="D671" s="10">
        <v>1527.00537109375</v>
      </c>
      <c r="E671" s="10">
        <v>22475.849609375</v>
      </c>
      <c r="F671" s="10">
        <v>962.6500244140624</v>
      </c>
      <c r="I671" s="15">
        <f>LN(B671/B670)</f>
        <v>-0.03791536497927284</v>
      </c>
      <c r="J671" s="15">
        <f>LN(C671/C670)</f>
        <v>-0.005996868492552135</v>
      </c>
      <c r="K671" s="15">
        <f>LN(D671/D670)</f>
        <v>-0.02265780442118125</v>
      </c>
      <c r="L671" s="15">
        <f>LN(E671/E670)</f>
        <v>-0.0076389620148829334</v>
      </c>
      <c r="M671" s="15">
        <f>LN(F671/F670)</f>
        <v>-0.010334406807737045</v>
      </c>
      <c r="O671" s="14">
        <v>45426</v>
      </c>
      <c r="P671" s="15">
        <f>I678</f>
        <v>0.02431836297866102</v>
      </c>
      <c r="Q671" s="15">
        <f>J678</f>
        <v>0.003213623685481379</v>
      </c>
      <c r="R671" s="15">
        <f>K678</f>
        <v>-0.0035757490364660754</v>
      </c>
      <c r="S671" s="15">
        <f>L678</f>
        <v>0.005135117275633606</v>
      </c>
      <c r="T671" s="15">
        <f>M678</f>
        <v>0.008779569554407719</v>
      </c>
    </row>
    <row r="672" spans="1:20">
      <c r="A672" s="14">
        <v>45418</v>
      </c>
      <c r="B672" s="10">
        <v>1479.866455078125</v>
      </c>
      <c r="C672" s="10">
        <v>365.3278198242187</v>
      </c>
      <c r="D672" s="10">
        <v>1548.7890625</v>
      </c>
      <c r="E672" s="10">
        <v>22442.69921875</v>
      </c>
      <c r="F672" s="10">
        <v>989.2000122070312</v>
      </c>
      <c r="I672" s="15">
        <f>LN(B672/B671)</f>
        <v>0.017670664216312908</v>
      </c>
      <c r="J672" s="15">
        <f>LN(C672/C671)</f>
        <v>0.02609377864437988</v>
      </c>
      <c r="K672" s="15">
        <f>LN(D672/D671)</f>
        <v>0.014164831950341364</v>
      </c>
      <c r="L672" s="15">
        <f>LN(E672/E671)</f>
        <v>-0.0014760226012829026</v>
      </c>
      <c r="M672" s="15">
        <f>LN(F672/F671)</f>
        <v>0.02720662445091626</v>
      </c>
      <c r="O672" s="14">
        <v>45427</v>
      </c>
      <c r="P672" s="15">
        <f>I679</f>
        <v>0.035498566400216286</v>
      </c>
      <c r="Q672" s="15">
        <f>J679</f>
        <v>0.02077217888661039</v>
      </c>
      <c r="R672" s="15">
        <f>K679</f>
        <v>-0.014856171513133948</v>
      </c>
      <c r="S672" s="15">
        <f>L679</f>
        <v>-0.0007789037357247285</v>
      </c>
      <c r="T672" s="15">
        <f>M679</f>
        <v>0.010155015011976647</v>
      </c>
    </row>
    <row r="673" spans="1:20">
      <c r="A673" s="14">
        <v>45419</v>
      </c>
      <c r="B673" s="10">
        <v>1448.614135742188</v>
      </c>
      <c r="C673" s="10">
        <v>357.2127685546875</v>
      </c>
      <c r="D673" s="10">
        <v>1483.01416015625</v>
      </c>
      <c r="E673" s="10">
        <v>22302.5</v>
      </c>
      <c r="F673" s="10">
        <v>954.7000122070312</v>
      </c>
      <c r="I673" s="15">
        <f>LN(B673/B672)</f>
        <v>-0.021344519708543168</v>
      </c>
      <c r="J673" s="15">
        <f>LN(C673/C672)</f>
        <v>-0.022463492406750638</v>
      </c>
      <c r="K673" s="15">
        <f>LN(D673/D672)</f>
        <v>-0.043396764167682615</v>
      </c>
      <c r="L673" s="15">
        <f>LN(E673/E672)</f>
        <v>-0.0062665796554610105</v>
      </c>
      <c r="M673" s="15">
        <f>LN(F673/F672)</f>
        <v>-0.03549938019733187</v>
      </c>
      <c r="O673" s="14">
        <v>45428</v>
      </c>
      <c r="P673" s="15">
        <f>I680</f>
        <v>0.08345018851347984</v>
      </c>
      <c r="Q673" s="15">
        <f>J680</f>
        <v>-0.015172824060499492</v>
      </c>
      <c r="R673" s="15">
        <f>K680</f>
        <v>0.014270260719390315</v>
      </c>
      <c r="S673" s="15">
        <f>L680</f>
        <v>0.00911570311987133</v>
      </c>
      <c r="T673" s="15">
        <f>M680</f>
        <v>0.016189483750675943</v>
      </c>
    </row>
    <row r="674" spans="1:20">
      <c r="A674" s="14">
        <v>45420</v>
      </c>
      <c r="B674" s="10">
        <v>1480.5576171875</v>
      </c>
      <c r="C674" s="10">
        <v>357.6608276367188</v>
      </c>
      <c r="D674" s="10">
        <v>1461.753662109375</v>
      </c>
      <c r="E674" s="10">
        <v>22302.5</v>
      </c>
      <c r="F674" s="10">
        <v>960.8499755859376</v>
      </c>
      <c r="I674" s="15">
        <f>LN(B674/B673)</f>
        <v>0.021811454245664223</v>
      </c>
      <c r="J674" s="15">
        <f>LN(C674/C673)</f>
        <v>0.0012535338921166462</v>
      </c>
      <c r="K674" s="15">
        <f>LN(D674/D673)</f>
        <v>-0.014439758066972936</v>
      </c>
      <c r="L674" s="15">
        <f>LN(E674/E673)</f>
        <v>0.0</v>
      </c>
      <c r="M674" s="15">
        <f>LN(F674/F673)</f>
        <v>0.006421116179382553</v>
      </c>
      <c r="O674" s="14">
        <v>45429</v>
      </c>
      <c r="P674" s="15">
        <f>I681</f>
        <v>0.018327317490862763</v>
      </c>
      <c r="Q674" s="15">
        <f>J681</f>
        <v>0.02481568283484076</v>
      </c>
      <c r="R674" s="15">
        <f>K681</f>
        <v>0.018205982466391293</v>
      </c>
      <c r="S674" s="15">
        <f>L681</f>
        <v>0.0027746873362616406</v>
      </c>
      <c r="T674" s="15">
        <f>M681</f>
        <v>0.01653345626001589</v>
      </c>
    </row>
    <row r="675" spans="1:20">
      <c r="A675" s="14">
        <v>45421</v>
      </c>
      <c r="B675" s="10">
        <v>1440.171508789062</v>
      </c>
      <c r="C675" s="10">
        <v>364.2325134277344</v>
      </c>
      <c r="D675" s="10">
        <v>1408.839721679688</v>
      </c>
      <c r="E675" s="10">
        <v>21957.5</v>
      </c>
      <c r="F675" s="10">
        <v>939.4500122070312</v>
      </c>
      <c r="I675" s="15">
        <f>LN(B675/B674)</f>
        <v>-0.027656575365167663</v>
      </c>
      <c r="J675" s="15">
        <f>LN(C675/C674)</f>
        <v>0.01820730837181774</v>
      </c>
      <c r="K675" s="15">
        <f>LN(D675/D674)</f>
        <v>-0.036870380159184195</v>
      </c>
      <c r="L675" s="15">
        <f>LN(E675/E674)</f>
        <v>-0.015590012996666094</v>
      </c>
      <c r="M675" s="15">
        <f>LN(F675/F674)</f>
        <v>-0.022523673336280525</v>
      </c>
      <c r="O675" s="14">
        <v>45433</v>
      </c>
      <c r="P675" s="15">
        <f>I682</f>
        <v>-0.010323861994502415</v>
      </c>
      <c r="Q675" s="15">
        <f>J682</f>
        <v>0.006076780735751665</v>
      </c>
      <c r="R675" s="15">
        <f>K682</f>
        <v>0.033635700272192266</v>
      </c>
      <c r="S675" s="15">
        <f>L682</f>
        <v>0.002798133238882937</v>
      </c>
      <c r="T675" s="15">
        <f>M682</f>
        <v>0.007593239268517333</v>
      </c>
    </row>
    <row r="676" spans="1:20">
      <c r="A676" s="14">
        <v>45422</v>
      </c>
      <c r="B676" s="10">
        <v>1451.181396484375</v>
      </c>
      <c r="C676" s="10">
        <v>367.2196655273438</v>
      </c>
      <c r="D676" s="10">
        <v>1424.6416015625</v>
      </c>
      <c r="E676" s="10">
        <v>22055.19921875</v>
      </c>
      <c r="F676" s="10">
        <v>935.3499755859376</v>
      </c>
      <c r="I676" s="15">
        <f>LN(B676/B675)</f>
        <v>0.007615771073540926</v>
      </c>
      <c r="J676" s="15">
        <f>LN(C676/C675)</f>
        <v>0.008167775808863749</v>
      </c>
      <c r="K676" s="15">
        <f>LN(D676/D675)</f>
        <v>0.011153801209320293</v>
      </c>
      <c r="L676" s="15">
        <f>LN(E676/E675)</f>
        <v>0.004439599522660019</v>
      </c>
      <c r="M676" s="15">
        <f>LN(F676/F675)</f>
        <v>-0.004373845939950561</v>
      </c>
      <c r="O676" s="14">
        <v>45434</v>
      </c>
      <c r="P676" s="15">
        <f>I683</f>
        <v>0.029368874296546613</v>
      </c>
      <c r="Q676" s="15">
        <f>J683</f>
        <v>0.00025778421771006433</v>
      </c>
      <c r="R676" s="15">
        <f>K683</f>
        <v>0.02411642872495992</v>
      </c>
      <c r="S676" s="15">
        <f>L683</f>
        <v>0.0030469687473969323</v>
      </c>
      <c r="T676" s="15">
        <f>M683</f>
        <v>0.014034636323240032</v>
      </c>
    </row>
    <row r="677" spans="1:20">
      <c r="A677" s="14">
        <v>45425</v>
      </c>
      <c r="B677" s="10">
        <v>1464.116821289062</v>
      </c>
      <c r="C677" s="10">
        <v>371.2025756835938</v>
      </c>
      <c r="D677" s="10">
        <v>1494.379638671875</v>
      </c>
      <c r="E677" s="10">
        <v>22104.05078125</v>
      </c>
      <c r="F677" s="10">
        <v>946.9000244140624</v>
      </c>
      <c r="I677" s="15">
        <f>LN(B677/B676)</f>
        <v>0.008874227423115789</v>
      </c>
      <c r="J677" s="15">
        <f>LN(C677/C676)</f>
        <v>0.010787727020768736</v>
      </c>
      <c r="K677" s="15">
        <f>LN(D677/D676)</f>
        <v>0.04779088890206635</v>
      </c>
      <c r="L677" s="15">
        <f>LN(E677/E676)</f>
        <v>0.002212518664983643</v>
      </c>
      <c r="M677" s="15">
        <f>LN(F677/F676)</f>
        <v>0.012272752079214364</v>
      </c>
      <c r="O677" s="14">
        <v>45435</v>
      </c>
      <c r="P677" s="15">
        <f>I684</f>
        <v>0.007775843342683738</v>
      </c>
      <c r="Q677" s="15">
        <f>J684</f>
        <v>-0.008801521872656223</v>
      </c>
      <c r="R677" s="15">
        <f>K684</f>
        <v>-0.0048549955607055505</v>
      </c>
      <c r="S677" s="15">
        <f>L684</f>
        <v>0.01623413013834582</v>
      </c>
      <c r="T677" s="15">
        <f>M684</f>
        <v>0.011223462102425572</v>
      </c>
    </row>
    <row r="678" spans="1:20">
      <c r="A678" s="14">
        <v>45426</v>
      </c>
      <c r="B678" s="10">
        <v>1500.158203125</v>
      </c>
      <c r="C678" s="10">
        <v>372.3973999023438</v>
      </c>
      <c r="D678" s="10">
        <v>1489.045654296875</v>
      </c>
      <c r="E678" s="10">
        <v>22217.849609375</v>
      </c>
      <c r="F678" s="10">
        <v>955.25</v>
      </c>
      <c r="I678" s="15">
        <f>LN(B678/B677)</f>
        <v>0.02431836297866102</v>
      </c>
      <c r="J678" s="15">
        <f>LN(C678/C677)</f>
        <v>0.003213623685481379</v>
      </c>
      <c r="K678" s="15">
        <f>LN(D678/D677)</f>
        <v>-0.0035757490364660754</v>
      </c>
      <c r="L678" s="15">
        <f>LN(E678/E677)</f>
        <v>0.005135117275633606</v>
      </c>
      <c r="M678" s="15">
        <f>LN(F678/F677)</f>
        <v>0.008779569554407719</v>
      </c>
      <c r="O678" s="14">
        <v>45436</v>
      </c>
      <c r="P678" s="15">
        <f>I685</f>
        <v>0.007049619340932955</v>
      </c>
      <c r="Q678" s="15">
        <f>J685</f>
        <v>-0.010849030472273969</v>
      </c>
      <c r="R678" s="15">
        <f>K685</f>
        <v>0.0011069157396247987</v>
      </c>
      <c r="S678" s="15">
        <f>L685</f>
        <v>-0.00045948127907615604</v>
      </c>
      <c r="T678" s="15">
        <f>M685</f>
        <v>-0.006572404895263734</v>
      </c>
    </row>
    <row r="679" spans="1:20">
      <c r="A679" s="14">
        <v>45427</v>
      </c>
      <c r="B679" s="10">
        <v>1554.3681640625</v>
      </c>
      <c r="C679" s="10">
        <v>380.2138061523438</v>
      </c>
      <c r="D679" s="10">
        <v>1467.087646484375</v>
      </c>
      <c r="E679" s="10">
        <v>22200.55078125</v>
      </c>
      <c r="F679" s="10">
        <v>965</v>
      </c>
      <c r="I679" s="15">
        <f>LN(B679/B678)</f>
        <v>0.035498566400216286</v>
      </c>
      <c r="J679" s="15">
        <f>LN(C679/C678)</f>
        <v>0.02077217888661039</v>
      </c>
      <c r="K679" s="15">
        <f>LN(D679/D678)</f>
        <v>-0.014856171513133948</v>
      </c>
      <c r="L679" s="15">
        <f>LN(E679/E678)</f>
        <v>-0.0007789037357247285</v>
      </c>
      <c r="M679" s="15">
        <f>LN(F679/F678)</f>
        <v>0.010155015011976647</v>
      </c>
      <c r="O679" s="14">
        <v>45439</v>
      </c>
      <c r="P679" s="15">
        <f>I686</f>
        <v>0.0017199443120599453</v>
      </c>
      <c r="Q679" s="15">
        <f>J686</f>
        <v>0.004458366506838306</v>
      </c>
      <c r="R679" s="15">
        <f>K686</f>
        <v>-0.00513948146053796</v>
      </c>
      <c r="S679" s="15">
        <f>L686</f>
        <v>-0.0010743358183047916</v>
      </c>
      <c r="T679" s="15">
        <f>M686</f>
        <v>0.00846303803327418</v>
      </c>
    </row>
    <row r="680" spans="1:20">
      <c r="A680" s="14">
        <v>45428</v>
      </c>
      <c r="B680" s="10">
        <v>1689.646484375</v>
      </c>
      <c r="C680" s="10">
        <v>374.4884338378906</v>
      </c>
      <c r="D680" s="10">
        <v>1488.173461914062</v>
      </c>
      <c r="E680" s="10">
        <v>22403.849609375</v>
      </c>
      <c r="F680" s="10">
        <v>980.75</v>
      </c>
      <c r="I680" s="15">
        <f>LN(B680/B679)</f>
        <v>0.08345018851347984</v>
      </c>
      <c r="J680" s="15">
        <f>LN(C680/C679)</f>
        <v>-0.015172824060499492</v>
      </c>
      <c r="K680" s="15">
        <f>LN(D680/D679)</f>
        <v>0.014270260719390315</v>
      </c>
      <c r="L680" s="15">
        <f>LN(E680/E679)</f>
        <v>0.00911570311987133</v>
      </c>
      <c r="M680" s="15">
        <f>LN(F680/F679)</f>
        <v>0.016189483750675943</v>
      </c>
      <c r="O680" s="14">
        <v>45440</v>
      </c>
      <c r="P680" s="15">
        <f>I687</f>
        <v>0.01583986063694095</v>
      </c>
      <c r="Q680" s="15">
        <f>J687</f>
        <v>-0.016490016138725274</v>
      </c>
      <c r="R680" s="15">
        <f>K687</f>
        <v>-0.03370177686177036</v>
      </c>
      <c r="S680" s="15">
        <f>L687</f>
        <v>-0.00193357757447097</v>
      </c>
      <c r="T680" s="15">
        <f>M687</f>
        <v>-0.021887402346566106</v>
      </c>
    </row>
    <row r="681" spans="1:20">
      <c r="A681" s="14">
        <v>45429</v>
      </c>
      <c r="B681" s="10">
        <v>1720.898681640625</v>
      </c>
      <c r="C681" s="10">
        <v>383.8978881835938</v>
      </c>
      <c r="D681" s="10">
        <v>1515.515258789062</v>
      </c>
      <c r="E681" s="10">
        <v>22466.099609375</v>
      </c>
      <c r="F681" s="10">
        <v>997.0999755859376</v>
      </c>
      <c r="I681" s="15">
        <f>LN(B681/B680)</f>
        <v>0.018327317490862763</v>
      </c>
      <c r="J681" s="15">
        <f>LN(C681/C680)</f>
        <v>0.02481568283484076</v>
      </c>
      <c r="K681" s="15">
        <f>LN(D681/D680)</f>
        <v>0.018205982466391293</v>
      </c>
      <c r="L681" s="15">
        <f>LN(E681/E680)</f>
        <v>0.0027746873362616406</v>
      </c>
      <c r="M681" s="15">
        <f>LN(F681/F680)</f>
        <v>0.01653345626001589</v>
      </c>
      <c r="O681" s="14">
        <v>45441</v>
      </c>
      <c r="P681" s="15">
        <f>I688</f>
        <v>5.4574785290303795e-05</v>
      </c>
      <c r="Q681" s="15">
        <f>J688</f>
        <v>-0.0046663409333574475</v>
      </c>
      <c r="R681" s="15">
        <f>K688</f>
        <v>0.004751015225124184</v>
      </c>
      <c r="S681" s="15">
        <f>L688</f>
        <v>-0.0080474093408375</v>
      </c>
      <c r="T681" s="15">
        <f>M688</f>
        <v>-0.009000769622134438</v>
      </c>
    </row>
    <row r="682" spans="1:20">
      <c r="A682" s="14">
        <v>45433</v>
      </c>
      <c r="B682" s="10">
        <v>1703.223754882812</v>
      </c>
      <c r="C682" s="10">
        <v>386.2378540039062</v>
      </c>
      <c r="D682" s="10">
        <v>1567.357666015625</v>
      </c>
      <c r="E682" s="10">
        <v>22529.05078125</v>
      </c>
      <c r="F682" s="10">
        <v>1004.700012207031</v>
      </c>
      <c r="I682" s="15">
        <f>LN(B682/B681)</f>
        <v>-0.010323861994502415</v>
      </c>
      <c r="J682" s="15">
        <f>LN(C682/C681)</f>
        <v>0.006076780735751665</v>
      </c>
      <c r="K682" s="15">
        <f>LN(D682/D681)</f>
        <v>0.033635700272192266</v>
      </c>
      <c r="L682" s="15">
        <f>LN(E682/E681)</f>
        <v>0.002798133238882937</v>
      </c>
      <c r="M682" s="15">
        <f>LN(F682/F681)</f>
        <v>0.007593239268517333</v>
      </c>
      <c r="O682" s="14">
        <v>45442</v>
      </c>
      <c r="P682" s="15">
        <f>I689</f>
        <v>-0.012242389604102776</v>
      </c>
      <c r="Q682" s="15">
        <f>J689</f>
        <v>-0.009938296631897516</v>
      </c>
      <c r="R682" s="15">
        <f>K689</f>
        <v>-0.010778848991401812</v>
      </c>
      <c r="S682" s="15">
        <f>L689</f>
        <v>-0.00956116224385675</v>
      </c>
      <c r="T682" s="15">
        <f>M689</f>
        <v>-0.004907395340818151</v>
      </c>
    </row>
    <row r="683" spans="1:20">
      <c r="A683" s="14">
        <v>45434</v>
      </c>
      <c r="B683" s="10">
        <v>1753.9873046875</v>
      </c>
      <c r="C683" s="10">
        <v>386.3374328613281</v>
      </c>
      <c r="D683" s="10">
        <v>1605.6162109375</v>
      </c>
      <c r="E683" s="10">
        <v>22597.80078125</v>
      </c>
      <c r="F683" s="10">
        <v>1018.900024414062</v>
      </c>
      <c r="I683" s="15">
        <f>LN(B683/B682)</f>
        <v>0.029368874296546613</v>
      </c>
      <c r="J683" s="15">
        <f>LN(C683/C682)</f>
        <v>0.00025778421771006433</v>
      </c>
      <c r="K683" s="15">
        <f>LN(D683/D682)</f>
        <v>0.02411642872495992</v>
      </c>
      <c r="L683" s="15">
        <f>LN(E683/E682)</f>
        <v>0.0030469687473969323</v>
      </c>
      <c r="M683" s="15">
        <f>LN(F683/F682)</f>
        <v>0.014034636323240032</v>
      </c>
      <c r="O683" s="14">
        <v>45443</v>
      </c>
      <c r="P683" s="15">
        <f>I690</f>
        <v>0.005068832003719559</v>
      </c>
      <c r="Q683" s="15">
        <f>J690</f>
        <v>0.03982269097555713</v>
      </c>
      <c r="R683" s="15">
        <f>K690</f>
        <v>0.010214449191817085</v>
      </c>
      <c r="S683" s="15">
        <f>L690</f>
        <v>0.0018680341105537352</v>
      </c>
      <c r="T683" s="15">
        <f>M690</f>
        <v>0.023172076983031635</v>
      </c>
    </row>
    <row r="684" spans="1:20">
      <c r="A684" s="14">
        <v>45435</v>
      </c>
      <c r="B684" s="10">
        <v>1767.67919921875</v>
      </c>
      <c r="C684" s="10">
        <v>382.9519958496094</v>
      </c>
      <c r="D684" s="10">
        <v>1597.83984375</v>
      </c>
      <c r="E684" s="10">
        <v>22967.650390625</v>
      </c>
      <c r="F684" s="10">
        <v>1030.400024414062</v>
      </c>
      <c r="I684" s="15">
        <f>LN(B684/B683)</f>
        <v>0.007775843342683738</v>
      </c>
      <c r="J684" s="15">
        <f>LN(C684/C683)</f>
        <v>-0.008801521872656223</v>
      </c>
      <c r="K684" s="15">
        <f>LN(D684/D683)</f>
        <v>-0.0048549955607055505</v>
      </c>
      <c r="L684" s="15">
        <f>LN(E684/E683)</f>
        <v>0.01623413013834582</v>
      </c>
      <c r="M684" s="15">
        <f>LN(F684/F683)</f>
        <v>0.011223462102425572</v>
      </c>
      <c r="O684" s="14">
        <v>45446</v>
      </c>
      <c r="P684" s="15">
        <f>I691</f>
        <v>0.03472653425667962</v>
      </c>
      <c r="Q684" s="15">
        <f>J691</f>
        <v>0.03416958835015305</v>
      </c>
      <c r="R684" s="15">
        <f>K691</f>
        <v>0.0755495254754531</v>
      </c>
      <c r="S684" s="15">
        <f>L691</f>
        <v>0.03202403067452011</v>
      </c>
      <c r="T684" s="15">
        <f>M691</f>
        <v>0.05779313869666973</v>
      </c>
    </row>
    <row r="685" spans="1:20">
      <c r="A685" s="14">
        <v>45436</v>
      </c>
      <c r="B685" s="10">
        <v>1780.184692382812</v>
      </c>
      <c r="C685" s="10">
        <v>378.8197937011719</v>
      </c>
      <c r="D685" s="10">
        <v>1599.609497070312</v>
      </c>
      <c r="E685" s="10">
        <v>22957.099609375</v>
      </c>
      <c r="F685" s="10">
        <v>1023.650024414062</v>
      </c>
      <c r="I685" s="15">
        <f>LN(B685/B684)</f>
        <v>0.007049619340932955</v>
      </c>
      <c r="J685" s="15">
        <f>LN(C685/C684)</f>
        <v>-0.010849030472273969</v>
      </c>
      <c r="K685" s="15">
        <f>LN(D685/D684)</f>
        <v>0.0011069157396247987</v>
      </c>
      <c r="L685" s="15">
        <f>LN(E685/E684)</f>
        <v>-0.00045948127907615604</v>
      </c>
      <c r="M685" s="15">
        <f>LN(F685/F684)</f>
        <v>-0.006572404895263734</v>
      </c>
      <c r="O685" s="14">
        <v>45447</v>
      </c>
      <c r="P685" s="15">
        <f>I692</f>
        <v>-0.0764727439585123</v>
      </c>
      <c r="Q685" s="15">
        <f>J692</f>
        <v>-0.1744311054812536</v>
      </c>
      <c r="R685" s="15">
        <f>K692</f>
        <v>-0.025817274490040818</v>
      </c>
      <c r="S685" s="15">
        <f>L692</f>
        <v>-0.06112419596275757</v>
      </c>
      <c r="T685" s="15">
        <f>M692</f>
        <v>-0.10119764538298048</v>
      </c>
    </row>
    <row r="686" spans="1:20">
      <c r="A686" s="14">
        <v>45439</v>
      </c>
      <c r="B686" s="10">
        <v>1783.249145507812</v>
      </c>
      <c r="C686" s="10">
        <v>380.5124816894531</v>
      </c>
      <c r="D686" s="10">
        <v>1591.409423828125</v>
      </c>
      <c r="E686" s="10">
        <v>22932.44921875</v>
      </c>
      <c r="F686" s="10">
        <v>1032.349975585938</v>
      </c>
      <c r="I686" s="15">
        <f>LN(B686/B685)</f>
        <v>0.0017199443120599453</v>
      </c>
      <c r="J686" s="15">
        <f>LN(C686/C685)</f>
        <v>0.004458366506838306</v>
      </c>
      <c r="K686" s="15">
        <f>LN(D686/D685)</f>
        <v>-0.00513948146053796</v>
      </c>
      <c r="L686" s="15">
        <f>LN(E686/E685)</f>
        <v>-0.0010743358183047916</v>
      </c>
      <c r="M686" s="15">
        <f>LN(F686/F685)</f>
        <v>0.00846303803327418</v>
      </c>
      <c r="O686" s="14">
        <v>45448</v>
      </c>
      <c r="P686" s="15">
        <f>I693</f>
        <v>0.055554237714525924</v>
      </c>
      <c r="Q686" s="15">
        <f>J693</f>
        <v>0.05811974166509819</v>
      </c>
      <c r="R686" s="15">
        <f>K693</f>
        <v>-0.011717645792959806</v>
      </c>
      <c r="S686" s="15">
        <f>L693</f>
        <v>0.03307130264902321</v>
      </c>
      <c r="T686" s="15">
        <f>M693</f>
        <v>0.024989931786354183</v>
      </c>
    </row>
    <row r="687" spans="1:20">
      <c r="A687" s="14">
        <v>45440</v>
      </c>
      <c r="B687" s="10">
        <v>1811.720458984375</v>
      </c>
      <c r="C687" s="10">
        <v>374.2892761230469</v>
      </c>
      <c r="D687" s="10">
        <v>1538.669799804688</v>
      </c>
      <c r="E687" s="10">
        <v>22888.150390625</v>
      </c>
      <c r="F687" s="10">
        <v>1010</v>
      </c>
      <c r="I687" s="15">
        <f>LN(B687/B686)</f>
        <v>0.01583986063694095</v>
      </c>
      <c r="J687" s="15">
        <f>LN(C687/C686)</f>
        <v>-0.016490016138725274</v>
      </c>
      <c r="K687" s="15">
        <f>LN(D687/D686)</f>
        <v>-0.03370177686177036</v>
      </c>
      <c r="L687" s="15">
        <f>LN(E687/E686)</f>
        <v>-0.00193357757447097</v>
      </c>
      <c r="M687" s="15">
        <f>LN(F687/F686)</f>
        <v>-0.021887402346566106</v>
      </c>
      <c r="O687" s="14">
        <v>45449</v>
      </c>
      <c r="P687" s="15">
        <f>I694</f>
        <v>0.03163613844267144</v>
      </c>
      <c r="Q687" s="15">
        <f>J694</f>
        <v>0.06289150754555753</v>
      </c>
      <c r="R687" s="15">
        <f>K694</f>
        <v>-0.0037496138723462935</v>
      </c>
      <c r="S687" s="15">
        <f>L694</f>
        <v>0.008848783029735371</v>
      </c>
      <c r="T687" s="15">
        <f>M694</f>
        <v>0.045845339849752996</v>
      </c>
    </row>
    <row r="688" spans="1:20">
      <c r="A688" s="14">
        <v>45441</v>
      </c>
      <c r="B688" s="10">
        <v>1811.8193359375</v>
      </c>
      <c r="C688" s="10">
        <v>372.5467834472656</v>
      </c>
      <c r="D688" s="10">
        <v>1545.997436523438</v>
      </c>
      <c r="E688" s="10">
        <v>22704.69921875</v>
      </c>
      <c r="F688" s="10">
        <v>1000.950012207031</v>
      </c>
      <c r="I688" s="15">
        <f>LN(B688/B687)</f>
        <v>5.4574785290303795e-05</v>
      </c>
      <c r="J688" s="15">
        <f>LN(C688/C687)</f>
        <v>-0.0046663409333574475</v>
      </c>
      <c r="K688" s="15">
        <f>LN(D688/D687)</f>
        <v>0.004751015225124184</v>
      </c>
      <c r="L688" s="15">
        <f>LN(E688/E687)</f>
        <v>-0.0080474093408375</v>
      </c>
      <c r="M688" s="15">
        <f>LN(F688/F687)</f>
        <v>-0.009000769622134438</v>
      </c>
      <c r="O688" s="14">
        <v>45450</v>
      </c>
      <c r="P688" s="15">
        <f>I695</f>
        <v>-0.0077759832545796406</v>
      </c>
      <c r="Q688" s="15">
        <f>J695</f>
        <v>0.03303303879628571</v>
      </c>
      <c r="R688" s="15">
        <f>K695</f>
        <v>0.005797317145143321</v>
      </c>
      <c r="S688" s="15">
        <f>L695</f>
        <v>0.02033183181806326</v>
      </c>
      <c r="T688" s="15">
        <f>M695</f>
        <v>0.020546241717279413</v>
      </c>
    </row>
    <row r="689" spans="1:20">
      <c r="A689" s="14">
        <v>45442</v>
      </c>
      <c r="B689" s="10">
        <v>1789.773559570312</v>
      </c>
      <c r="C689" s="10">
        <v>368.8626403808594</v>
      </c>
      <c r="D689" s="10">
        <v>1529.4228515625</v>
      </c>
      <c r="E689" s="10">
        <v>22488.650390625</v>
      </c>
      <c r="F689" s="10">
        <v>996.0499877929688</v>
      </c>
      <c r="I689" s="15">
        <f>LN(B689/B688)</f>
        <v>-0.012242389604102776</v>
      </c>
      <c r="J689" s="15">
        <f>LN(C689/C688)</f>
        <v>-0.009938296631897516</v>
      </c>
      <c r="K689" s="15">
        <f>LN(D689/D688)</f>
        <v>-0.010778848991401812</v>
      </c>
      <c r="L689" s="15">
        <f>LN(E689/E688)</f>
        <v>-0.00956116224385675</v>
      </c>
      <c r="M689" s="15">
        <f>LN(F689/F688)</f>
        <v>-0.004907395340818151</v>
      </c>
      <c r="O689" s="14">
        <v>45453</v>
      </c>
      <c r="P689" s="15">
        <f>I696</f>
        <v>0.0051731045694521</v>
      </c>
      <c r="Q689" s="15">
        <f>J696</f>
        <v>0.023140578856020166</v>
      </c>
      <c r="R689" s="15">
        <f>K696</f>
        <v>0.031200331586892727</v>
      </c>
      <c r="S689" s="15">
        <f>L696</f>
        <v>-0.0013298220789751808</v>
      </c>
      <c r="T689" s="15">
        <f>M696</f>
        <v>0.01314374564142281</v>
      </c>
    </row>
    <row r="690" spans="1:20">
      <c r="A690" s="14">
        <v>45443</v>
      </c>
      <c r="B690" s="10">
        <v>1798.86865234375</v>
      </c>
      <c r="C690" s="10">
        <v>383.84814453125</v>
      </c>
      <c r="D690" s="10">
        <v>1545.125122070312</v>
      </c>
      <c r="E690" s="10">
        <v>22530.69921875</v>
      </c>
      <c r="F690" s="10">
        <v>1019.400024414062</v>
      </c>
      <c r="I690" s="15">
        <f>LN(B690/B689)</f>
        <v>0.005068832003719559</v>
      </c>
      <c r="J690" s="15">
        <f>LN(C690/C689)</f>
        <v>0.03982269097555713</v>
      </c>
      <c r="K690" s="15">
        <f>LN(D690/D689)</f>
        <v>0.010214449191817085</v>
      </c>
      <c r="L690" s="15">
        <f>LN(E690/E689)</f>
        <v>0.0018680341105537352</v>
      </c>
      <c r="M690" s="15">
        <f>LN(F690/F689)</f>
        <v>0.023172076983031635</v>
      </c>
      <c r="O690" s="14">
        <v>45454</v>
      </c>
      <c r="P690" s="15">
        <f>I697</f>
        <v>0.016423127880742343</v>
      </c>
      <c r="Q690" s="15">
        <f>J697</f>
        <v>0.05720696989609774</v>
      </c>
      <c r="R690" s="15">
        <f>K697</f>
        <v>0.023133590243703196</v>
      </c>
      <c r="S690" s="15">
        <f>L697</f>
        <v>0.00024290193115634738</v>
      </c>
      <c r="T690" s="15">
        <f>M697</f>
        <v>0.011195300385191164</v>
      </c>
    </row>
    <row r="691" spans="1:20">
      <c r="A691" s="14">
        <v>45446</v>
      </c>
      <c r="B691" s="10">
        <v>1862.434448242188</v>
      </c>
      <c r="C691" s="10">
        <v>397.1907348632813</v>
      </c>
      <c r="D691" s="10">
        <v>1666.38134765625</v>
      </c>
      <c r="E691" s="10">
        <v>23263.900390625</v>
      </c>
      <c r="F691" s="10">
        <v>1080.050048828125</v>
      </c>
      <c r="I691" s="15">
        <f>LN(B691/B690)</f>
        <v>0.03472653425667962</v>
      </c>
      <c r="J691" s="15">
        <f>LN(C691/C690)</f>
        <v>0.03416958835015305</v>
      </c>
      <c r="K691" s="15">
        <f>LN(D691/D690)</f>
        <v>0.0755495254754531</v>
      </c>
      <c r="L691" s="15">
        <f>LN(E691/E690)</f>
        <v>0.03202403067452011</v>
      </c>
      <c r="M691" s="15">
        <f>LN(F691/F690)</f>
        <v>0.05779313869666973</v>
      </c>
      <c r="O691" s="14">
        <v>45455</v>
      </c>
      <c r="P691" s="15">
        <f>I698</f>
        <v>-0.006390969372197771</v>
      </c>
      <c r="Q691" s="15">
        <f>J698</f>
        <v>-0.0066326469650824305</v>
      </c>
      <c r="R691" s="15">
        <f>K698</f>
        <v>0.0006895902759057317</v>
      </c>
      <c r="S691" s="15">
        <f>L698</f>
        <v>0.002494199810096445</v>
      </c>
      <c r="T691" s="15">
        <f>M698</f>
        <v>-0.0004106799116476766</v>
      </c>
    </row>
    <row r="692" spans="1:20">
      <c r="A692" s="14">
        <v>45447</v>
      </c>
      <c r="B692" s="10">
        <v>1725.318603515625</v>
      </c>
      <c r="C692" s="10">
        <v>333.6142883300781</v>
      </c>
      <c r="D692" s="10">
        <v>1623.910522460938</v>
      </c>
      <c r="E692" s="10">
        <v>21884.5</v>
      </c>
      <c r="F692" s="10">
        <v>976.0999755859376</v>
      </c>
      <c r="I692" s="15">
        <f>LN(B692/B691)</f>
        <v>-0.0764727439585123</v>
      </c>
      <c r="J692" s="15">
        <f>LN(C692/C691)</f>
        <v>-0.1744311054812536</v>
      </c>
      <c r="K692" s="15">
        <f>LN(D692/D691)</f>
        <v>-0.025817274490040818</v>
      </c>
      <c r="L692" s="15">
        <f>LN(E692/E691)</f>
        <v>-0.06112419596275757</v>
      </c>
      <c r="M692" s="15">
        <f>LN(F692/F691)</f>
        <v>-0.10119764538298048</v>
      </c>
      <c r="O692" s="14">
        <v>45456</v>
      </c>
      <c r="P692" s="15">
        <f>I699</f>
        <v>0.008538179575644253</v>
      </c>
      <c r="Q692" s="15">
        <f>J699</f>
        <v>-0.014845307600640435</v>
      </c>
      <c r="R692" s="15">
        <f>K699</f>
        <v>0.006957553899206913</v>
      </c>
      <c r="S692" s="15">
        <f>L699</f>
        <v>0.0032512085635553246</v>
      </c>
      <c r="T692" s="15">
        <f>M699</f>
        <v>0.022119801751437705</v>
      </c>
    </row>
    <row r="693" spans="1:20">
      <c r="A693" s="14">
        <v>45448</v>
      </c>
      <c r="B693" s="10">
        <v>1823.879760742188</v>
      </c>
      <c r="C693" s="10">
        <v>353.5783996582031</v>
      </c>
      <c r="D693" s="10">
        <v>1604.9931640625</v>
      </c>
      <c r="E693" s="10">
        <v>22620.349609375</v>
      </c>
      <c r="F693" s="10">
        <v>1000.799987792969</v>
      </c>
      <c r="I693" s="15">
        <f>LN(B693/B692)</f>
        <v>0.055554237714525924</v>
      </c>
      <c r="J693" s="15">
        <f>LN(C693/C692)</f>
        <v>0.05811974166509819</v>
      </c>
      <c r="K693" s="15">
        <f>LN(D693/D692)</f>
        <v>-0.011717645792959806</v>
      </c>
      <c r="L693" s="15">
        <f>LN(E693/E692)</f>
        <v>0.03307130264902321</v>
      </c>
      <c r="M693" s="15">
        <f>LN(F693/F692)</f>
        <v>0.024989931786354183</v>
      </c>
      <c r="O693" s="14">
        <v>45457</v>
      </c>
      <c r="P693" s="15">
        <f>I700</f>
        <v>-0.014104845315942832</v>
      </c>
      <c r="Q693" s="15">
        <f>J700</f>
        <v>0.023718446562046004</v>
      </c>
      <c r="R693" s="15">
        <f>K700</f>
        <v>0.03687735919002741</v>
      </c>
      <c r="S693" s="15">
        <f>L700</f>
        <v>0.0028464728647632507</v>
      </c>
      <c r="T693" s="15">
        <f>M700</f>
        <v>0.008181416175025526</v>
      </c>
    </row>
    <row r="694" spans="1:20">
      <c r="A694" s="14">
        <v>45449</v>
      </c>
      <c r="B694" s="10">
        <v>1882.502685546875</v>
      </c>
      <c r="C694" s="10">
        <v>376.5296325683594</v>
      </c>
      <c r="D694" s="10">
        <v>1598.986328125</v>
      </c>
      <c r="E694" s="10">
        <v>22821.400390625</v>
      </c>
      <c r="F694" s="10">
        <v>1047.75</v>
      </c>
      <c r="I694" s="15">
        <f>LN(B694/B693)</f>
        <v>0.03163613844267144</v>
      </c>
      <c r="J694" s="15">
        <f>LN(C694/C693)</f>
        <v>0.06289150754555753</v>
      </c>
      <c r="K694" s="15">
        <f>LN(D694/D693)</f>
        <v>-0.0037496138723462935</v>
      </c>
      <c r="L694" s="15">
        <f>LN(E694/E693)</f>
        <v>0.008848783029735371</v>
      </c>
      <c r="M694" s="15">
        <f>LN(F694/F693)</f>
        <v>0.045845339849752996</v>
      </c>
      <c r="O694" s="14">
        <v>45461</v>
      </c>
      <c r="P694" s="15">
        <f>I701</f>
        <v>0.0027479628877955264</v>
      </c>
      <c r="Q694" s="15">
        <f>J701</f>
        <v>0.0423191564417874</v>
      </c>
      <c r="R694" s="15">
        <f>K701</f>
        <v>0.06598786765405376</v>
      </c>
      <c r="S694" s="15">
        <f>L701</f>
        <v>0.0039257349959185015</v>
      </c>
      <c r="T694" s="15">
        <f>M701</f>
        <v>0.018601986786239748</v>
      </c>
    </row>
    <row r="695" spans="1:20">
      <c r="A695" s="14">
        <v>45450</v>
      </c>
      <c r="B695" s="10">
        <v>1867.921142578125</v>
      </c>
      <c r="C695" s="10">
        <v>389.1752624511719</v>
      </c>
      <c r="D695" s="10">
        <v>1608.283081054688</v>
      </c>
      <c r="E695" s="10">
        <v>23290.150390625</v>
      </c>
      <c r="F695" s="10">
        <v>1069.5</v>
      </c>
      <c r="I695" s="15">
        <f>LN(B695/B694)</f>
        <v>-0.0077759832545796406</v>
      </c>
      <c r="J695" s="15">
        <f>LN(C695/C694)</f>
        <v>0.03303303879628571</v>
      </c>
      <c r="K695" s="15">
        <f>LN(D695/D694)</f>
        <v>0.005797317145143321</v>
      </c>
      <c r="L695" s="15">
        <f>LN(E695/E694)</f>
        <v>0.02033183181806326</v>
      </c>
      <c r="M695" s="15">
        <f>LN(F695/F694)</f>
        <v>0.020546241717279413</v>
      </c>
      <c r="O695" s="14">
        <v>45462</v>
      </c>
      <c r="P695" s="15">
        <f>I702</f>
        <v>-0.026054689685515883</v>
      </c>
      <c r="Q695" s="15">
        <f>J702</f>
        <v>-0.0021474854048855914</v>
      </c>
      <c r="R695" s="15">
        <f>K702</f>
        <v>-0.038816579659060144</v>
      </c>
      <c r="S695" s="15">
        <f>L702</f>
        <v>-0.0017801967265448713</v>
      </c>
      <c r="T695" s="15">
        <f>M702</f>
        <v>-0.028749861644817503</v>
      </c>
    </row>
    <row r="696" spans="1:20">
      <c r="A696" s="14">
        <v>45453</v>
      </c>
      <c r="B696" s="10">
        <v>1877.609130859375</v>
      </c>
      <c r="C696" s="10">
        <v>398.2860107421875</v>
      </c>
      <c r="D696" s="10">
        <v>1659.253051757812</v>
      </c>
      <c r="E696" s="10">
        <v>23259.19921875</v>
      </c>
      <c r="F696" s="10">
        <v>1083.650024414062</v>
      </c>
      <c r="I696" s="15">
        <f>LN(B696/B695)</f>
        <v>0.0051731045694521</v>
      </c>
      <c r="J696" s="15">
        <f>LN(C696/C695)</f>
        <v>0.023140578856020166</v>
      </c>
      <c r="K696" s="15">
        <f>LN(D696/D695)</f>
        <v>0.031200331586892727</v>
      </c>
      <c r="L696" s="15">
        <f>LN(E696/E695)</f>
        <v>-0.0013298220789751808</v>
      </c>
      <c r="M696" s="15">
        <f>LN(F696/F695)</f>
        <v>0.01314374564142281</v>
      </c>
      <c r="O696" s="14">
        <v>45463</v>
      </c>
      <c r="P696" s="15">
        <f>I703</f>
        <v>0.013800390918115317</v>
      </c>
      <c r="Q696" s="15">
        <f>J703</f>
        <v>-0.004763677319371569</v>
      </c>
      <c r="R696" s="15">
        <f>K703</f>
        <v>0.0032599908883987317</v>
      </c>
      <c r="S696" s="15">
        <f>L703</f>
        <v>0.0021663878659495613</v>
      </c>
      <c r="T696" s="15">
        <f>M703</f>
        <v>0.020018469778419975</v>
      </c>
    </row>
    <row r="697" spans="1:20">
      <c r="A697" s="14">
        <v>45454</v>
      </c>
      <c r="B697" s="10">
        <v>1908.699951171875</v>
      </c>
      <c r="C697" s="10">
        <v>421.7350769042969</v>
      </c>
      <c r="D697" s="10">
        <v>1698.0849609375</v>
      </c>
      <c r="E697" s="10">
        <v>23264.849609375</v>
      </c>
      <c r="F697" s="10">
        <v>1095.849975585938</v>
      </c>
      <c r="I697" s="15">
        <f>LN(B697/B696)</f>
        <v>0.016423127880742343</v>
      </c>
      <c r="J697" s="15">
        <f>LN(C697/C696)</f>
        <v>0.05720696989609774</v>
      </c>
      <c r="K697" s="15">
        <f>LN(D697/D696)</f>
        <v>0.023133590243703196</v>
      </c>
      <c r="L697" s="15">
        <f>LN(E697/E696)</f>
        <v>0.00024290193115634738</v>
      </c>
      <c r="M697" s="15">
        <f>LN(F697/F696)</f>
        <v>0.011195300385191164</v>
      </c>
      <c r="O697" s="14">
        <v>45464</v>
      </c>
      <c r="P697" s="15">
        <f>I704</f>
        <v>-0.0020923553097818345</v>
      </c>
      <c r="Q697" s="15">
        <f>J704</f>
        <v>0.002044375180507089</v>
      </c>
      <c r="R697" s="15">
        <f>K704</f>
        <v>-0.020290881543394684</v>
      </c>
      <c r="S697" s="15">
        <f>L704</f>
        <v>-0.0028002164622532473</v>
      </c>
      <c r="T697" s="15">
        <f>M704</f>
        <v>-0.007393770276259235</v>
      </c>
    </row>
    <row r="698" spans="1:20">
      <c r="A698" s="14">
        <v>45455</v>
      </c>
      <c r="B698" s="10">
        <v>1896.540405273438</v>
      </c>
      <c r="C698" s="10">
        <v>418.9471130371094</v>
      </c>
      <c r="D698" s="10">
        <v>1699.25634765625</v>
      </c>
      <c r="E698" s="10">
        <v>23322.94921875</v>
      </c>
      <c r="F698" s="10">
        <v>1095.400024414062</v>
      </c>
      <c r="I698" s="15">
        <f>LN(B698/B697)</f>
        <v>-0.006390969372197771</v>
      </c>
      <c r="J698" s="15">
        <f>LN(C698/C697)</f>
        <v>-0.0066326469650824305</v>
      </c>
      <c r="K698" s="15">
        <f>LN(D698/D697)</f>
        <v>0.0006895902759057317</v>
      </c>
      <c r="L698" s="15">
        <f>LN(E698/E697)</f>
        <v>0.002494199810096445</v>
      </c>
      <c r="M698" s="15">
        <f>LN(F698/F697)</f>
        <v>-0.0004106799116476766</v>
      </c>
      <c r="O698" s="14">
        <v>45467</v>
      </c>
      <c r="P698" s="15">
        <f>I705</f>
        <v>0.012187829876955322</v>
      </c>
      <c r="Q698" s="15">
        <f>J705</f>
        <v>0.01910388399339656</v>
      </c>
      <c r="R698" s="15">
        <f>K705</f>
        <v>0.0004863267399688861</v>
      </c>
      <c r="S698" s="15">
        <f>L705</f>
        <v>0.0015625352218749532</v>
      </c>
      <c r="T698" s="15">
        <f>M705</f>
        <v>0.003043293712257001</v>
      </c>
    </row>
    <row r="699" spans="1:20">
      <c r="A699" s="14">
        <v>45456</v>
      </c>
      <c r="B699" s="10">
        <v>1912.802734375</v>
      </c>
      <c r="C699" s="10">
        <v>412.7736511230469</v>
      </c>
      <c r="D699" s="10">
        <v>1711.120239257812</v>
      </c>
      <c r="E699" s="10">
        <v>23398.900390625</v>
      </c>
      <c r="F699" s="10">
        <v>1119.900024414062</v>
      </c>
      <c r="I699" s="15">
        <f>LN(B699/B698)</f>
        <v>0.008538179575644253</v>
      </c>
      <c r="J699" s="15">
        <f>LN(C699/C698)</f>
        <v>-0.014845307600640435</v>
      </c>
      <c r="K699" s="15">
        <f>LN(D699/D698)</f>
        <v>0.006957553899206913</v>
      </c>
      <c r="L699" s="15">
        <f>LN(E699/E698)</f>
        <v>0.0032512085635553246</v>
      </c>
      <c r="M699" s="15">
        <f>LN(F699/F698)</f>
        <v>0.022119801751437705</v>
      </c>
      <c r="O699" s="14">
        <v>45468</v>
      </c>
      <c r="P699" s="15">
        <f>I706</f>
        <v>-0.041545476949126144</v>
      </c>
      <c r="Q699" s="15">
        <f>J706</f>
        <v>-0.016045275098729356</v>
      </c>
      <c r="R699" s="15">
        <f>K706</f>
        <v>0.028819604011315923</v>
      </c>
      <c r="S699" s="15">
        <f>L706</f>
        <v>0.007763664467508334</v>
      </c>
      <c r="T699" s="15">
        <f>M706</f>
        <v>-0.01763821704714248</v>
      </c>
    </row>
    <row r="700" spans="1:20">
      <c r="A700" s="14">
        <v>45457</v>
      </c>
      <c r="B700" s="10">
        <v>1886.012329101562</v>
      </c>
      <c r="C700" s="10">
        <v>422.6810302734375</v>
      </c>
      <c r="D700" s="10">
        <v>1775.399780273438</v>
      </c>
      <c r="E700" s="10">
        <v>23465.599609375</v>
      </c>
      <c r="F700" s="10">
        <v>1129.099975585938</v>
      </c>
      <c r="I700" s="15">
        <f>LN(B700/B699)</f>
        <v>-0.014104845315942832</v>
      </c>
      <c r="J700" s="15">
        <f>LN(C700/C699)</f>
        <v>0.023718446562046004</v>
      </c>
      <c r="K700" s="15">
        <f>LN(D700/D699)</f>
        <v>0.03687735919002741</v>
      </c>
      <c r="L700" s="15">
        <f>LN(E700/E699)</f>
        <v>0.0028464728647632507</v>
      </c>
      <c r="M700" s="15">
        <f>LN(F700/F699)</f>
        <v>0.008181416175025526</v>
      </c>
      <c r="O700" s="14">
        <v>45469</v>
      </c>
      <c r="P700" s="15">
        <f>I707</f>
        <v>-0.018093053896246845</v>
      </c>
      <c r="Q700" s="15">
        <f>J707</f>
        <v>-0.004307460310068669</v>
      </c>
      <c r="R700" s="15">
        <f>K707</f>
        <v>-0.01405270344638919</v>
      </c>
      <c r="S700" s="15">
        <f>L707</f>
        <v>0.006198787876631016</v>
      </c>
      <c r="T700" s="15">
        <f>M707</f>
        <v>-0.014447203877771327</v>
      </c>
    </row>
    <row r="701" spans="1:20">
      <c r="A701" s="14">
        <v>45461</v>
      </c>
      <c r="B701" s="10">
        <v>1891.2021484375</v>
      </c>
      <c r="C701" s="10">
        <v>440.9524230957031</v>
      </c>
      <c r="D701" s="10">
        <v>1896.506469726562</v>
      </c>
      <c r="E701" s="10">
        <v>23557.900390625</v>
      </c>
      <c r="F701" s="10">
        <v>1150.300048828125</v>
      </c>
      <c r="I701" s="15">
        <f>LN(B701/B700)</f>
        <v>0.0027479628877955264</v>
      </c>
      <c r="J701" s="15">
        <f>LN(C701/C700)</f>
        <v>0.0423191564417874</v>
      </c>
      <c r="K701" s="15">
        <f>LN(D701/D700)</f>
        <v>0.06598786765405376</v>
      </c>
      <c r="L701" s="15">
        <f>LN(E701/E700)</f>
        <v>0.0039257349959185015</v>
      </c>
      <c r="M701" s="15">
        <f>LN(F701/F700)</f>
        <v>0.018601986786239748</v>
      </c>
      <c r="O701" s="14">
        <v>45470</v>
      </c>
      <c r="P701" s="15">
        <f>I708</f>
        <v>-0.0209243274765808</v>
      </c>
      <c r="Q701" s="15">
        <f>J708</f>
        <v>-0.006153060068494703</v>
      </c>
      <c r="R701" s="15">
        <f>K708</f>
        <v>-0.025772751205255306</v>
      </c>
      <c r="S701" s="15">
        <f>L708</f>
        <v>0.007334080659762657</v>
      </c>
      <c r="T701" s="15">
        <f>M708</f>
        <v>-0.0005003969631506138</v>
      </c>
    </row>
    <row r="702" spans="1:20">
      <c r="A702" s="14">
        <v>45462</v>
      </c>
      <c r="B702" s="10">
        <v>1842.563842773438</v>
      </c>
      <c r="C702" s="10">
        <v>440.0065002441406</v>
      </c>
      <c r="D702" s="10">
        <v>1824.301025390625</v>
      </c>
      <c r="E702" s="10">
        <v>23516</v>
      </c>
      <c r="F702" s="10">
        <v>1117.699951171875</v>
      </c>
      <c r="I702" s="15">
        <f>LN(B702/B701)</f>
        <v>-0.026054689685515883</v>
      </c>
      <c r="J702" s="15">
        <f>LN(C702/C701)</f>
        <v>-0.0021474854048855914</v>
      </c>
      <c r="K702" s="15">
        <f>LN(D702/D701)</f>
        <v>-0.038816579659060144</v>
      </c>
      <c r="L702" s="15">
        <f>LN(E702/E701)</f>
        <v>-0.0017801967265448713</v>
      </c>
      <c r="M702" s="15">
        <f>LN(F702/F701)</f>
        <v>-0.028749861644817503</v>
      </c>
      <c r="O702" s="14">
        <v>45471</v>
      </c>
      <c r="P702" s="15">
        <f>I709</f>
        <v>0.0036594972389182266</v>
      </c>
      <c r="Q702" s="15">
        <f>J709</f>
        <v>-0.017875134478325044</v>
      </c>
      <c r="R702" s="15">
        <f>K709</f>
        <v>0.007847827261008309</v>
      </c>
      <c r="S702" s="15">
        <f>L709</f>
        <v>-0.0014108969297394127</v>
      </c>
      <c r="T702" s="15">
        <f>M709</f>
        <v>0.005263930979184129</v>
      </c>
    </row>
    <row r="703" spans="1:20">
      <c r="A703" s="14">
        <v>45463</v>
      </c>
      <c r="B703" s="10">
        <v>1868.168212890625</v>
      </c>
      <c r="C703" s="10">
        <v>437.9154357910156</v>
      </c>
      <c r="D703" s="10">
        <v>1830.257934570312</v>
      </c>
      <c r="E703" s="10">
        <v>23567</v>
      </c>
      <c r="F703" s="10">
        <v>1140.300048828125</v>
      </c>
      <c r="I703" s="15">
        <f>LN(B703/B702)</f>
        <v>0.013800390918115317</v>
      </c>
      <c r="J703" s="15">
        <f>LN(C703/C702)</f>
        <v>-0.004763677319371569</v>
      </c>
      <c r="K703" s="15">
        <f>LN(D703/D702)</f>
        <v>0.0032599908883987317</v>
      </c>
      <c r="L703" s="15">
        <f>LN(E703/E702)</f>
        <v>0.0021663878659495613</v>
      </c>
      <c r="M703" s="15">
        <f>LN(F703/F702)</f>
        <v>0.020018469778419975</v>
      </c>
      <c r="O703" s="14">
        <v>45474</v>
      </c>
      <c r="P703" s="15">
        <f>I710</f>
        <v>0.005084082006790618</v>
      </c>
      <c r="Q703" s="15">
        <f>J710</f>
        <v>0.03194867946180463</v>
      </c>
      <c r="R703" s="15">
        <f>K710</f>
        <v>-0.004720912112921507</v>
      </c>
      <c r="S703" s="15">
        <f>L710</f>
        <v>0.00545557559691747</v>
      </c>
      <c r="T703" s="15">
        <f>M710</f>
        <v>-0.0033547507117757643</v>
      </c>
    </row>
    <row r="704" spans="1:20">
      <c r="A704" s="14">
        <v>45464</v>
      </c>
      <c r="B704" s="10">
        <v>1864.263427734375</v>
      </c>
      <c r="C704" s="10">
        <v>438.8116149902344</v>
      </c>
      <c r="D704" s="10">
        <v>1793.49462890625</v>
      </c>
      <c r="E704" s="10">
        <v>23501.099609375</v>
      </c>
      <c r="F704" s="10">
        <v>1131.900024414062</v>
      </c>
      <c r="I704" s="15">
        <f>LN(B704/B703)</f>
        <v>-0.0020923553097818345</v>
      </c>
      <c r="J704" s="15">
        <f>LN(C704/C703)</f>
        <v>0.002044375180507089</v>
      </c>
      <c r="K704" s="15">
        <f>LN(D704/D703)</f>
        <v>-0.020290881543394684</v>
      </c>
      <c r="L704" s="15">
        <f>LN(E704/E703)</f>
        <v>-0.0028002164622532473</v>
      </c>
      <c r="M704" s="15">
        <f>LN(F704/F703)</f>
        <v>-0.007393770276259235</v>
      </c>
      <c r="O704" s="14">
        <v>45475</v>
      </c>
      <c r="P704" s="15">
        <f>I711</f>
        <v>0.015930976555454616</v>
      </c>
      <c r="Q704" s="15">
        <f>J711</f>
        <v>0.0820779243442684</v>
      </c>
      <c r="R704" s="15">
        <f>K711</f>
        <v>0.0020698397568978556</v>
      </c>
      <c r="S704" s="15">
        <f>L711</f>
        <v>-0.0007499973340487516</v>
      </c>
      <c r="T704" s="15">
        <f>M711</f>
        <v>0.008230849004190305</v>
      </c>
    </row>
    <row r="705" spans="1:20">
      <c r="A705" s="14">
        <v>45467</v>
      </c>
      <c r="B705" s="10">
        <v>1887.123779296875</v>
      </c>
      <c r="C705" s="10">
        <v>447.2752075195313</v>
      </c>
      <c r="D705" s="10">
        <v>1794.367065429688</v>
      </c>
      <c r="E705" s="10">
        <v>23537.849609375</v>
      </c>
      <c r="F705" s="10">
        <v>1135.349975585938</v>
      </c>
      <c r="I705" s="15">
        <f>LN(B705/B704)</f>
        <v>0.012187829876955322</v>
      </c>
      <c r="J705" s="15">
        <f>LN(C705/C704)</f>
        <v>0.01910388399339656</v>
      </c>
      <c r="K705" s="15">
        <f>LN(D705/D704)</f>
        <v>0.0004863267399688861</v>
      </c>
      <c r="L705" s="15">
        <f>LN(E705/E704)</f>
        <v>0.0015625352218749532</v>
      </c>
      <c r="M705" s="15">
        <f>LN(F705/F704)</f>
        <v>0.003043293712257001</v>
      </c>
      <c r="O705" s="14">
        <v>45476</v>
      </c>
      <c r="P705" s="15">
        <f>I712</f>
        <v>-0.002943511986769305</v>
      </c>
      <c r="Q705" s="15">
        <f>J712</f>
        <v>0.011971182433835333</v>
      </c>
      <c r="R705" s="15">
        <f>K712</f>
        <v>0.02156095622859943</v>
      </c>
      <c r="S705" s="15">
        <f>L712</f>
        <v>0.006719678910168409</v>
      </c>
      <c r="T705" s="15">
        <f>M712</f>
        <v>0.003327297288991905</v>
      </c>
    </row>
    <row r="706" spans="1:20">
      <c r="A706" s="14">
        <v>45468</v>
      </c>
      <c r="B706" s="10">
        <v>1810.32861328125</v>
      </c>
      <c r="C706" s="10">
        <v>440.1558227539062</v>
      </c>
      <c r="D706" s="10">
        <v>1846.832397460938</v>
      </c>
      <c r="E706" s="10">
        <v>23721.30078125</v>
      </c>
      <c r="F706" s="10">
        <v>1115.5</v>
      </c>
      <c r="I706" s="15">
        <f>LN(B706/B705)</f>
        <v>-0.041545476949126144</v>
      </c>
      <c r="J706" s="15">
        <f>LN(C706/C705)</f>
        <v>-0.016045275098729356</v>
      </c>
      <c r="K706" s="15">
        <f>LN(D706/D705)</f>
        <v>0.028819604011315923</v>
      </c>
      <c r="L706" s="15">
        <f>LN(E706/E705)</f>
        <v>0.007763664467508334</v>
      </c>
      <c r="M706" s="15">
        <f>LN(F706/F705)</f>
        <v>-0.01763821704714248</v>
      </c>
      <c r="O706" s="14">
        <v>45477</v>
      </c>
      <c r="P706" s="15">
        <f>I713</f>
        <v>-0.0008623333238321126</v>
      </c>
      <c r="Q706" s="15">
        <f>J713</f>
        <v>0.006544035263675238</v>
      </c>
      <c r="R706" s="15">
        <f>K713</f>
        <v>0.020047639643280775</v>
      </c>
      <c r="S706" s="15">
        <f>L713</f>
        <v>0.0006441994597673961</v>
      </c>
      <c r="T706" s="15">
        <f>M713</f>
        <v>0.0050596964465535604</v>
      </c>
    </row>
    <row r="707" spans="1:20">
      <c r="A707" s="14">
        <v>45469</v>
      </c>
      <c r="B707" s="10">
        <v>1777.868774414062</v>
      </c>
      <c r="C707" s="10">
        <v>438.2639465332031</v>
      </c>
      <c r="D707" s="10">
        <v>1821.060913085938</v>
      </c>
      <c r="E707" s="10">
        <v>23868.80078125</v>
      </c>
      <c r="F707" s="10">
        <v>1099.5</v>
      </c>
      <c r="I707" s="15">
        <f>LN(B707/B706)</f>
        <v>-0.018093053896246845</v>
      </c>
      <c r="J707" s="15">
        <f>LN(C707/C706)</f>
        <v>-0.004307460310068669</v>
      </c>
      <c r="K707" s="15">
        <f>LN(D707/D706)</f>
        <v>-0.01405270344638919</v>
      </c>
      <c r="L707" s="15">
        <f>LN(E707/E706)</f>
        <v>0.006198787876631016</v>
      </c>
      <c r="M707" s="15">
        <f>LN(F707/F706)</f>
        <v>-0.014447203877771327</v>
      </c>
      <c r="O707" s="14">
        <v>45478</v>
      </c>
      <c r="P707" s="15">
        <f>I714</f>
        <v>-0.006338240924833546</v>
      </c>
      <c r="Q707" s="15">
        <f>J714</f>
        <v>0.04766355296152715</v>
      </c>
      <c r="R707" s="15">
        <f>K714</f>
        <v>0.00621247240031491</v>
      </c>
      <c r="S707" s="15">
        <f>L714</f>
        <v>0.0008924945580705119</v>
      </c>
      <c r="T707" s="15">
        <f>M714</f>
        <v>-0.00031266663835068944</v>
      </c>
    </row>
    <row r="708" spans="1:20">
      <c r="A708" s="14">
        <v>45470</v>
      </c>
      <c r="B708" s="10">
        <v>1741.054565429688</v>
      </c>
      <c r="C708" s="10">
        <v>435.5755615234375</v>
      </c>
      <c r="D708" s="10">
        <v>1774.726806640625</v>
      </c>
      <c r="E708" s="10">
        <v>24044.5</v>
      </c>
      <c r="F708" s="10">
        <v>1098.949951171875</v>
      </c>
      <c r="I708" s="15">
        <f>LN(B708/B707)</f>
        <v>-0.0209243274765808</v>
      </c>
      <c r="J708" s="15">
        <f>LN(C708/C707)</f>
        <v>-0.006153060068494703</v>
      </c>
      <c r="K708" s="15">
        <f>LN(D708/D707)</f>
        <v>-0.025772751205255306</v>
      </c>
      <c r="L708" s="15">
        <f>LN(E708/E707)</f>
        <v>0.007334080659762657</v>
      </c>
      <c r="M708" s="15">
        <f>LN(F708/F707)</f>
        <v>-0.0005003969631506138</v>
      </c>
      <c r="O708" s="14">
        <v>45481</v>
      </c>
      <c r="P708" s="15">
        <f>I715</f>
        <v>-0.03523443915884869</v>
      </c>
      <c r="Q708" s="15">
        <f>J715</f>
        <v>0.05620778938477268</v>
      </c>
      <c r="R708" s="15">
        <f>K715</f>
        <v>0.0011979646987465304</v>
      </c>
      <c r="S708" s="15">
        <f>L715</f>
        <v>-0.0001356303337513403</v>
      </c>
      <c r="T708" s="15">
        <f>M715</f>
        <v>-0.004343041527901173</v>
      </c>
    </row>
    <row r="709" spans="1:20">
      <c r="A709" s="14">
        <v>45471</v>
      </c>
      <c r="B709" s="10">
        <v>1747.437622070312</v>
      </c>
      <c r="C709" s="10">
        <v>427.8587646484375</v>
      </c>
      <c r="D709" s="10">
        <v>1788.709350585938</v>
      </c>
      <c r="E709" s="10">
        <v>24010.599609375</v>
      </c>
      <c r="F709" s="10">
        <v>1104.75</v>
      </c>
      <c r="I709" s="15">
        <f>LN(B709/B708)</f>
        <v>0.0036594972389182266</v>
      </c>
      <c r="J709" s="15">
        <f>LN(C709/C708)</f>
        <v>-0.017875134478325044</v>
      </c>
      <c r="K709" s="15">
        <f>LN(D709/D708)</f>
        <v>0.007847827261008309</v>
      </c>
      <c r="L709" s="15">
        <f>LN(E709/E708)</f>
        <v>-0.0014108969297394127</v>
      </c>
      <c r="M709" s="15">
        <f>LN(F709/F708)</f>
        <v>0.005263930979184129</v>
      </c>
      <c r="O709" s="14">
        <v>45482</v>
      </c>
      <c r="P709" s="15">
        <f>I716</f>
        <v>-0.003167613254805619</v>
      </c>
      <c r="Q709" s="15">
        <f>J716</f>
        <v>-0.03286934910467443</v>
      </c>
      <c r="R709" s="15">
        <f>K716</f>
        <v>0.06863985487469235</v>
      </c>
      <c r="S709" s="15">
        <f>L716</f>
        <v>0.00462112711188291</v>
      </c>
      <c r="T709" s="15">
        <f>M716</f>
        <v>0.011377194079242772</v>
      </c>
    </row>
    <row r="710" spans="1:20">
      <c r="A710" s="14">
        <v>45474</v>
      </c>
      <c r="B710" s="10">
        <v>1756.344360351562</v>
      </c>
      <c r="C710" s="10">
        <v>441.7489929199219</v>
      </c>
      <c r="D710" s="10">
        <v>1780.284912109375</v>
      </c>
      <c r="E710" s="10">
        <v>24141.94921875</v>
      </c>
      <c r="F710" s="10">
        <v>1101.050048828125</v>
      </c>
      <c r="I710" s="15">
        <f>LN(B710/B709)</f>
        <v>0.005084082006790618</v>
      </c>
      <c r="J710" s="15">
        <f>LN(C710/C709)</f>
        <v>0.03194867946180463</v>
      </c>
      <c r="K710" s="15">
        <f>LN(D710/D709)</f>
        <v>-0.004720912112921507</v>
      </c>
      <c r="L710" s="15">
        <f>LN(E710/E709)</f>
        <v>0.00545557559691747</v>
      </c>
      <c r="M710" s="15">
        <f>LN(F710/F709)</f>
        <v>-0.0033547507117757643</v>
      </c>
      <c r="O710" s="14">
        <v>45483</v>
      </c>
      <c r="P710" s="15">
        <f>I717</f>
        <v>0.0033997905362280266</v>
      </c>
      <c r="Q710" s="15">
        <f>J717</f>
        <v>-0.042369779787463244</v>
      </c>
      <c r="R710" s="15">
        <f>K717</f>
        <v>-0.006892154843629604</v>
      </c>
      <c r="S710" s="15">
        <f>L717</f>
        <v>-0.004460845993233708</v>
      </c>
      <c r="T710" s="15">
        <f>M717</f>
        <v>-0.00035499348206340716</v>
      </c>
    </row>
    <row r="711" spans="1:20">
      <c r="A711" s="14">
        <v>45475</v>
      </c>
      <c r="B711" s="10">
        <v>1784.548706054688</v>
      </c>
      <c r="C711" s="10">
        <v>479.536376953125</v>
      </c>
      <c r="D711" s="10">
        <v>1783.9736328125</v>
      </c>
      <c r="E711" s="10">
        <v>24123.849609375</v>
      </c>
      <c r="F711" s="10">
        <v>1110.150024414062</v>
      </c>
      <c r="I711" s="15">
        <f>LN(B711/B710)</f>
        <v>0.015930976555454616</v>
      </c>
      <c r="J711" s="15">
        <f>LN(C711/C710)</f>
        <v>0.0820779243442684</v>
      </c>
      <c r="K711" s="15">
        <f>LN(D711/D710)</f>
        <v>0.0020698397568978556</v>
      </c>
      <c r="L711" s="15">
        <f>LN(E711/E710)</f>
        <v>-0.0007499973340487516</v>
      </c>
      <c r="M711" s="15">
        <f>LN(F711/F710)</f>
        <v>0.008230849004190305</v>
      </c>
      <c r="O711" s="14">
        <v>45484</v>
      </c>
      <c r="P711" s="15">
        <f>I718</f>
        <v>-0.0070739875543049165</v>
      </c>
      <c r="Q711" s="15">
        <f>J718</f>
        <v>-0.001685059903349042</v>
      </c>
      <c r="R711" s="15">
        <f>K718</f>
        <v>-0.016264630750879076</v>
      </c>
      <c r="S711" s="15">
        <f>L718</f>
        <v>-0.0003495037195243165</v>
      </c>
      <c r="T711" s="15">
        <f>M718</f>
        <v>-0.01497870631517086</v>
      </c>
    </row>
    <row r="712" spans="1:20">
      <c r="A712" s="14">
        <v>45476</v>
      </c>
      <c r="B712" s="10">
        <v>1779.303588867188</v>
      </c>
      <c r="C712" s="10">
        <v>485.3114929199219</v>
      </c>
      <c r="D712" s="10">
        <v>1822.85546875</v>
      </c>
      <c r="E712" s="10">
        <v>24286.5</v>
      </c>
      <c r="F712" s="10">
        <v>1113.849975585938</v>
      </c>
      <c r="I712" s="15">
        <f>LN(B712/B711)</f>
        <v>-0.002943511986769305</v>
      </c>
      <c r="J712" s="15">
        <f>LN(C712/C711)</f>
        <v>0.011971182433835333</v>
      </c>
      <c r="K712" s="15">
        <f>LN(D712/D711)</f>
        <v>0.02156095622859943</v>
      </c>
      <c r="L712" s="15">
        <f>LN(E712/E711)</f>
        <v>0.006719678910168409</v>
      </c>
      <c r="M712" s="15">
        <f>LN(F712/F711)</f>
        <v>0.003327297288991905</v>
      </c>
      <c r="O712" s="14">
        <v>45485</v>
      </c>
      <c r="P712" s="15">
        <f>I719</f>
        <v>-0.008095917056740896</v>
      </c>
      <c r="Q712" s="15">
        <f>J719</f>
        <v>-0.013744771381917532</v>
      </c>
      <c r="R712" s="15">
        <f>K719</f>
        <v>-0.007822578353335984</v>
      </c>
      <c r="S712" s="15">
        <f>L719</f>
        <v>0.007628403248955412</v>
      </c>
      <c r="T712" s="15">
        <f>M719</f>
        <v>-0.01516081276597167</v>
      </c>
    </row>
    <row r="713" spans="1:20">
      <c r="A713" s="14">
        <v>45477</v>
      </c>
      <c r="B713" s="10">
        <v>1777.769897460938</v>
      </c>
      <c r="C713" s="10">
        <v>488.497802734375</v>
      </c>
      <c r="D713" s="10">
        <v>1859.768188476562</v>
      </c>
      <c r="E713" s="10">
        <v>24302.150390625</v>
      </c>
      <c r="F713" s="10">
        <v>1119.5</v>
      </c>
      <c r="I713" s="15">
        <f>LN(B713/B712)</f>
        <v>-0.0008623333238321126</v>
      </c>
      <c r="J713" s="15">
        <f>LN(C713/C712)</f>
        <v>0.006544035263675238</v>
      </c>
      <c r="K713" s="15">
        <f>LN(D713/D712)</f>
        <v>0.020047639643280775</v>
      </c>
      <c r="L713" s="15">
        <f>LN(E713/E712)</f>
        <v>0.0006441994597673961</v>
      </c>
      <c r="M713" s="15">
        <f>LN(F713/F712)</f>
        <v>0.0050596964465535604</v>
      </c>
      <c r="O713" s="14">
        <v>45488</v>
      </c>
      <c r="P713" s="15">
        <f>I720</f>
        <v>0.010342799456039322</v>
      </c>
      <c r="Q713" s="15">
        <f>J720</f>
        <v>-0.01839950238910005</v>
      </c>
      <c r="R713" s="15">
        <f>K720</f>
        <v>0.021708193448803488</v>
      </c>
      <c r="S713" s="15">
        <f>L720</f>
        <v>0.0034447298074261035</v>
      </c>
      <c r="T713" s="15">
        <f>M720</f>
        <v>0.013357223174373737</v>
      </c>
    </row>
    <row r="714" spans="1:20">
      <c r="A714" s="14">
        <v>45478</v>
      </c>
      <c r="B714" s="10">
        <v>1766.53759765625</v>
      </c>
      <c r="C714" s="10">
        <v>512.3451538085938</v>
      </c>
      <c r="D714" s="10">
        <v>1871.35791015625</v>
      </c>
      <c r="E714" s="10">
        <v>24323.849609375</v>
      </c>
      <c r="F714" s="10">
        <v>1119.150024414062</v>
      </c>
      <c r="I714" s="15">
        <f>LN(B714/B713)</f>
        <v>-0.006338240924833546</v>
      </c>
      <c r="J714" s="15">
        <f>LN(C714/C713)</f>
        <v>0.04766355296152715</v>
      </c>
      <c r="K714" s="15">
        <f>LN(D714/D713)</f>
        <v>0.00621247240031491</v>
      </c>
      <c r="L714" s="15">
        <f>LN(E714/E713)</f>
        <v>0.0008924945580705119</v>
      </c>
      <c r="M714" s="15">
        <f>LN(F714/F713)</f>
        <v>-0.00031266663835068944</v>
      </c>
      <c r="O714" s="14">
        <v>45489</v>
      </c>
      <c r="P714" s="15">
        <f>I721</f>
        <v>0.007029176634560181</v>
      </c>
      <c r="Q714" s="15">
        <f>J721</f>
        <v>-0.009069445186163648</v>
      </c>
      <c r="R714" s="15">
        <f>K721</f>
        <v>0.02183581402381764</v>
      </c>
      <c r="S714" s="15">
        <f>L721</f>
        <v>0.0010691440871768358</v>
      </c>
      <c r="T714" s="15">
        <f>M721</f>
        <v>0.016427176359579517</v>
      </c>
    </row>
    <row r="715" spans="1:20">
      <c r="A715" s="14">
        <v>45481</v>
      </c>
      <c r="B715" s="10">
        <v>1705.37841796875</v>
      </c>
      <c r="C715" s="10">
        <v>541.9676513671875</v>
      </c>
      <c r="D715" s="10">
        <v>1873.60107421875</v>
      </c>
      <c r="E715" s="10">
        <v>24320.55078125</v>
      </c>
      <c r="F715" s="10">
        <v>1114.300048828125</v>
      </c>
      <c r="I715" s="15">
        <f>LN(B715/B714)</f>
        <v>-0.03523443915884869</v>
      </c>
      <c r="J715" s="15">
        <f>LN(C715/C714)</f>
        <v>0.05620778938477268</v>
      </c>
      <c r="K715" s="15">
        <f>LN(D715/D714)</f>
        <v>0.0011979646987465304</v>
      </c>
      <c r="L715" s="15">
        <f>LN(E715/E714)</f>
        <v>-0.0001356303337513403</v>
      </c>
      <c r="M715" s="15">
        <f>LN(F715/F714)</f>
        <v>-0.004343041527901173</v>
      </c>
      <c r="O715" s="14">
        <v>45491</v>
      </c>
      <c r="P715" s="15">
        <f>I722</f>
        <v>-0.005165372552836179</v>
      </c>
      <c r="Q715" s="15">
        <f>J722</f>
        <v>-0.008108205236398614</v>
      </c>
      <c r="R715" s="15">
        <f>K722</f>
        <v>0.004588925864606077</v>
      </c>
      <c r="S715" s="15">
        <f>L722</f>
        <v>0.007603152387120198</v>
      </c>
      <c r="T715" s="15">
        <f>M722</f>
        <v>-0.0031570749495089473</v>
      </c>
    </row>
    <row r="716" spans="1:20">
      <c r="A716" s="14">
        <v>45482</v>
      </c>
      <c r="B716" s="10">
        <v>1699.984985351562</v>
      </c>
      <c r="C716" s="10">
        <v>524.443115234375</v>
      </c>
      <c r="D716" s="10">
        <v>2006.72119140625</v>
      </c>
      <c r="E716" s="10">
        <v>24433.19921875</v>
      </c>
      <c r="F716" s="10">
        <v>1127.050048828125</v>
      </c>
      <c r="I716" s="15">
        <f>LN(B716/B715)</f>
        <v>-0.003167613254805619</v>
      </c>
      <c r="J716" s="15">
        <f>LN(C716/C715)</f>
        <v>-0.03286934910467443</v>
      </c>
      <c r="K716" s="15">
        <f>LN(D716/D715)</f>
        <v>0.06863985487469235</v>
      </c>
      <c r="L716" s="15">
        <f>LN(E716/E715)</f>
        <v>0.00462112711188291</v>
      </c>
      <c r="M716" s="15">
        <f>LN(F716/F715)</f>
        <v>0.011377194079242772</v>
      </c>
      <c r="O716" s="14">
        <v>45492</v>
      </c>
      <c r="P716" s="15">
        <f>I723</f>
        <v>-0.02787916496702399</v>
      </c>
      <c r="Q716" s="15">
        <f>J723</f>
        <v>0.0034384873222125475</v>
      </c>
      <c r="R716" s="15">
        <f>K723</f>
        <v>-0.03312884878962596</v>
      </c>
      <c r="S716" s="15">
        <f>L723</f>
        <v>-0.010944347737899481</v>
      </c>
      <c r="T716" s="15">
        <f>M723</f>
        <v>-0.023886845904104295</v>
      </c>
    </row>
    <row r="717" spans="1:20">
      <c r="A717" s="14">
        <v>45483</v>
      </c>
      <c r="B717" s="10">
        <v>1705.7744140625</v>
      </c>
      <c r="C717" s="10">
        <v>502.6867370605469</v>
      </c>
      <c r="D717" s="10">
        <v>1992.938110351562</v>
      </c>
      <c r="E717" s="10">
        <v>24324.44921875</v>
      </c>
      <c r="F717" s="10">
        <v>1126.650024414062</v>
      </c>
      <c r="I717" s="15">
        <f>LN(B717/B716)</f>
        <v>0.0033997905362280266</v>
      </c>
      <c r="J717" s="15">
        <f>LN(C717/C716)</f>
        <v>-0.042369779787463244</v>
      </c>
      <c r="K717" s="15">
        <f>LN(D717/D716)</f>
        <v>-0.006892154843629604</v>
      </c>
      <c r="L717" s="15">
        <f>LN(E717/E716)</f>
        <v>-0.004460845993233708</v>
      </c>
      <c r="M717" s="15">
        <f>LN(F717/F716)</f>
        <v>-0.00035499348206340716</v>
      </c>
      <c r="O717" s="14">
        <v>45495</v>
      </c>
      <c r="P717" s="15">
        <f>I724</f>
        <v>0.04257970443223562</v>
      </c>
      <c r="Q717" s="15">
        <f>J724</f>
        <v>0.05906928600307271</v>
      </c>
      <c r="R717" s="15">
        <f>K724</f>
        <v>-0.062181366892397456</v>
      </c>
      <c r="S717" s="15">
        <f>L724</f>
        <v>-0.0008829659721330775</v>
      </c>
      <c r="T717" s="15">
        <f>M724</f>
        <v>-0.00484654308547982</v>
      </c>
    </row>
    <row r="718" spans="1:20">
      <c r="A718" s="14">
        <v>45484</v>
      </c>
      <c r="B718" s="10">
        <v>1693.750366210938</v>
      </c>
      <c r="C718" s="10">
        <v>501.8403930664062</v>
      </c>
      <c r="D718" s="10">
        <v>1960.785888671875</v>
      </c>
      <c r="E718" s="10">
        <v>24315.94921875</v>
      </c>
      <c r="F718" s="10">
        <v>1109.900024414062</v>
      </c>
      <c r="I718" s="15">
        <f>LN(B718/B717)</f>
        <v>-0.0070739875543049165</v>
      </c>
      <c r="J718" s="15">
        <f>LN(C718/C717)</f>
        <v>-0.001685059903349042</v>
      </c>
      <c r="K718" s="15">
        <f>LN(D718/D717)</f>
        <v>-0.016264630750879076</v>
      </c>
      <c r="L718" s="15">
        <f>LN(E718/E717)</f>
        <v>-0.0003495037195243165</v>
      </c>
      <c r="M718" s="15">
        <f>LN(F718/F717)</f>
        <v>-0.01497870631517086</v>
      </c>
      <c r="O718" s="14">
        <v>45496</v>
      </c>
      <c r="P718" s="15">
        <f>I725</f>
        <v>-0.03317033847088131</v>
      </c>
      <c r="Q718" s="15">
        <f>J725</f>
        <v>0.010436525723691649</v>
      </c>
      <c r="R718" s="15">
        <f>K725</f>
        <v>0.015591002751743422</v>
      </c>
      <c r="S718" s="15">
        <f>L725</f>
        <v>-0.0012329157000276177</v>
      </c>
      <c r="T718" s="15">
        <f>M725</f>
        <v>-0.02313669148004849</v>
      </c>
    </row>
    <row r="719" spans="1:20">
      <c r="A719" s="14">
        <v>45485</v>
      </c>
      <c r="B719" s="10">
        <v>1680.09326171875</v>
      </c>
      <c r="C719" s="10">
        <v>494.9898986816406</v>
      </c>
      <c r="D719" s="10">
        <v>1945.50732421875</v>
      </c>
      <c r="E719" s="10">
        <v>24502.150390625</v>
      </c>
      <c r="F719" s="10">
        <v>1093.199951171875</v>
      </c>
      <c r="I719" s="15">
        <f>LN(B719/B718)</f>
        <v>-0.008095917056740896</v>
      </c>
      <c r="J719" s="15">
        <f>LN(C719/C718)</f>
        <v>-0.013744771381917532</v>
      </c>
      <c r="K719" s="15">
        <f>LN(D719/D718)</f>
        <v>-0.007822578353335984</v>
      </c>
      <c r="L719" s="15">
        <f>LN(E719/E718)</f>
        <v>0.007628403248955412</v>
      </c>
      <c r="M719" s="15">
        <f>LN(F719/F718)</f>
        <v>-0.01516081276597167</v>
      </c>
      <c r="O719" s="14">
        <v>45497</v>
      </c>
      <c r="P719" s="15">
        <f>I726</f>
        <v>0.03251065356322913</v>
      </c>
      <c r="Q719" s="15">
        <f>J726</f>
        <v>0.005997993708006885</v>
      </c>
      <c r="R719" s="15">
        <f>K726</f>
        <v>-0.05887256959488777</v>
      </c>
      <c r="S719" s="15">
        <f>L726</f>
        <v>-0.00268142363114976</v>
      </c>
      <c r="T719" s="15">
        <f>M726</f>
        <v>0.007756369151698318</v>
      </c>
    </row>
    <row r="720" spans="1:20">
      <c r="A720" s="14">
        <v>45488</v>
      </c>
      <c r="B720" s="10">
        <v>1697.560302734375</v>
      </c>
      <c r="C720" s="10">
        <v>485.9656066894531</v>
      </c>
      <c r="D720" s="10">
        <v>1988.202514648438</v>
      </c>
      <c r="E720" s="10">
        <v>24586.69921875</v>
      </c>
      <c r="F720" s="10">
        <v>1107.900024414062</v>
      </c>
      <c r="I720" s="15">
        <f>LN(B720/B719)</f>
        <v>0.010342799456039322</v>
      </c>
      <c r="J720" s="15">
        <f>LN(C720/C719)</f>
        <v>-0.01839950238910005</v>
      </c>
      <c r="K720" s="15">
        <f>LN(D720/D719)</f>
        <v>0.021708193448803488</v>
      </c>
      <c r="L720" s="15">
        <f>LN(E720/E719)</f>
        <v>0.0034447298074261035</v>
      </c>
      <c r="M720" s="15">
        <f>LN(F720/F719)</f>
        <v>0.013357223174373737</v>
      </c>
      <c r="O720" s="14">
        <v>45498</v>
      </c>
      <c r="P720" s="15">
        <f>I727</f>
        <v>-0.007833931663580176</v>
      </c>
      <c r="Q720" s="15">
        <f>J727</f>
        <v>-0.007260149732614852</v>
      </c>
      <c r="R720" s="15">
        <f>K727</f>
        <v>-0.018413820565238628</v>
      </c>
      <c r="S720" s="15">
        <f>L727</f>
        <v>-0.0003031729363163769</v>
      </c>
      <c r="T720" s="15">
        <f>M727</f>
        <v>-0.008319382920200447</v>
      </c>
    </row>
    <row r="721" spans="1:20">
      <c r="A721" s="14">
        <v>45489</v>
      </c>
      <c r="B721" s="10">
        <v>1709.534790039062</v>
      </c>
      <c r="C721" s="10">
        <v>481.5780944824219</v>
      </c>
      <c r="D721" s="10">
        <v>2032.093994140625</v>
      </c>
      <c r="E721" s="10">
        <v>24613</v>
      </c>
      <c r="F721" s="10">
        <v>1126.25</v>
      </c>
      <c r="I721" s="15">
        <f>LN(B721/B720)</f>
        <v>0.007029176634560181</v>
      </c>
      <c r="J721" s="15">
        <f>LN(C721/C720)</f>
        <v>-0.009069445186163648</v>
      </c>
      <c r="K721" s="15">
        <f>LN(D721/D720)</f>
        <v>0.02183581402381764</v>
      </c>
      <c r="L721" s="15">
        <f>LN(E721/E720)</f>
        <v>0.0010691440871768358</v>
      </c>
      <c r="M721" s="15">
        <f>LN(F721/F720)</f>
        <v>0.016427176359579517</v>
      </c>
      <c r="O721" s="14">
        <v>45499</v>
      </c>
      <c r="P721" s="15">
        <f>I728</f>
        <v>0.03173051537038775</v>
      </c>
      <c r="Q721" s="15">
        <f>J728</f>
        <v>0.04297652752528695</v>
      </c>
      <c r="R721" s="15">
        <f>K728</f>
        <v>0.010232460201802742</v>
      </c>
      <c r="S721" s="15">
        <f>L728</f>
        <v>0.01741480789992859</v>
      </c>
      <c r="T721" s="15">
        <f>M728</f>
        <v>0.01147940634582714</v>
      </c>
    </row>
    <row r="722" spans="1:20">
      <c r="A722" s="14">
        <v>45491</v>
      </c>
      <c r="B722" s="10">
        <v>1700.727172851562</v>
      </c>
      <c r="C722" s="10">
        <v>477.6891479492187</v>
      </c>
      <c r="D722" s="10">
        <v>2041.440551757812</v>
      </c>
      <c r="E722" s="10">
        <v>24800.849609375</v>
      </c>
      <c r="F722" s="10">
        <v>1122.699951171875</v>
      </c>
      <c r="I722" s="15">
        <f>LN(B722/B721)</f>
        <v>-0.005165372552836179</v>
      </c>
      <c r="J722" s="15">
        <f>LN(C722/C721)</f>
        <v>-0.008108205236398614</v>
      </c>
      <c r="K722" s="15">
        <f>LN(D722/D721)</f>
        <v>0.004588925864606077</v>
      </c>
      <c r="L722" s="15">
        <f>LN(E722/E721)</f>
        <v>0.007603152387120198</v>
      </c>
      <c r="M722" s="15">
        <f>LN(F722/F721)</f>
        <v>-0.0031570749495089473</v>
      </c>
      <c r="O722" s="14">
        <v>45502</v>
      </c>
      <c r="P722" s="15">
        <f>I729</f>
        <v>0.004973628253552875</v>
      </c>
      <c r="Q722" s="15">
        <f>J729</f>
        <v>0.037536853171192146</v>
      </c>
      <c r="R722" s="15">
        <f>K729</f>
        <v>0.02565603934489594</v>
      </c>
      <c r="S722" s="15">
        <f>L729</f>
        <v>5.0331230625744864e-05</v>
      </c>
      <c r="T722" s="15">
        <f>M729</f>
        <v>0.014189231375115501</v>
      </c>
    </row>
    <row r="723" spans="1:20">
      <c r="A723" s="14">
        <v>45492</v>
      </c>
      <c r="B723" s="10">
        <v>1653.967163085938</v>
      </c>
      <c r="C723" s="10">
        <v>479.3345031738281</v>
      </c>
      <c r="D723" s="10">
        <v>1974.91796875</v>
      </c>
      <c r="E723" s="10">
        <v>24530.900390625</v>
      </c>
      <c r="F723" s="10">
        <v>1096.199951171875</v>
      </c>
      <c r="I723" s="15">
        <f>LN(B723/B722)</f>
        <v>-0.02787916496702399</v>
      </c>
      <c r="J723" s="15">
        <f>LN(C723/C722)</f>
        <v>0.0034384873222125475</v>
      </c>
      <c r="K723" s="15">
        <f>LN(D723/D722)</f>
        <v>-0.03312884878962596</v>
      </c>
      <c r="L723" s="15">
        <f>LN(E723/E722)</f>
        <v>-0.010944347737899481</v>
      </c>
      <c r="M723" s="15">
        <f>LN(F723/F722)</f>
        <v>-0.023886845904104295</v>
      </c>
      <c r="O723" s="14">
        <v>45503</v>
      </c>
      <c r="P723" s="15">
        <f>I730</f>
        <v>0.018338004397248836</v>
      </c>
      <c r="Q723" s="15">
        <f>J730</f>
        <v>0.002327796726824697</v>
      </c>
      <c r="R723" s="15">
        <f>K730</f>
        <v>0.019407255391877053</v>
      </c>
      <c r="S723" s="15">
        <f>L730</f>
        <v>0.0008532792280141148</v>
      </c>
      <c r="T723" s="15">
        <f>M730</f>
        <v>0.004336223138102035</v>
      </c>
    </row>
    <row r="724" spans="1:20">
      <c r="A724" s="14">
        <v>45495</v>
      </c>
      <c r="B724" s="10">
        <v>1725.913452148438</v>
      </c>
      <c r="C724" s="10">
        <v>508.5014038085938</v>
      </c>
      <c r="D724" s="10">
        <v>1855.85498046875</v>
      </c>
      <c r="E724" s="10">
        <v>24509.25</v>
      </c>
      <c r="F724" s="10">
        <v>1090.900024414062</v>
      </c>
      <c r="I724" s="15">
        <f>LN(B724/B723)</f>
        <v>0.04257970443223562</v>
      </c>
      <c r="J724" s="15">
        <f>LN(C724/C723)</f>
        <v>0.05906928600307271</v>
      </c>
      <c r="K724" s="15">
        <f>LN(D724/D723)</f>
        <v>-0.062181366892397456</v>
      </c>
      <c r="L724" s="15">
        <f>LN(E724/E723)</f>
        <v>-0.0008829659721330775</v>
      </c>
      <c r="M724" s="15">
        <f>LN(F724/F723)</f>
        <v>-0.00484654308547982</v>
      </c>
      <c r="O724" s="14">
        <v>45504</v>
      </c>
      <c r="P724" s="15">
        <f>I731</f>
        <v>0.019135996325253233</v>
      </c>
      <c r="Q724" s="15">
        <f>J731</f>
        <v>-0.007179979200312263</v>
      </c>
      <c r="R724" s="15">
        <f>K731</f>
        <v>-0.02797438256610725</v>
      </c>
      <c r="S724" s="15">
        <f>L731</f>
        <v>0.0037684255675633532</v>
      </c>
      <c r="T724" s="15">
        <f>M731</f>
        <v>-0.003696062922124518</v>
      </c>
    </row>
    <row r="725" spans="1:20">
      <c r="A725" s="14">
        <v>45496</v>
      </c>
      <c r="B725" s="10">
        <v>1669.603393554688</v>
      </c>
      <c r="C725" s="10">
        <v>513.836181640625</v>
      </c>
      <c r="D725" s="10">
        <v>1885.016357421875</v>
      </c>
      <c r="E725" s="10">
        <v>24479.05078125</v>
      </c>
      <c r="F725" s="10">
        <v>1065.949951171875</v>
      </c>
      <c r="I725" s="15">
        <f>LN(B725/B724)</f>
        <v>-0.03317033847088131</v>
      </c>
      <c r="J725" s="15">
        <f>LN(C725/C724)</f>
        <v>0.010436525723691649</v>
      </c>
      <c r="K725" s="15">
        <f>LN(D725/D724)</f>
        <v>0.015591002751743422</v>
      </c>
      <c r="L725" s="15">
        <f>LN(E725/E724)</f>
        <v>-0.0012329157000276177</v>
      </c>
      <c r="M725" s="15">
        <f>LN(F725/F724)</f>
        <v>-0.02313669148004849</v>
      </c>
      <c r="O725" s="14">
        <v>45505</v>
      </c>
      <c r="P725" s="15">
        <f>I732</f>
        <v>-0.011406488723169692</v>
      </c>
      <c r="Q725" s="15">
        <f>J732</f>
        <v>-0.04025176599092166</v>
      </c>
      <c r="R725" s="15">
        <f>K732</f>
        <v>0.0026928640462106513</v>
      </c>
      <c r="S725" s="15">
        <f>L732</f>
        <v>0.002391816490734086</v>
      </c>
      <c r="T725" s="15">
        <f>M732</f>
        <v>-0.01715194925283941</v>
      </c>
    </row>
    <row r="726" spans="1:20">
      <c r="A726" s="14">
        <v>45497</v>
      </c>
      <c r="B726" s="10">
        <v>1724.775268554688</v>
      </c>
      <c r="C726" s="10">
        <v>516.9274291992188</v>
      </c>
      <c r="D726" s="10">
        <v>1777.244140625</v>
      </c>
      <c r="E726" s="10">
        <v>24413.5</v>
      </c>
      <c r="F726" s="10">
        <v>1074.25</v>
      </c>
      <c r="I726" s="15">
        <f>LN(B726/B725)</f>
        <v>0.03251065356322913</v>
      </c>
      <c r="J726" s="15">
        <f>LN(C726/C725)</f>
        <v>0.005997993708006885</v>
      </c>
      <c r="K726" s="15">
        <f>LN(D726/D725)</f>
        <v>-0.05887256959488777</v>
      </c>
      <c r="L726" s="15">
        <f>LN(E726/E725)</f>
        <v>-0.00268142363114976</v>
      </c>
      <c r="M726" s="15">
        <f>LN(F726/F725)</f>
        <v>0.007756369151698318</v>
      </c>
      <c r="O726" s="14">
        <v>45506</v>
      </c>
      <c r="P726" s="15">
        <f>I733</f>
        <v>-0.033137029763270605</v>
      </c>
      <c r="Q726" s="15">
        <f>J733</f>
        <v>-0.022187167700157117</v>
      </c>
      <c r="R726" s="15">
        <f>K733</f>
        <v>-0.03801697275303707</v>
      </c>
      <c r="S726" s="15">
        <f>L733</f>
        <v>-0.011792190883304469</v>
      </c>
      <c r="T726" s="15">
        <f>M733</f>
        <v>-0.03598361908726299</v>
      </c>
    </row>
    <row r="727" spans="1:20">
      <c r="A727" s="14">
        <v>45498</v>
      </c>
      <c r="B727" s="10">
        <v>1711.316284179688</v>
      </c>
      <c r="C727" s="10">
        <v>513.1880493164062</v>
      </c>
      <c r="D727" s="10">
        <v>1744.817749023438</v>
      </c>
      <c r="E727" s="10">
        <v>24406.099609375</v>
      </c>
      <c r="F727" s="10">
        <v>1065.349975585938</v>
      </c>
      <c r="I727" s="15">
        <f>LN(B727/B726)</f>
        <v>-0.007833931663580176</v>
      </c>
      <c r="J727" s="15">
        <f>LN(C727/C726)</f>
        <v>-0.007260149732614852</v>
      </c>
      <c r="K727" s="15">
        <f>LN(D727/D726)</f>
        <v>-0.018413820565238628</v>
      </c>
      <c r="L727" s="15">
        <f>LN(E727/E726)</f>
        <v>-0.0003031729363163769</v>
      </c>
      <c r="M727" s="15">
        <f>LN(F727/F726)</f>
        <v>-0.008319382920200447</v>
      </c>
      <c r="O727" s="14">
        <v>45509</v>
      </c>
      <c r="P727" s="15">
        <f>I734</f>
        <v>-0.042096410910453</v>
      </c>
      <c r="Q727" s="15">
        <f>J734</f>
        <v>-0.04160136104095668</v>
      </c>
      <c r="R727" s="15">
        <f>K734</f>
        <v>-0.03536393134360802</v>
      </c>
      <c r="S727" s="15">
        <f>L734</f>
        <v>-0.02715175314145156</v>
      </c>
      <c r="T727" s="15">
        <f>M734</f>
        <v>-0.0442064007132807</v>
      </c>
    </row>
    <row r="728" spans="1:20">
      <c r="A728" s="14">
        <v>45499</v>
      </c>
      <c r="B728" s="10">
        <v>1766.487915039062</v>
      </c>
      <c r="C728" s="10">
        <v>535.723876953125</v>
      </c>
      <c r="D728" s="10">
        <v>1762.76318359375</v>
      </c>
      <c r="E728" s="10">
        <v>24834.849609375</v>
      </c>
      <c r="F728" s="10">
        <v>1077.650024414062</v>
      </c>
      <c r="I728" s="15">
        <f>LN(B728/B727)</f>
        <v>0.03173051537038775</v>
      </c>
      <c r="J728" s="15">
        <f>LN(C728/C727)</f>
        <v>0.04297652752528695</v>
      </c>
      <c r="K728" s="15">
        <f>LN(D728/D727)</f>
        <v>0.010232460201802742</v>
      </c>
      <c r="L728" s="15">
        <f>LN(E728/E727)</f>
        <v>0.01741480789992859</v>
      </c>
      <c r="M728" s="15">
        <f>LN(F728/F727)</f>
        <v>0.01147940634582714</v>
      </c>
      <c r="O728" s="14">
        <v>45510</v>
      </c>
      <c r="P728" s="15">
        <f>I735</f>
        <v>0.005902598405990736</v>
      </c>
      <c r="Q728" s="15">
        <f>J735</f>
        <v>-0.002001006283992298</v>
      </c>
      <c r="R728" s="15">
        <f>K735</f>
        <v>-0.03179782573139143</v>
      </c>
      <c r="S728" s="15">
        <f>L735</f>
        <v>-0.0026244033870099497</v>
      </c>
      <c r="T728" s="15">
        <f>M735</f>
        <v>0.008329606036240694</v>
      </c>
    </row>
    <row r="729" spans="1:20">
      <c r="A729" s="14">
        <v>45502</v>
      </c>
      <c r="B729" s="10">
        <v>1775.295654296875</v>
      </c>
      <c r="C729" s="10">
        <v>556.2154541015625</v>
      </c>
      <c r="D729" s="10">
        <v>1808.573852539062</v>
      </c>
      <c r="E729" s="10">
        <v>24836.099609375</v>
      </c>
      <c r="F729" s="10">
        <v>1093.050048828125</v>
      </c>
      <c r="I729" s="15">
        <f>LN(B729/B728)</f>
        <v>0.004973628253552875</v>
      </c>
      <c r="J729" s="15">
        <f>LN(C729/C728)</f>
        <v>0.037536853171192146</v>
      </c>
      <c r="K729" s="15">
        <f>LN(D729/D728)</f>
        <v>0.02565603934489594</v>
      </c>
      <c r="L729" s="15">
        <f>LN(E729/E728)</f>
        <v>5.0331230625744864e-05</v>
      </c>
      <c r="M729" s="15">
        <f>LN(F729/F728)</f>
        <v>0.014189231375115501</v>
      </c>
      <c r="O729" s="14">
        <v>45511</v>
      </c>
      <c r="P729" s="15">
        <f>I736</f>
        <v>0.03163123901136408</v>
      </c>
      <c r="Q729" s="15">
        <f>J736</f>
        <v>0.020617235494247294</v>
      </c>
      <c r="R729" s="15">
        <f>K736</f>
        <v>0.007181268199512579</v>
      </c>
      <c r="S729" s="15">
        <f>L736</f>
        <v>0.012630066341245293</v>
      </c>
      <c r="T729" s="15">
        <f>M736</f>
        <v>0.018172901630749083</v>
      </c>
    </row>
    <row r="730" spans="1:20">
      <c r="A730" s="14">
        <v>45503</v>
      </c>
      <c r="B730" s="10">
        <v>1808.1513671875</v>
      </c>
      <c r="C730" s="10">
        <v>557.51171875</v>
      </c>
      <c r="D730" s="10">
        <v>1844.01611328125</v>
      </c>
      <c r="E730" s="10">
        <v>24857.30078125</v>
      </c>
      <c r="F730" s="10">
        <v>1097.800048828125</v>
      </c>
      <c r="I730" s="15">
        <f>LN(B730/B729)</f>
        <v>0.018338004397248836</v>
      </c>
      <c r="J730" s="15">
        <f>LN(C730/C729)</f>
        <v>0.002327796726824697</v>
      </c>
      <c r="K730" s="15">
        <f>LN(D730/D729)</f>
        <v>0.019407255391877053</v>
      </c>
      <c r="L730" s="15">
        <f>LN(E730/E729)</f>
        <v>0.0008532792280141148</v>
      </c>
      <c r="M730" s="15">
        <f>LN(F730/F729)</f>
        <v>0.004336223138102035</v>
      </c>
      <c r="O730" s="14">
        <v>45512</v>
      </c>
      <c r="P730" s="15">
        <f>I737</f>
        <v>-0.015160144365221983</v>
      </c>
      <c r="Q730" s="15">
        <f>J737</f>
        <v>0.019719824246510073</v>
      </c>
      <c r="R730" s="15">
        <f>K737</f>
        <v>0.010645821128934087</v>
      </c>
      <c r="S730" s="15">
        <f>L737</f>
        <v>-0.007456478381555143</v>
      </c>
      <c r="T730" s="15">
        <f>M737</f>
        <v>-0.012144686760291509</v>
      </c>
    </row>
    <row r="731" spans="1:20">
      <c r="A731" s="14">
        <v>45504</v>
      </c>
      <c r="B731" s="10">
        <v>1843.085327148438</v>
      </c>
      <c r="C731" s="10">
        <v>553.5231323242188</v>
      </c>
      <c r="D731" s="10">
        <v>1793.145751953125</v>
      </c>
      <c r="E731" s="10">
        <v>24951.150390625</v>
      </c>
      <c r="F731" s="10">
        <v>1093.75</v>
      </c>
      <c r="I731" s="15">
        <f>LN(B731/B730)</f>
        <v>0.019135996325253233</v>
      </c>
      <c r="J731" s="15">
        <f>LN(C731/C730)</f>
        <v>-0.007179979200312263</v>
      </c>
      <c r="K731" s="15">
        <f>LN(D731/D730)</f>
        <v>-0.02797438256610725</v>
      </c>
      <c r="L731" s="15">
        <f>LN(E731/E730)</f>
        <v>0.0037684255675633532</v>
      </c>
      <c r="M731" s="15">
        <f>LN(F731/F730)</f>
        <v>-0.003696062922124518</v>
      </c>
      <c r="O731" s="14">
        <v>45513</v>
      </c>
      <c r="P731" s="15">
        <f>I738</f>
        <v>0.024712198666642465</v>
      </c>
      <c r="Q731" s="15">
        <f>J738</f>
        <v>0.0</v>
      </c>
      <c r="R731" s="15">
        <f>K738</f>
        <v>0.0173066744969646</v>
      </c>
      <c r="S731" s="15">
        <f>L738</f>
        <v>0.010333291215294636</v>
      </c>
      <c r="T731" s="15">
        <f>M738</f>
        <v>0.015378069719612553</v>
      </c>
    </row>
    <row r="732" spans="1:20">
      <c r="A732" s="14">
        <v>45505</v>
      </c>
      <c r="B732" s="10">
        <v>1822.181640625</v>
      </c>
      <c r="C732" s="10">
        <v>531.685302734375</v>
      </c>
      <c r="D732" s="10">
        <v>1797.98095703125</v>
      </c>
      <c r="E732" s="10">
        <v>25010.900390625</v>
      </c>
      <c r="F732" s="10">
        <v>1075.150024414062</v>
      </c>
      <c r="I732" s="15">
        <f>LN(B732/B731)</f>
        <v>-0.011406488723169692</v>
      </c>
      <c r="J732" s="15">
        <f>LN(C732/C731)</f>
        <v>-0.04025176599092166</v>
      </c>
      <c r="K732" s="15">
        <f>LN(D732/D731)</f>
        <v>0.0026928640462106513</v>
      </c>
      <c r="L732" s="15">
        <f>LN(E732/E731)</f>
        <v>0.002391816490734086</v>
      </c>
      <c r="M732" s="15">
        <f>LN(F732/F731)</f>
        <v>-0.01715194925283941</v>
      </c>
      <c r="O732" s="14">
        <v>45516</v>
      </c>
      <c r="P732" s="15">
        <f>I739</f>
        <v>0.014379610619609118</v>
      </c>
      <c r="Q732" s="15">
        <f>J739</f>
        <v>-0.010734488364626827</v>
      </c>
      <c r="R732" s="15">
        <f>K739</f>
        <v>-0.01004153361167345</v>
      </c>
      <c r="S732" s="15">
        <f>L739</f>
        <v>-0.0008416385761983504</v>
      </c>
      <c r="T732" s="15">
        <f>M739</f>
        <v>0.013071399205033576</v>
      </c>
    </row>
    <row r="733" spans="1:20">
      <c r="A733" s="14">
        <v>45506</v>
      </c>
      <c r="B733" s="10">
        <v>1762.789428710938</v>
      </c>
      <c r="C733" s="10">
        <v>520.0186157226562</v>
      </c>
      <c r="D733" s="10">
        <v>1730.91015625</v>
      </c>
      <c r="E733" s="10">
        <v>24717.69921875</v>
      </c>
      <c r="F733" s="10">
        <v>1037.150024414062</v>
      </c>
      <c r="I733" s="15">
        <f>LN(B733/B732)</f>
        <v>-0.033137029763270605</v>
      </c>
      <c r="J733" s="15">
        <f>LN(C733/C732)</f>
        <v>-0.022187167700157117</v>
      </c>
      <c r="K733" s="15">
        <f>LN(D733/D732)</f>
        <v>-0.03801697275303707</v>
      </c>
      <c r="L733" s="15">
        <f>LN(E733/E732)</f>
        <v>-0.011792190883304469</v>
      </c>
      <c r="M733" s="15">
        <f>LN(F733/F732)</f>
        <v>-0.03598361908726299</v>
      </c>
      <c r="O733" s="14">
        <v>45517</v>
      </c>
      <c r="P733" s="15">
        <f>I740</f>
        <v>-0.03874791150877074</v>
      </c>
      <c r="Q733" s="15">
        <f>J740</f>
        <v>-0.013114364036731292</v>
      </c>
      <c r="R733" s="15">
        <f>K740</f>
        <v>0.029419054224531095</v>
      </c>
      <c r="S733" s="15">
        <f>L740</f>
        <v>-0.00857984886239657</v>
      </c>
      <c r="T733" s="15">
        <f>M740</f>
        <v>-0.007365064647890641</v>
      </c>
    </row>
    <row r="734" spans="1:20">
      <c r="A734" s="14">
        <v>45509</v>
      </c>
      <c r="B734" s="10">
        <v>1690.12255859375</v>
      </c>
      <c r="C734" s="10">
        <v>498.8289489746094</v>
      </c>
      <c r="D734" s="10">
        <v>1670.76806640625</v>
      </c>
      <c r="E734" s="10">
        <v>24055.599609375</v>
      </c>
      <c r="F734" s="10">
        <v>992.2999877929688</v>
      </c>
      <c r="I734" s="15">
        <f>LN(B734/B733)</f>
        <v>-0.042096410910453</v>
      </c>
      <c r="J734" s="15">
        <f>LN(C734/C733)</f>
        <v>-0.04160136104095668</v>
      </c>
      <c r="K734" s="15">
        <f>LN(D734/D733)</f>
        <v>-0.03536393134360802</v>
      </c>
      <c r="L734" s="15">
        <f>LN(E734/E733)</f>
        <v>-0.02715175314145156</v>
      </c>
      <c r="M734" s="15">
        <f>LN(F734/F733)</f>
        <v>-0.0442064007132807</v>
      </c>
      <c r="O734" s="14">
        <v>45518</v>
      </c>
      <c r="P734" s="15">
        <f>I741</f>
        <v>-0.01719388443761342</v>
      </c>
      <c r="Q734" s="15">
        <f>J741</f>
        <v>0.02279026381861395</v>
      </c>
      <c r="R734" s="15">
        <f>K741</f>
        <v>-0.01870860997571006</v>
      </c>
      <c r="S734" s="15">
        <f>L741</f>
        <v>0.0001967576418212346</v>
      </c>
      <c r="T734" s="15">
        <f>M741</f>
        <v>-0.004826287171391967</v>
      </c>
    </row>
    <row r="735" spans="1:20">
      <c r="A735" s="14">
        <v>45510</v>
      </c>
      <c r="B735" s="10">
        <v>1700.128173828125</v>
      </c>
      <c r="C735" s="10">
        <v>497.831787109375</v>
      </c>
      <c r="D735" s="10">
        <v>1618.47705078125</v>
      </c>
      <c r="E735" s="10">
        <v>23992.55078125</v>
      </c>
      <c r="F735" s="10">
        <v>1000.599975585938</v>
      </c>
      <c r="I735" s="15">
        <f>LN(B735/B734)</f>
        <v>0.005902598405990736</v>
      </c>
      <c r="J735" s="15">
        <f>LN(C735/C734)</f>
        <v>-0.002001006283992298</v>
      </c>
      <c r="K735" s="15">
        <f>LN(D735/D734)</f>
        <v>-0.03179782573139143</v>
      </c>
      <c r="L735" s="15">
        <f>LN(E735/E734)</f>
        <v>-0.0026244033870099497</v>
      </c>
      <c r="M735" s="15">
        <f>LN(F735/F734)</f>
        <v>0.008329606036240694</v>
      </c>
      <c r="O735" s="14">
        <v>45520</v>
      </c>
      <c r="P735" s="15">
        <f>I742</f>
        <v>0.02912668033651685</v>
      </c>
      <c r="Q735" s="15">
        <f>J742</f>
        <v>0.12119027390096436</v>
      </c>
      <c r="R735" s="15">
        <f>K742</f>
        <v>0.0028338798104547897</v>
      </c>
      <c r="S735" s="15">
        <f>L742</f>
        <v>0.016325768935141063</v>
      </c>
      <c r="T735" s="15">
        <f>M742</f>
        <v>0.024617518277022403</v>
      </c>
    </row>
    <row r="736" spans="1:20">
      <c r="A736" s="14">
        <v>45511</v>
      </c>
      <c r="B736" s="10">
        <v>1754.764892578125</v>
      </c>
      <c r="C736" s="10">
        <v>508.2022399902344</v>
      </c>
      <c r="D736" s="10">
        <v>1630.1416015625</v>
      </c>
      <c r="E736" s="10">
        <v>24297.5</v>
      </c>
      <c r="F736" s="10">
        <v>1018.950012207031</v>
      </c>
      <c r="I736" s="15">
        <f>LN(B736/B735)</f>
        <v>0.03163123901136408</v>
      </c>
      <c r="J736" s="15">
        <f>LN(C736/C735)</f>
        <v>0.020617235494247294</v>
      </c>
      <c r="K736" s="15">
        <f>LN(D736/D735)</f>
        <v>0.007181268199512579</v>
      </c>
      <c r="L736" s="15">
        <f>LN(E736/E735)</f>
        <v>0.012630066341245293</v>
      </c>
      <c r="M736" s="15">
        <f>LN(F736/F735)</f>
        <v>0.018172901630749083</v>
      </c>
      <c r="O736" s="14">
        <v>45523</v>
      </c>
      <c r="P736" s="15">
        <f>I743</f>
        <v>0.00045288761262285855</v>
      </c>
      <c r="Q736" s="15">
        <f>J743</f>
        <v>0.0353649025158617</v>
      </c>
      <c r="R736" s="15">
        <f>K743</f>
        <v>0.03385315969632396</v>
      </c>
      <c r="S736" s="15">
        <f>L743</f>
        <v>0.0012827353541420893</v>
      </c>
      <c r="T736" s="15">
        <f>M743</f>
        <v>0.0014769298021127801</v>
      </c>
    </row>
    <row r="737" spans="1:20">
      <c r="A737" s="14">
        <v>45512</v>
      </c>
      <c r="B737" s="10">
        <v>1728.363037109375</v>
      </c>
      <c r="C737" s="10">
        <v>518.3233642578125</v>
      </c>
      <c r="D737" s="10">
        <v>1647.588500976562</v>
      </c>
      <c r="E737" s="10">
        <v>24117</v>
      </c>
      <c r="F737" s="10">
        <v>1006.650024414062</v>
      </c>
      <c r="I737" s="15">
        <f>LN(B737/B736)</f>
        <v>-0.015160144365221983</v>
      </c>
      <c r="J737" s="15">
        <f>LN(C737/C736)</f>
        <v>0.019719824246510073</v>
      </c>
      <c r="K737" s="15">
        <f>LN(D737/D736)</f>
        <v>0.010645821128934087</v>
      </c>
      <c r="L737" s="15">
        <f>LN(E737/E736)</f>
        <v>-0.007456478381555143</v>
      </c>
      <c r="M737" s="15">
        <f>LN(F737/F736)</f>
        <v>-0.012144686760291509</v>
      </c>
      <c r="O737" s="14">
        <v>45524</v>
      </c>
      <c r="P737" s="15">
        <f>I744</f>
        <v>-0.006586574241405449</v>
      </c>
      <c r="Q737" s="15">
        <f>J744</f>
        <v>-0.02281919503642481</v>
      </c>
      <c r="R737" s="15">
        <f>K744</f>
        <v>0.026692414974628466</v>
      </c>
      <c r="S737" s="15">
        <f>L744</f>
        <v>0.0051226163083365125</v>
      </c>
      <c r="T737" s="15">
        <f>M744</f>
        <v>0.002045159675977729</v>
      </c>
    </row>
    <row r="738" spans="1:20">
      <c r="A738" s="14">
        <v>45513</v>
      </c>
      <c r="B738" s="10">
        <v>1771.606811523438</v>
      </c>
      <c r="C738" s="10">
        <v>518.3233642578125</v>
      </c>
      <c r="D738" s="10">
        <v>1676.350952148438</v>
      </c>
      <c r="E738" s="10">
        <v>24367.5</v>
      </c>
      <c r="F738" s="10">
        <v>1022.25</v>
      </c>
      <c r="I738" s="15">
        <f>LN(B738/B737)</f>
        <v>0.024712198666642465</v>
      </c>
      <c r="J738" s="15">
        <f>LN(C738/C737)</f>
        <v>0.0</v>
      </c>
      <c r="K738" s="15">
        <f>LN(D738/D737)</f>
        <v>0.0173066744969646</v>
      </c>
      <c r="L738" s="15">
        <f>LN(E738/E737)</f>
        <v>0.010333291215294636</v>
      </c>
      <c r="M738" s="15">
        <f>LN(F738/F737)</f>
        <v>0.015378069719612553</v>
      </c>
      <c r="O738" s="14">
        <v>45525</v>
      </c>
      <c r="P738" s="15">
        <f>I745</f>
        <v>-0.005999784321328363</v>
      </c>
      <c r="Q738" s="15">
        <f>J745</f>
        <v>0.0013469184145727074</v>
      </c>
      <c r="R738" s="15">
        <f>K745</f>
        <v>-0.020201522498961993</v>
      </c>
      <c r="S738" s="15">
        <f>L745</f>
        <v>0.0028846181820890576</v>
      </c>
      <c r="T738" s="15">
        <f>M745</f>
        <v>-0.013200178847828098</v>
      </c>
    </row>
    <row r="739" spans="1:20">
      <c r="A739" s="14">
        <v>45516</v>
      </c>
      <c r="B739" s="10">
        <v>1797.265869140625</v>
      </c>
      <c r="C739" s="10">
        <v>512.7891845703125</v>
      </c>
      <c r="D739" s="10">
        <v>1659.60205078125</v>
      </c>
      <c r="E739" s="10">
        <v>24347</v>
      </c>
      <c r="F739" s="10">
        <v>1035.699951171875</v>
      </c>
      <c r="I739" s="15">
        <f>LN(B739/B738)</f>
        <v>0.014379610619609118</v>
      </c>
      <c r="J739" s="15">
        <f>LN(C739/C738)</f>
        <v>-0.010734488364626827</v>
      </c>
      <c r="K739" s="15">
        <f>LN(D739/D738)</f>
        <v>-0.01004153361167345</v>
      </c>
      <c r="L739" s="15">
        <f>LN(E739/E738)</f>
        <v>-0.0008416385761983504</v>
      </c>
      <c r="M739" s="15">
        <f>LN(F739/F738)</f>
        <v>0.013071399205033576</v>
      </c>
      <c r="O739" s="14">
        <v>45526</v>
      </c>
      <c r="P739" s="15">
        <f>I746</f>
        <v>-0.006180017963456403</v>
      </c>
      <c r="Q739" s="15">
        <f>J746</f>
        <v>-0.01542927914179128</v>
      </c>
      <c r="R739" s="15">
        <f>K746</f>
        <v>0.05042289349299278</v>
      </c>
      <c r="S739" s="15">
        <f>L746</f>
        <v>0.0016659691560852782</v>
      </c>
      <c r="T739" s="15">
        <f>M746</f>
        <v>0.0047069273681642045</v>
      </c>
    </row>
    <row r="740" spans="1:20">
      <c r="A740" s="14">
        <v>45517</v>
      </c>
      <c r="B740" s="10">
        <v>1728.95751953125</v>
      </c>
      <c r="C740" s="10">
        <v>506.1081848144531</v>
      </c>
      <c r="D740" s="10">
        <v>1709.151245117188</v>
      </c>
      <c r="E740" s="10">
        <v>24139</v>
      </c>
      <c r="F740" s="10">
        <v>1028.099975585938</v>
      </c>
      <c r="I740" s="15">
        <f>LN(B740/B739)</f>
        <v>-0.03874791150877074</v>
      </c>
      <c r="J740" s="15">
        <f>LN(C740/C739)</f>
        <v>-0.013114364036731292</v>
      </c>
      <c r="K740" s="15">
        <f>LN(D740/D739)</f>
        <v>0.029419054224531095</v>
      </c>
      <c r="L740" s="15">
        <f>LN(E740/E739)</f>
        <v>-0.00857984886239657</v>
      </c>
      <c r="M740" s="15">
        <f>LN(F740/F739)</f>
        <v>-0.007365064647890641</v>
      </c>
      <c r="O740" s="14">
        <v>45527</v>
      </c>
      <c r="P740" s="15">
        <f>I747</f>
        <v>-0.018038465797969652</v>
      </c>
      <c r="Q740" s="15">
        <f>J747</f>
        <v>0.0015366532477817819</v>
      </c>
      <c r="R740" s="15">
        <f>K747</f>
        <v>-0.03493892197676145</v>
      </c>
      <c r="S740" s="15">
        <f>L747</f>
        <v>0.0004694458708691634</v>
      </c>
      <c r="T740" s="15">
        <f>M747</f>
        <v>-0.024594362772825472</v>
      </c>
    </row>
    <row r="741" spans="1:20">
      <c r="A741" s="14">
        <v>45518</v>
      </c>
      <c r="B741" s="10">
        <v>1699.484130859375</v>
      </c>
      <c r="C741" s="10">
        <v>517.7749633789062</v>
      </c>
      <c r="D741" s="10">
        <v>1677.47265625</v>
      </c>
      <c r="E741" s="10">
        <v>24143.75</v>
      </c>
      <c r="F741" s="10">
        <v>1023.150024414062</v>
      </c>
      <c r="I741" s="15">
        <f>LN(B741/B740)</f>
        <v>-0.01719388443761342</v>
      </c>
      <c r="J741" s="15">
        <f>LN(C741/C740)</f>
        <v>0.02279026381861395</v>
      </c>
      <c r="K741" s="15">
        <f>LN(D741/D740)</f>
        <v>-0.01870860997571006</v>
      </c>
      <c r="L741" s="15">
        <f>LN(E741/E740)</f>
        <v>0.0001967576418212346</v>
      </c>
      <c r="M741" s="15">
        <f>LN(F741/F740)</f>
        <v>-0.004826287171391967</v>
      </c>
      <c r="O741" s="14">
        <v>45530</v>
      </c>
      <c r="P741" s="15">
        <f>I748</f>
        <v>0.02065896156670588</v>
      </c>
      <c r="Q741" s="15">
        <f>J748</f>
        <v>0.042829622420441256</v>
      </c>
      <c r="R741" s="15">
        <f>K748</f>
        <v>0.013768131048570411</v>
      </c>
      <c r="S741" s="15">
        <f>L748</f>
        <v>0.007523018148105455</v>
      </c>
      <c r="T741" s="15">
        <f>M748</f>
        <v>0.017429022686302576</v>
      </c>
    </row>
    <row r="742" spans="1:20">
      <c r="A742" s="14">
        <v>45520</v>
      </c>
      <c r="B742" s="10">
        <v>1749.71240234375</v>
      </c>
      <c r="C742" s="10">
        <v>584.4849243164062</v>
      </c>
      <c r="D742" s="10">
        <v>1682.233154296875</v>
      </c>
      <c r="E742" s="10">
        <v>24541.150390625</v>
      </c>
      <c r="F742" s="10">
        <v>1048.650024414062</v>
      </c>
      <c r="I742" s="15">
        <f>LN(B742/B741)</f>
        <v>0.02912668033651685</v>
      </c>
      <c r="J742" s="15">
        <f>LN(C742/C741)</f>
        <v>0.12119027390096436</v>
      </c>
      <c r="K742" s="15">
        <f>LN(D742/D741)</f>
        <v>0.0028338798104547897</v>
      </c>
      <c r="L742" s="15">
        <f>LN(E742/E741)</f>
        <v>0.016325768935141063</v>
      </c>
      <c r="M742" s="15">
        <f>LN(F742/F741)</f>
        <v>0.024617518277022403</v>
      </c>
      <c r="O742" s="14">
        <v>45531</v>
      </c>
      <c r="P742" s="15">
        <f>I749</f>
        <v>-0.006057516702453411</v>
      </c>
      <c r="Q742" s="15">
        <f>J749</f>
        <v>-0.007629435903421912</v>
      </c>
      <c r="R742" s="15">
        <f>K749</f>
        <v>0.01183203130119346</v>
      </c>
      <c r="S742" s="15">
        <f>L749</f>
        <v>0.0002858535502177548</v>
      </c>
      <c r="T742" s="15">
        <f>M749</f>
        <v>0.0020249518617453865</v>
      </c>
    </row>
    <row r="743" spans="1:20">
      <c r="A743" s="14">
        <v>45523</v>
      </c>
      <c r="B743" s="10">
        <v>1750.505004882812</v>
      </c>
      <c r="C743" s="10">
        <v>605.5250244140625</v>
      </c>
      <c r="D743" s="10">
        <v>1740.156982421875</v>
      </c>
      <c r="E743" s="10">
        <v>24572.650390625</v>
      </c>
      <c r="F743" s="10">
        <v>1050.199951171875</v>
      </c>
      <c r="I743" s="15">
        <f>LN(B743/B742)</f>
        <v>0.00045288761262285855</v>
      </c>
      <c r="J743" s="15">
        <f>LN(C743/C742)</f>
        <v>0.0353649025158617</v>
      </c>
      <c r="K743" s="15">
        <f>LN(D743/D742)</f>
        <v>0.03385315969632396</v>
      </c>
      <c r="L743" s="15">
        <f>LN(E743/E742)</f>
        <v>0.0012827353541420893</v>
      </c>
      <c r="M743" s="15">
        <f>LN(F743/F742)</f>
        <v>0.0014769298021127801</v>
      </c>
      <c r="O743" s="14">
        <v>45532</v>
      </c>
      <c r="P743" s="15">
        <f>I750</f>
        <v>-0.009827497058436607</v>
      </c>
      <c r="Q743" s="15">
        <f>J750</f>
        <v>0.0034527483865431615</v>
      </c>
      <c r="R743" s="15">
        <f>K750</f>
        <v>0.006108612968670373</v>
      </c>
      <c r="S743" s="15">
        <f>L750</f>
        <v>0.0013820469762269526</v>
      </c>
      <c r="T743" s="15">
        <f>M750</f>
        <v>-0.0018319674227847606</v>
      </c>
    </row>
    <row r="744" spans="1:20">
      <c r="A744" s="14">
        <v>45524</v>
      </c>
      <c r="B744" s="10">
        <v>1739.013061523438</v>
      </c>
      <c r="C744" s="10">
        <v>591.8638916015625</v>
      </c>
      <c r="D744" s="10">
        <v>1787.2314453125</v>
      </c>
      <c r="E744" s="10">
        <v>24698.849609375</v>
      </c>
      <c r="F744" s="10">
        <v>1052.349975585938</v>
      </c>
      <c r="I744" s="15">
        <f>LN(B744/B743)</f>
        <v>-0.006586574241405449</v>
      </c>
      <c r="J744" s="15">
        <f>LN(C744/C743)</f>
        <v>-0.02281919503642481</v>
      </c>
      <c r="K744" s="15">
        <f>LN(D744/D743)</f>
        <v>0.026692414974628466</v>
      </c>
      <c r="L744" s="15">
        <f>LN(E744/E743)</f>
        <v>0.0051226163083365125</v>
      </c>
      <c r="M744" s="15">
        <f>LN(F744/F743)</f>
        <v>0.002045159675977729</v>
      </c>
      <c r="O744" s="14">
        <v>45533</v>
      </c>
      <c r="P744" s="15">
        <f>I751</f>
        <v>0.0069299493337787454</v>
      </c>
      <c r="Q744" s="15">
        <f>J751</f>
        <v>-0.014965658472101259</v>
      </c>
      <c r="R744" s="15">
        <f>K751</f>
        <v>-0.009808301816167707</v>
      </c>
      <c r="S744" s="15">
        <f>L751</f>
        <v>0.003967777356455909</v>
      </c>
      <c r="T744" s="15">
        <f>M751</f>
        <v>-0.001641910072791293</v>
      </c>
    </row>
    <row r="745" spans="1:20">
      <c r="A745" s="14">
        <v>45525</v>
      </c>
      <c r="B745" s="10">
        <v>1728.610595703125</v>
      </c>
      <c r="C745" s="10">
        <v>592.66162109375</v>
      </c>
      <c r="D745" s="10">
        <v>1751.488891601562</v>
      </c>
      <c r="E745" s="10">
        <v>24770.19921875</v>
      </c>
      <c r="F745" s="10">
        <v>1038.550048828125</v>
      </c>
      <c r="I745" s="15">
        <f>LN(B745/B744)</f>
        <v>-0.005999784321328363</v>
      </c>
      <c r="J745" s="15">
        <f>LN(C745/C744)</f>
        <v>0.0013469184145727074</v>
      </c>
      <c r="K745" s="15">
        <f>LN(D745/D744)</f>
        <v>-0.020201522498961993</v>
      </c>
      <c r="L745" s="15">
        <f>LN(E745/E744)</f>
        <v>0.0028846181820890576</v>
      </c>
      <c r="M745" s="15">
        <f>LN(F745/F744)</f>
        <v>-0.013200178847828098</v>
      </c>
      <c r="O745" s="14">
        <v>45534</v>
      </c>
      <c r="P745" s="15">
        <f>I752</f>
        <v>0.02815239226429758</v>
      </c>
      <c r="Q745" s="15">
        <f>J752</f>
        <v>-0.007190160320421702</v>
      </c>
      <c r="R745" s="15">
        <f>K752</f>
        <v>0.03431422718946577</v>
      </c>
      <c r="S745" s="15">
        <f>L752</f>
        <v>0.003332202116407902</v>
      </c>
      <c r="T745" s="15">
        <f>M752</f>
        <v>0.018104833040131454</v>
      </c>
    </row>
    <row r="746" spans="1:20">
      <c r="A746" s="14">
        <v>45526</v>
      </c>
      <c r="B746" s="10">
        <v>1717.960693359375</v>
      </c>
      <c r="C746" s="10">
        <v>583.5874633789062</v>
      </c>
      <c r="D746" s="10">
        <v>1842.068481445312</v>
      </c>
      <c r="E746" s="10">
        <v>24811.5</v>
      </c>
      <c r="F746" s="10">
        <v>1043.449951171875</v>
      </c>
      <c r="I746" s="15">
        <f>LN(B746/B745)</f>
        <v>-0.006180017963456403</v>
      </c>
      <c r="J746" s="15">
        <f>LN(C746/C745)</f>
        <v>-0.01542927914179128</v>
      </c>
      <c r="K746" s="15">
        <f>LN(D746/D745)</f>
        <v>0.05042289349299278</v>
      </c>
      <c r="L746" s="15">
        <f>LN(E746/E745)</f>
        <v>0.0016659691560852782</v>
      </c>
      <c r="M746" s="15">
        <f>LN(F746/F745)</f>
        <v>0.0047069273681642045</v>
      </c>
      <c r="O746" s="14">
        <v>45537</v>
      </c>
      <c r="P746" s="15">
        <f>I753</f>
        <v>-0.007901847980299111</v>
      </c>
      <c r="Q746" s="15">
        <f>J753</f>
        <v>-0.00428837031414138</v>
      </c>
      <c r="R746" s="15">
        <f>K753</f>
        <v>-0.014066219026895805</v>
      </c>
      <c r="S746" s="15">
        <f>L753</f>
        <v>0.0016945136137639853</v>
      </c>
      <c r="T746" s="15">
        <f>M753</f>
        <v>-0.002376088122603372</v>
      </c>
    </row>
    <row r="747" spans="1:20">
      <c r="A747" s="14">
        <v>45527</v>
      </c>
      <c r="B747" s="10">
        <v>1687.249145507812</v>
      </c>
      <c r="C747" s="10">
        <v>584.4849243164062</v>
      </c>
      <c r="D747" s="10">
        <v>1778.819946289062</v>
      </c>
      <c r="E747" s="10">
        <v>24823.150390625</v>
      </c>
      <c r="F747" s="10">
        <v>1018.099975585938</v>
      </c>
      <c r="I747" s="15">
        <f>LN(B747/B746)</f>
        <v>-0.018038465797969652</v>
      </c>
      <c r="J747" s="15">
        <f>LN(C747/C746)</f>
        <v>0.0015366532477817819</v>
      </c>
      <c r="K747" s="15">
        <f>LN(D747/D746)</f>
        <v>-0.03493892197676145</v>
      </c>
      <c r="L747" s="15">
        <f>LN(E747/E746)</f>
        <v>0.0004694458708691634</v>
      </c>
      <c r="M747" s="15">
        <f>LN(F747/F746)</f>
        <v>-0.024594362772825472</v>
      </c>
      <c r="O747" s="14">
        <v>45538</v>
      </c>
      <c r="P747" s="15">
        <f>I754</f>
        <v>0.005557605659258286</v>
      </c>
      <c r="Q747" s="15">
        <f>J754</f>
        <v>0.018451794753115015</v>
      </c>
      <c r="R747" s="15">
        <f>K754</f>
        <v>-0.021498021299418215</v>
      </c>
      <c r="S747" s="15">
        <f>L754</f>
        <v>4.550726442364936e-05</v>
      </c>
      <c r="T747" s="15">
        <f>M754</f>
        <v>-0.005247352470504706</v>
      </c>
    </row>
    <row r="748" spans="1:20">
      <c r="A748" s="14">
        <v>45530</v>
      </c>
      <c r="B748" s="10">
        <v>1722.468505859375</v>
      </c>
      <c r="C748" s="10">
        <v>610.06201171875</v>
      </c>
      <c r="D748" s="10">
        <v>1803.480346679688</v>
      </c>
      <c r="E748" s="10">
        <v>25010.599609375</v>
      </c>
      <c r="F748" s="10">
        <v>1036</v>
      </c>
      <c r="I748" s="15">
        <f>LN(B748/B747)</f>
        <v>0.02065896156670588</v>
      </c>
      <c r="J748" s="15">
        <f>LN(C748/C747)</f>
        <v>0.042829622420441256</v>
      </c>
      <c r="K748" s="15">
        <f>LN(D748/D747)</f>
        <v>0.013768131048570411</v>
      </c>
      <c r="L748" s="15">
        <f>LN(E748/E747)</f>
        <v>0.007523018148105455</v>
      </c>
      <c r="M748" s="15">
        <f>LN(F748/F747)</f>
        <v>0.017429022686302576</v>
      </c>
      <c r="O748" s="14">
        <v>45539</v>
      </c>
      <c r="P748" s="15">
        <f>I755</f>
        <v>0.008671737137592768</v>
      </c>
      <c r="Q748" s="15">
        <f>J755</f>
        <v>0.012087439808392223</v>
      </c>
      <c r="R748" s="15">
        <f>K755</f>
        <v>-0.003649059162043833</v>
      </c>
      <c r="S748" s="15">
        <f>L755</f>
        <v>-0.003215245383183467</v>
      </c>
      <c r="T748" s="15">
        <f>M755</f>
        <v>0.006483553258339435</v>
      </c>
    </row>
    <row r="749" spans="1:20">
      <c r="A749" s="14">
        <v>45531</v>
      </c>
      <c r="B749" s="10">
        <v>1712.066162109375</v>
      </c>
      <c r="C749" s="10">
        <v>605.42529296875</v>
      </c>
      <c r="D749" s="10">
        <v>1824.945922851562</v>
      </c>
      <c r="E749" s="10">
        <v>25017.75</v>
      </c>
      <c r="F749" s="10">
        <v>1038.099975585938</v>
      </c>
      <c r="I749" s="15">
        <f>LN(B749/B748)</f>
        <v>-0.006057516702453411</v>
      </c>
      <c r="J749" s="15">
        <f>LN(C749/C748)</f>
        <v>-0.007629435903421912</v>
      </c>
      <c r="K749" s="15">
        <f>LN(D749/D748)</f>
        <v>0.01183203130119346</v>
      </c>
      <c r="L749" s="15">
        <f>LN(E749/E748)</f>
        <v>0.0002858535502177548</v>
      </c>
      <c r="M749" s="15">
        <f>LN(F749/F748)</f>
        <v>0.0020249518617453865</v>
      </c>
      <c r="O749" s="14">
        <v>45540</v>
      </c>
      <c r="P749" s="15">
        <f>I756</f>
        <v>0.0037773815457371224</v>
      </c>
      <c r="Q749" s="15">
        <f>J756</f>
        <v>0.020627667337200537</v>
      </c>
      <c r="R749" s="15">
        <f>K756</f>
        <v>-0.00872894423674237</v>
      </c>
      <c r="S749" s="15">
        <f>L756</f>
        <v>-0.0021293438665674616</v>
      </c>
      <c r="T749" s="15">
        <f>M756</f>
        <v>-0.009789253236116569</v>
      </c>
    </row>
    <row r="750" spans="1:20">
      <c r="A750" s="14">
        <v>45532</v>
      </c>
      <c r="B750" s="10">
        <v>1695.3232421875</v>
      </c>
      <c r="C750" s="10">
        <v>607.519287109375</v>
      </c>
      <c r="D750" s="10">
        <v>1836.1279296875</v>
      </c>
      <c r="E750" s="10">
        <v>25052.349609375</v>
      </c>
      <c r="F750" s="10">
        <v>1036.199951171875</v>
      </c>
      <c r="I750" s="15">
        <f>LN(B750/B749)</f>
        <v>-0.009827497058436607</v>
      </c>
      <c r="J750" s="15">
        <f>LN(C750/C749)</f>
        <v>0.0034527483865431615</v>
      </c>
      <c r="K750" s="15">
        <f>LN(D750/D749)</f>
        <v>0.006108612968670373</v>
      </c>
      <c r="L750" s="15">
        <f>LN(E750/E749)</f>
        <v>0.0013820469762269526</v>
      </c>
      <c r="M750" s="15">
        <f>LN(F750/F749)</f>
        <v>-0.0018319674227847606</v>
      </c>
      <c r="O750" s="14">
        <v>45541</v>
      </c>
      <c r="P750" s="15">
        <f>I757</f>
        <v>-0.024368067205596377</v>
      </c>
      <c r="Q750" s="15">
        <f>J757</f>
        <v>-0.01793409860975221</v>
      </c>
      <c r="R750" s="15">
        <f>K757</f>
        <v>0.003833482817575585</v>
      </c>
      <c r="S750" s="15">
        <f>L757</f>
        <v>-0.011718747382249265</v>
      </c>
      <c r="T750" s="15">
        <f>M757</f>
        <v>-0.009498372737702003</v>
      </c>
    </row>
    <row r="751" spans="1:20">
      <c r="A751" s="14">
        <v>45533</v>
      </c>
      <c r="B751" s="10">
        <v>1707.112548828125</v>
      </c>
      <c r="C751" s="10">
        <v>598.4950561523438</v>
      </c>
      <c r="D751" s="10">
        <v>1818.206665039062</v>
      </c>
      <c r="E751" s="10">
        <v>25151.94921875</v>
      </c>
      <c r="F751" s="10">
        <v>1034.5</v>
      </c>
      <c r="I751" s="15">
        <f>LN(B751/B750)</f>
        <v>0.0069299493337787454</v>
      </c>
      <c r="J751" s="15">
        <f>LN(C751/C750)</f>
        <v>-0.014965658472101259</v>
      </c>
      <c r="K751" s="15">
        <f>LN(D751/D750)</f>
        <v>-0.009808301816167707</v>
      </c>
      <c r="L751" s="15">
        <f>LN(E751/E750)</f>
        <v>0.003967777356455909</v>
      </c>
      <c r="M751" s="15">
        <f>LN(F751/F750)</f>
        <v>-0.001641910072791293</v>
      </c>
      <c r="O751" s="14">
        <v>45544</v>
      </c>
      <c r="P751" s="15">
        <f>I758</f>
        <v>-0.0026649240644414604</v>
      </c>
      <c r="Q751" s="15">
        <f>J758</f>
        <v>-0.007856134859576619</v>
      </c>
      <c r="R751" s="15">
        <f>K758</f>
        <v>-0.030672885268427</v>
      </c>
      <c r="S751" s="15">
        <f>L758</f>
        <v>0.003384315433638339</v>
      </c>
      <c r="T751" s="15">
        <f>M758</f>
        <v>-0.0023765755547549465</v>
      </c>
    </row>
    <row r="752" spans="1:20">
      <c r="A752" s="14">
        <v>45534</v>
      </c>
      <c r="B752" s="10">
        <v>1755.854736328125</v>
      </c>
      <c r="C752" s="10">
        <v>594.2072143554688</v>
      </c>
      <c r="D752" s="10">
        <v>1881.679809570312</v>
      </c>
      <c r="E752" s="10">
        <v>25235.900390625</v>
      </c>
      <c r="F752" s="10">
        <v>1053.400024414062</v>
      </c>
      <c r="I752" s="15">
        <f>LN(B752/B751)</f>
        <v>0.02815239226429758</v>
      </c>
      <c r="J752" s="15">
        <f>LN(C752/C751)</f>
        <v>-0.007190160320421702</v>
      </c>
      <c r="K752" s="15">
        <f>LN(D752/D751)</f>
        <v>0.03431422718946577</v>
      </c>
      <c r="L752" s="15">
        <f>LN(E752/E751)</f>
        <v>0.003332202116407902</v>
      </c>
      <c r="M752" s="15">
        <f>LN(F752/F751)</f>
        <v>0.018104833040131454</v>
      </c>
      <c r="O752" s="14">
        <v>45545</v>
      </c>
      <c r="P752" s="15">
        <f>I759</f>
        <v>0.008713340231565829</v>
      </c>
      <c r="Q752" s="15">
        <f>J759</f>
        <v>0.001559884775107204</v>
      </c>
      <c r="R752" s="15">
        <f>K759</f>
        <v>0.01926831453398663</v>
      </c>
      <c r="S752" s="15">
        <f>L759</f>
        <v>0.0041898603137641086</v>
      </c>
      <c r="T752" s="15">
        <f>M759</f>
        <v>0.00879910480727065</v>
      </c>
    </row>
    <row r="753" spans="1:20">
      <c r="A753" s="14">
        <v>45537</v>
      </c>
      <c r="B753" s="10">
        <v>1742.034912109375</v>
      </c>
      <c r="C753" s="10">
        <v>591.6644897460938</v>
      </c>
      <c r="D753" s="10">
        <v>1855.39697265625</v>
      </c>
      <c r="E753" s="10">
        <v>25278.69921875</v>
      </c>
      <c r="F753" s="10">
        <v>1050.900024414062</v>
      </c>
      <c r="I753" s="15">
        <f>LN(B753/B752)</f>
        <v>-0.007901847980299111</v>
      </c>
      <c r="J753" s="15">
        <f>LN(C753/C752)</f>
        <v>-0.00428837031414138</v>
      </c>
      <c r="K753" s="15">
        <f>LN(D753/D752)</f>
        <v>-0.014066219026895805</v>
      </c>
      <c r="L753" s="15">
        <f>LN(E753/E752)</f>
        <v>0.0016945136137639853</v>
      </c>
      <c r="M753" s="15">
        <f>LN(F753/F752)</f>
        <v>-0.002376088122603372</v>
      </c>
      <c r="O753" s="14">
        <v>45546</v>
      </c>
      <c r="P753" s="15">
        <f>I760</f>
        <v>-0.0035333620472087837</v>
      </c>
      <c r="Q753" s="15">
        <f>J760</f>
        <v>0.016837224478327025</v>
      </c>
      <c r="R753" s="15">
        <f>K760</f>
        <v>-0.0360182383256776</v>
      </c>
      <c r="S753" s="15">
        <f>L760</f>
        <v>-0.004909997784499106</v>
      </c>
      <c r="T753" s="15">
        <f>M760</f>
        <v>-0.011716968987833486</v>
      </c>
    </row>
    <row r="754" spans="1:20">
      <c r="A754" s="14">
        <v>45538</v>
      </c>
      <c r="B754" s="10">
        <v>1751.743408203125</v>
      </c>
      <c r="C754" s="10">
        <v>602.68310546875</v>
      </c>
      <c r="D754" s="10">
        <v>1815.935302734375</v>
      </c>
      <c r="E754" s="10">
        <v>25279.849609375</v>
      </c>
      <c r="F754" s="10">
        <v>1045.400024414062</v>
      </c>
      <c r="I754" s="15">
        <f>LN(B754/B753)</f>
        <v>0.005557605659258286</v>
      </c>
      <c r="J754" s="15">
        <f>LN(C754/C753)</f>
        <v>0.018451794753115015</v>
      </c>
      <c r="K754" s="15">
        <f>LN(D754/D753)</f>
        <v>-0.021498021299418215</v>
      </c>
      <c r="L754" s="15">
        <f>LN(E754/E753)</f>
        <v>4.550726442364936e-05</v>
      </c>
      <c r="M754" s="15">
        <f>LN(F754/F753)</f>
        <v>-0.005247352470504706</v>
      </c>
      <c r="O754" s="14">
        <v>45547</v>
      </c>
      <c r="P754" s="15">
        <f>I761</f>
        <v>0.009007795873536464</v>
      </c>
      <c r="Q754" s="15">
        <f>J761</f>
        <v>0.027839175690053855</v>
      </c>
      <c r="R754" s="15">
        <f>K761</f>
        <v>-0.022194105627360187</v>
      </c>
      <c r="S754" s="15">
        <f>L761</f>
        <v>0.018703624424743968</v>
      </c>
      <c r="T754" s="15">
        <f>M761</f>
        <v>0.00877638126796086</v>
      </c>
    </row>
    <row r="755" spans="1:20">
      <c r="A755" s="14">
        <v>45539</v>
      </c>
      <c r="B755" s="10">
        <v>1767.000122070312</v>
      </c>
      <c r="C755" s="10">
        <v>610.01220703125</v>
      </c>
      <c r="D755" s="10">
        <v>1809.320922851562</v>
      </c>
      <c r="E755" s="10">
        <v>25198.69921875</v>
      </c>
      <c r="F755" s="10">
        <v>1052.199951171875</v>
      </c>
      <c r="I755" s="15">
        <f>LN(B755/B754)</f>
        <v>0.008671737137592768</v>
      </c>
      <c r="J755" s="15">
        <f>LN(C755/C754)</f>
        <v>0.012087439808392223</v>
      </c>
      <c r="K755" s="15">
        <f>LN(D755/D754)</f>
        <v>-0.003649059162043833</v>
      </c>
      <c r="L755" s="15">
        <f>LN(E755/E754)</f>
        <v>-0.003215245383183467</v>
      </c>
      <c r="M755" s="15">
        <f>LN(F755/F754)</f>
        <v>0.006483553258339435</v>
      </c>
      <c r="O755" s="14">
        <v>45548</v>
      </c>
      <c r="P755" s="15">
        <f>I762</f>
        <v>0.02621642540383302</v>
      </c>
      <c r="Q755" s="15">
        <f>J762</f>
        <v>0.013169827063205828</v>
      </c>
      <c r="R755" s="15">
        <f>K762</f>
        <v>-0.006381345979560867</v>
      </c>
      <c r="S755" s="15">
        <f>L762</f>
        <v>-0.0012769785942554214</v>
      </c>
      <c r="T755" s="15">
        <f>M762</f>
        <v>0.017182870364377923</v>
      </c>
    </row>
    <row r="756" spans="1:20">
      <c r="A756" s="14">
        <v>45540</v>
      </c>
      <c r="B756" s="10">
        <v>1773.687377929688</v>
      </c>
      <c r="C756" s="10">
        <v>622.7260131835938</v>
      </c>
      <c r="D756" s="10">
        <v>1793.59619140625</v>
      </c>
      <c r="E756" s="10">
        <v>25145.099609375</v>
      </c>
      <c r="F756" s="10">
        <v>1041.949951171875</v>
      </c>
      <c r="I756" s="15">
        <f>LN(B756/B755)</f>
        <v>0.0037773815457371224</v>
      </c>
      <c r="J756" s="15">
        <f>LN(C756/C755)</f>
        <v>0.020627667337200537</v>
      </c>
      <c r="K756" s="15">
        <f>LN(D756/D755)</f>
        <v>-0.00872894423674237</v>
      </c>
      <c r="L756" s="15">
        <f>LN(E756/E755)</f>
        <v>-0.0021293438665674616</v>
      </c>
      <c r="M756" s="15">
        <f>LN(F756/F755)</f>
        <v>-0.009789253236116569</v>
      </c>
      <c r="O756" s="14">
        <v>45551</v>
      </c>
      <c r="P756" s="15">
        <f>I763</f>
        <v>-0.006940812857007932</v>
      </c>
      <c r="Q756" s="15">
        <f>J763</f>
        <v>0.0029375247504756837</v>
      </c>
      <c r="R756" s="15">
        <f>K763</f>
        <v>0.05512623225194613</v>
      </c>
      <c r="S756" s="15">
        <f>L763</f>
        <v>0.0010740980826790941</v>
      </c>
      <c r="T756" s="15">
        <f>M763</f>
        <v>0.005725453289316601</v>
      </c>
    </row>
    <row r="757" spans="1:20">
      <c r="A757" s="14">
        <v>45541</v>
      </c>
      <c r="B757" s="10">
        <v>1730.988403320312</v>
      </c>
      <c r="C757" s="10">
        <v>611.6575317382812</v>
      </c>
      <c r="D757" s="10">
        <v>1800.485107421875</v>
      </c>
      <c r="E757" s="10">
        <v>24852.150390625</v>
      </c>
      <c r="F757" s="10">
        <v>1032.099975585938</v>
      </c>
      <c r="I757" s="15">
        <f>LN(B757/B756)</f>
        <v>-0.024368067205596377</v>
      </c>
      <c r="J757" s="15">
        <f>LN(C757/C756)</f>
        <v>-0.01793409860975221</v>
      </c>
      <c r="K757" s="15">
        <f>LN(D757/D756)</f>
        <v>0.003833482817575585</v>
      </c>
      <c r="L757" s="15">
        <f>LN(E757/E756)</f>
        <v>-0.011718747382249265</v>
      </c>
      <c r="M757" s="15">
        <f>LN(F757/F756)</f>
        <v>-0.009498372737702003</v>
      </c>
      <c r="O757" s="14">
        <v>45552</v>
      </c>
      <c r="P757" s="15">
        <f>I764</f>
        <v>0.006747797473245597</v>
      </c>
      <c r="Q757" s="15">
        <f>J764</f>
        <v>0.002852035730560689</v>
      </c>
      <c r="R757" s="15">
        <f>K764</f>
        <v>-0.011259971476801894</v>
      </c>
      <c r="S757" s="15">
        <f>L764</f>
        <v>0.0013700476615561017</v>
      </c>
      <c r="T757" s="15">
        <f>M764</f>
        <v>0.006115076488776806</v>
      </c>
    </row>
    <row r="758" spans="1:20">
      <c r="A758" s="14">
        <v>45544</v>
      </c>
      <c r="B758" s="10">
        <v>1726.381591796875</v>
      </c>
      <c r="C758" s="10">
        <v>606.87109375</v>
      </c>
      <c r="D758" s="10">
        <v>1746.097412109375</v>
      </c>
      <c r="E758" s="10">
        <v>24936.400390625</v>
      </c>
      <c r="F758" s="10">
        <v>1029.650024414062</v>
      </c>
      <c r="I758" s="15">
        <f>LN(B758/B757)</f>
        <v>-0.0026649240644414604</v>
      </c>
      <c r="J758" s="15">
        <f>LN(C758/C757)</f>
        <v>-0.007856134859576619</v>
      </c>
      <c r="K758" s="15">
        <f>LN(D758/D757)</f>
        <v>-0.030672885268427</v>
      </c>
      <c r="L758" s="15">
        <f>LN(E758/E757)</f>
        <v>0.003384315433638339</v>
      </c>
      <c r="M758" s="15">
        <f>LN(F758/F757)</f>
        <v>-0.0023765755547549465</v>
      </c>
      <c r="O758" s="14">
        <v>45553</v>
      </c>
      <c r="P758" s="15">
        <f>I765</f>
        <v>-0.003146877032488323</v>
      </c>
      <c r="Q758" s="15">
        <f>J765</f>
        <v>0.021624118756615473</v>
      </c>
      <c r="R758" s="15">
        <f>K765</f>
        <v>-0.013548034428748476</v>
      </c>
      <c r="S758" s="15">
        <f>L765</f>
        <v>-0.0016142974615182065</v>
      </c>
      <c r="T758" s="15">
        <f>M765</f>
        <v>-0.0023004787046725906</v>
      </c>
    </row>
    <row r="759" spans="1:20">
      <c r="A759" s="14">
        <v>45545</v>
      </c>
      <c r="B759" s="10">
        <v>1741.489868164062</v>
      </c>
      <c r="C759" s="10">
        <v>607.8184814453125</v>
      </c>
      <c r="D759" s="10">
        <v>1780.067993164062</v>
      </c>
      <c r="E759" s="10">
        <v>25041.099609375</v>
      </c>
      <c r="F759" s="10">
        <v>1038.75</v>
      </c>
      <c r="I759" s="15">
        <f>LN(B759/B758)</f>
        <v>0.008713340231565829</v>
      </c>
      <c r="J759" s="15">
        <f>LN(C759/C758)</f>
        <v>0.001559884775107204</v>
      </c>
      <c r="K759" s="15">
        <f>LN(D759/D758)</f>
        <v>0.01926831453398663</v>
      </c>
      <c r="L759" s="15">
        <f>LN(E759/E758)</f>
        <v>0.0041898603137641086</v>
      </c>
      <c r="M759" s="15">
        <f>LN(F759/F758)</f>
        <v>0.00879910480727065</v>
      </c>
      <c r="O759" s="14">
        <v>45554</v>
      </c>
      <c r="P759" s="15">
        <f>I766</f>
        <v>0.01821950344339437</v>
      </c>
      <c r="Q759" s="15">
        <f>J766</f>
        <v>0.022787482365023246</v>
      </c>
      <c r="R759" s="15">
        <f>K766</f>
        <v>0.024680617290970926</v>
      </c>
      <c r="S759" s="15">
        <f>L766</f>
        <v>0.0015061029073179838</v>
      </c>
      <c r="T759" s="15">
        <f>M766</f>
        <v>0.004923231137461342</v>
      </c>
    </row>
    <row r="760" spans="1:20">
      <c r="A760" s="14">
        <v>45546</v>
      </c>
      <c r="B760" s="10">
        <v>1735.347412109375</v>
      </c>
      <c r="C760" s="10">
        <v>618.1390991210938</v>
      </c>
      <c r="D760" s="10">
        <v>1717.093994140625</v>
      </c>
      <c r="E760" s="10">
        <v>24918.44921875</v>
      </c>
      <c r="F760" s="10">
        <v>1026.650024414062</v>
      </c>
      <c r="I760" s="15">
        <f>LN(B760/B759)</f>
        <v>-0.0035333620472087837</v>
      </c>
      <c r="J760" s="15">
        <f>LN(C760/C759)</f>
        <v>0.016837224478327025</v>
      </c>
      <c r="K760" s="15">
        <f>LN(D760/D759)</f>
        <v>-0.0360182383256776</v>
      </c>
      <c r="L760" s="15">
        <f>LN(E760/E759)</f>
        <v>-0.004909997784499106</v>
      </c>
      <c r="M760" s="15">
        <f>LN(F760/F759)</f>
        <v>-0.011716968987833486</v>
      </c>
      <c r="O760" s="14">
        <v>45555</v>
      </c>
      <c r="P760" s="15">
        <f>I767</f>
        <v>0.00821949361929957</v>
      </c>
      <c r="Q760" s="15">
        <f>J767</f>
        <v>0.062433271466372044</v>
      </c>
      <c r="R760" s="15">
        <f>K767</f>
        <v>0.04330377171084583</v>
      </c>
      <c r="S760" s="15">
        <f>L767</f>
        <v>0.014652566289984728</v>
      </c>
      <c r="T760" s="15">
        <f>M767</f>
        <v>0.030040014227033566</v>
      </c>
    </row>
    <row r="761" spans="1:20">
      <c r="A761" s="14">
        <v>45547</v>
      </c>
      <c r="B761" s="10">
        <v>1751.049682617188</v>
      </c>
      <c r="C761" s="10">
        <v>635.58935546875</v>
      </c>
      <c r="D761" s="10">
        <v>1679.404418945312</v>
      </c>
      <c r="E761" s="10">
        <v>25388.900390625</v>
      </c>
      <c r="F761" s="10">
        <v>1035.699951171875</v>
      </c>
      <c r="I761" s="15">
        <f>LN(B761/B760)</f>
        <v>0.009007795873536464</v>
      </c>
      <c r="J761" s="15">
        <f>LN(C761/C760)</f>
        <v>0.027839175690053855</v>
      </c>
      <c r="K761" s="15">
        <f>LN(D761/D760)</f>
        <v>-0.022194105627360187</v>
      </c>
      <c r="L761" s="15">
        <f>LN(E761/E760)</f>
        <v>0.018703624424743968</v>
      </c>
      <c r="M761" s="15">
        <f>LN(F761/F760)</f>
        <v>0.00877638126796086</v>
      </c>
      <c r="O761" s="14">
        <v>45558</v>
      </c>
      <c r="P761" s="15">
        <f>I768</f>
        <v>0.02278812817536858</v>
      </c>
      <c r="Q761" s="15">
        <f>J768</f>
        <v>0.02533857277621825</v>
      </c>
      <c r="R761" s="15">
        <f>K768</f>
        <v>-0.0217915222345771</v>
      </c>
      <c r="S761" s="15">
        <f>L768</f>
        <v>0.005725960454112572</v>
      </c>
      <c r="T761" s="15">
        <f>M768</f>
        <v>0.022041111174536155</v>
      </c>
    </row>
    <row r="762" spans="1:20">
      <c r="A762" s="14">
        <v>45548</v>
      </c>
      <c r="B762" s="10">
        <v>1797.56298828125</v>
      </c>
      <c r="C762" s="10">
        <v>644.0153198242188</v>
      </c>
      <c r="D762" s="10">
        <v>1668.7216796875</v>
      </c>
      <c r="E762" s="10">
        <v>25356.5</v>
      </c>
      <c r="F762" s="10">
        <v>1053.650024414062</v>
      </c>
      <c r="I762" s="15">
        <f>LN(B762/B761)</f>
        <v>0.02621642540383302</v>
      </c>
      <c r="J762" s="15">
        <f>LN(C762/C761)</f>
        <v>0.013169827063205828</v>
      </c>
      <c r="K762" s="15">
        <f>LN(D762/D761)</f>
        <v>-0.006381345979560867</v>
      </c>
      <c r="L762" s="15">
        <f>LN(E762/E761)</f>
        <v>-0.0012769785942554214</v>
      </c>
      <c r="M762" s="15">
        <f>LN(F762/F761)</f>
        <v>0.017182870364377923</v>
      </c>
      <c r="O762" s="14">
        <v>45559</v>
      </c>
      <c r="P762" s="15">
        <f>I769</f>
        <v>0.00021058814844025217</v>
      </c>
      <c r="Q762" s="15">
        <f>J769</f>
        <v>-0.029427863604160755</v>
      </c>
      <c r="R762" s="15">
        <f>K769</f>
        <v>0.008856024458890709</v>
      </c>
      <c r="S762" s="15">
        <f>L769</f>
        <v>5.20286681844374e-05</v>
      </c>
      <c r="T762" s="15">
        <f>M769</f>
        <v>-0.003023724458767431</v>
      </c>
    </row>
    <row r="763" spans="1:20">
      <c r="A763" s="14">
        <v>45551</v>
      </c>
      <c r="B763" s="10">
        <v>1785.129638671875</v>
      </c>
      <c r="C763" s="10">
        <v>645.909912109375</v>
      </c>
      <c r="D763" s="10">
        <v>1763.294799804688</v>
      </c>
      <c r="E763" s="10">
        <v>25383.75</v>
      </c>
      <c r="F763" s="10">
        <v>1059.699951171875</v>
      </c>
      <c r="I763" s="15">
        <f>LN(B763/B762)</f>
        <v>-0.006940812857007932</v>
      </c>
      <c r="J763" s="15">
        <f>LN(C763/C762)</f>
        <v>0.0029375247504756837</v>
      </c>
      <c r="K763" s="15">
        <f>LN(D763/D762)</f>
        <v>0.05512623225194613</v>
      </c>
      <c r="L763" s="15">
        <f>LN(E763/E762)</f>
        <v>0.0010740980826790941</v>
      </c>
      <c r="M763" s="15">
        <f>LN(F763/F762)</f>
        <v>0.005725453289316601</v>
      </c>
      <c r="O763" s="14">
        <v>45560</v>
      </c>
      <c r="P763" s="15">
        <f>I770</f>
        <v>0.021580659209805356</v>
      </c>
      <c r="Q763" s="15">
        <f>J770</f>
        <v>0.004504293159503379</v>
      </c>
      <c r="R763" s="15">
        <f>K770</f>
        <v>-0.015640664207228143</v>
      </c>
      <c r="S763" s="15">
        <f>L770</f>
        <v>0.0024545416621303915</v>
      </c>
      <c r="T763" s="15">
        <f>M770</f>
        <v>0.006569355894247388</v>
      </c>
    </row>
    <row r="764" spans="1:20">
      <c r="A764" s="14">
        <v>45552</v>
      </c>
      <c r="B764" s="10">
        <v>1797.216064453125</v>
      </c>
      <c r="C764" s="10">
        <v>647.7546997070312</v>
      </c>
      <c r="D764" s="10">
        <v>1743.551513671875</v>
      </c>
      <c r="E764" s="10">
        <v>25418.55078125</v>
      </c>
      <c r="F764" s="10">
        <v>1066.199951171875</v>
      </c>
      <c r="I764" s="15">
        <f>LN(B764/B763)</f>
        <v>0.006747797473245597</v>
      </c>
      <c r="J764" s="15">
        <f>LN(C764/C763)</f>
        <v>0.002852035730560689</v>
      </c>
      <c r="K764" s="15">
        <f>LN(D764/D763)</f>
        <v>-0.011259971476801894</v>
      </c>
      <c r="L764" s="15">
        <f>LN(E764/E763)</f>
        <v>0.0013700476615561017</v>
      </c>
      <c r="M764" s="15">
        <f>LN(F764/F763)</f>
        <v>0.006115076488776806</v>
      </c>
      <c r="O764" s="14">
        <v>45561</v>
      </c>
      <c r="P764" s="15">
        <f>I771</f>
        <v>0.006008223287330492</v>
      </c>
      <c r="Q764" s="15">
        <f>J771</f>
        <v>0.008948341281075559</v>
      </c>
      <c r="R764" s="15">
        <f>K771</f>
        <v>0.011650016891386571</v>
      </c>
      <c r="S764" s="15">
        <f>L771</f>
        <v>0.008115692736807522</v>
      </c>
      <c r="T764" s="15">
        <f>M771</f>
        <v>0.001017068231401126</v>
      </c>
    </row>
    <row r="765" spans="1:20">
      <c r="A765" s="14">
        <v>45553</v>
      </c>
      <c r="B765" s="10">
        <v>1791.5693359375</v>
      </c>
      <c r="C765" s="10">
        <v>661.9143676757812</v>
      </c>
      <c r="D765" s="10">
        <v>1720.089111328125</v>
      </c>
      <c r="E765" s="10">
        <v>25377.55078125</v>
      </c>
      <c r="F765" s="10">
        <v>1063.75</v>
      </c>
      <c r="I765" s="15">
        <f>LN(B765/B764)</f>
        <v>-0.003146877032488323</v>
      </c>
      <c r="J765" s="15">
        <f>LN(C765/C764)</f>
        <v>0.021624118756615473</v>
      </c>
      <c r="K765" s="15">
        <f>LN(D765/D764)</f>
        <v>-0.013548034428748476</v>
      </c>
      <c r="L765" s="15">
        <f>LN(E765/E764)</f>
        <v>-0.0016142974615182065</v>
      </c>
      <c r="M765" s="15">
        <f>LN(F765/F764)</f>
        <v>-0.0023004787046725906</v>
      </c>
      <c r="O765" s="14">
        <v>45562</v>
      </c>
      <c r="P765" s="15">
        <f>I772</f>
        <v>-0.02927450592594861</v>
      </c>
      <c r="Q765" s="15">
        <f>J772</f>
        <v>-0.011163425402812501</v>
      </c>
      <c r="R765" s="15">
        <f>K772</f>
        <v>0.024758542024023583</v>
      </c>
      <c r="S765" s="15">
        <f>L772</f>
        <v>-0.0014162255444679923</v>
      </c>
      <c r="T765" s="15">
        <f>M772</f>
        <v>-0.012004945575554309</v>
      </c>
    </row>
    <row r="766" spans="1:20">
      <c r="A766" s="14">
        <v>45554</v>
      </c>
      <c r="B766" s="10">
        <v>1824.510009765625</v>
      </c>
      <c r="C766" s="10">
        <v>677.1708984375</v>
      </c>
      <c r="D766" s="10">
        <v>1763.070190429688</v>
      </c>
      <c r="E766" s="10">
        <v>25415.80078125</v>
      </c>
      <c r="F766" s="10">
        <v>1069</v>
      </c>
      <c r="I766" s="15">
        <f>LN(B766/B765)</f>
        <v>0.01821950344339437</v>
      </c>
      <c r="J766" s="15">
        <f>LN(C766/C765)</f>
        <v>0.022787482365023246</v>
      </c>
      <c r="K766" s="15">
        <f>LN(D766/D765)</f>
        <v>0.024680617290970926</v>
      </c>
      <c r="L766" s="15">
        <f>LN(E766/E765)</f>
        <v>0.0015061029073179838</v>
      </c>
      <c r="M766" s="15">
        <f>LN(F766/F765)</f>
        <v>0.004923231137461342</v>
      </c>
      <c r="O766" s="14">
        <v>45565</v>
      </c>
      <c r="P766" s="15">
        <f>I773</f>
        <v>-0.0024544246803668984</v>
      </c>
      <c r="Q766" s="15">
        <f>J773</f>
        <v>-0.024055178891621166</v>
      </c>
      <c r="R766" s="15">
        <f>K773</f>
        <v>-0.00696513068925013</v>
      </c>
      <c r="S766" s="15">
        <f>L773</f>
        <v>-0.014160691857076434</v>
      </c>
      <c r="T766" s="15">
        <f>M773</f>
        <v>-0.016961836114320245</v>
      </c>
    </row>
    <row r="767" spans="1:20">
      <c r="A767" s="14">
        <v>45555</v>
      </c>
      <c r="B767" s="10">
        <v>1839.568359375</v>
      </c>
      <c r="C767" s="10">
        <v>720.7965698242188</v>
      </c>
      <c r="D767" s="10">
        <v>1841.094970703125</v>
      </c>
      <c r="E767" s="10">
        <v>25790.94921875</v>
      </c>
      <c r="F767" s="10">
        <v>1101.599975585938</v>
      </c>
      <c r="I767" s="15">
        <f>LN(B767/B766)</f>
        <v>0.00821949361929957</v>
      </c>
      <c r="J767" s="15">
        <f>LN(C767/C766)</f>
        <v>0.062433271466372044</v>
      </c>
      <c r="K767" s="15">
        <f>LN(D767/D766)</f>
        <v>0.04330377171084583</v>
      </c>
      <c r="L767" s="15">
        <f>LN(E767/E766)</f>
        <v>0.014652566289984728</v>
      </c>
      <c r="M767" s="15">
        <f>LN(F767/F766)</f>
        <v>0.030040014227033566</v>
      </c>
      <c r="O767" s="14">
        <v>45566</v>
      </c>
      <c r="P767" s="15">
        <f>I774</f>
        <v>-0.0023015876139300608</v>
      </c>
      <c r="Q767" s="15">
        <f>J774</f>
        <v>0.03240498212345136</v>
      </c>
      <c r="R767" s="15">
        <f>K774</f>
        <v>-0.051417299943454016</v>
      </c>
      <c r="S767" s="15">
        <f>L774</f>
        <v>-0.0005405862138807384</v>
      </c>
      <c r="T767" s="15">
        <f>M774</f>
        <v>-0.001958262290267176</v>
      </c>
    </row>
    <row r="768" spans="1:20">
      <c r="A768" s="14">
        <v>45558</v>
      </c>
      <c r="B768" s="10">
        <v>1881.969970703125</v>
      </c>
      <c r="C768" s="10">
        <v>739.2938842773438</v>
      </c>
      <c r="D768" s="10">
        <v>1801.40869140625</v>
      </c>
      <c r="E768" s="10">
        <v>25939.05078125</v>
      </c>
      <c r="F768" s="10">
        <v>1126.150024414062</v>
      </c>
      <c r="I768" s="15">
        <f>LN(B768/B767)</f>
        <v>0.02278812817536858</v>
      </c>
      <c r="J768" s="15">
        <f>LN(C768/C767)</f>
        <v>0.02533857277621825</v>
      </c>
      <c r="K768" s="15">
        <f>LN(D768/D767)</f>
        <v>-0.0217915222345771</v>
      </c>
      <c r="L768" s="15">
        <f>LN(E768/E767)</f>
        <v>0.005725960454112572</v>
      </c>
      <c r="M768" s="15">
        <f>LN(F768/F767)</f>
        <v>0.022041111174536155</v>
      </c>
      <c r="O768" s="14">
        <v>45568</v>
      </c>
      <c r="P768" s="15">
        <f>I775</f>
        <v>-0.022851006860172274</v>
      </c>
      <c r="Q768" s="15">
        <f>J775</f>
        <v>-0.036316740756298184</v>
      </c>
      <c r="R768" s="15">
        <f>K775</f>
        <v>-0.05547048927585112</v>
      </c>
      <c r="S768" s="15">
        <f>L775</f>
        <v>-0.02142424417261006</v>
      </c>
      <c r="T768" s="15">
        <f>M775</f>
        <v>-0.04460508371705705</v>
      </c>
    </row>
    <row r="769" spans="1:20">
      <c r="A769" s="14">
        <v>45559</v>
      </c>
      <c r="B769" s="10">
        <v>1882.366333007812</v>
      </c>
      <c r="C769" s="10">
        <v>717.8550415039062</v>
      </c>
      <c r="D769" s="10">
        <v>1817.432861328125</v>
      </c>
      <c r="E769" s="10">
        <v>25940.400390625</v>
      </c>
      <c r="F769" s="10">
        <v>1122.75</v>
      </c>
      <c r="I769" s="15">
        <f>LN(B769/B768)</f>
        <v>0.00021058814844025217</v>
      </c>
      <c r="J769" s="15">
        <f>LN(C769/C768)</f>
        <v>-0.029427863604160755</v>
      </c>
      <c r="K769" s="15">
        <f>LN(D769/D768)</f>
        <v>0.008856024458890709</v>
      </c>
      <c r="L769" s="15">
        <f>LN(E769/E768)</f>
        <v>5.20286681844374e-05</v>
      </c>
      <c r="M769" s="15">
        <f>LN(F769/F768)</f>
        <v>-0.003023724458767431</v>
      </c>
      <c r="O769" s="14">
        <v>45569</v>
      </c>
      <c r="P769" s="15">
        <f>I776</f>
        <v>-0.020145070803220616</v>
      </c>
      <c r="Q769" s="15">
        <f>J776</f>
        <v>0.027273806486131476</v>
      </c>
      <c r="R769" s="15">
        <f>K776</f>
        <v>0.008256234506177206</v>
      </c>
      <c r="S769" s="15">
        <f>L776</f>
        <v>-0.009370461848646757</v>
      </c>
      <c r="T769" s="15">
        <f>M776</f>
        <v>-0.01653243226250296</v>
      </c>
    </row>
    <row r="770" spans="1:20">
      <c r="A770" s="14">
        <v>45560</v>
      </c>
      <c r="B770" s="10">
        <v>1923.430541992188</v>
      </c>
      <c r="C770" s="10">
        <v>721.0957641601562</v>
      </c>
      <c r="D770" s="10">
        <v>1789.228149414062</v>
      </c>
      <c r="E770" s="10">
        <v>26004.150390625</v>
      </c>
      <c r="F770" s="10">
        <v>1130.150024414062</v>
      </c>
      <c r="I770" s="15">
        <f>LN(B770/B769)</f>
        <v>0.021580659209805356</v>
      </c>
      <c r="J770" s="15">
        <f>LN(C770/C769)</f>
        <v>0.004504293159503379</v>
      </c>
      <c r="K770" s="15">
        <f>LN(D770/D769)</f>
        <v>-0.015640664207228143</v>
      </c>
      <c r="L770" s="15">
        <f>LN(E770/E769)</f>
        <v>0.0024545416621303915</v>
      </c>
      <c r="M770" s="15">
        <f>LN(F770/F769)</f>
        <v>0.006569355894247388</v>
      </c>
      <c r="O770" s="14">
        <v>45572</v>
      </c>
      <c r="P770" s="15">
        <f>I777</f>
        <v>-0.03391305027391562</v>
      </c>
      <c r="Q770" s="15">
        <f>J777</f>
        <v>-0.08159842117881554</v>
      </c>
      <c r="R770" s="15">
        <f>K777</f>
        <v>0.0008666669133601273</v>
      </c>
      <c r="S770" s="15">
        <f>L777</f>
        <v>-0.008787371273170997</v>
      </c>
      <c r="T770" s="15">
        <f>M777</f>
        <v>-0.011355197912201218</v>
      </c>
    </row>
    <row r="771" spans="1:20">
      <c r="A771" s="14">
        <v>45561</v>
      </c>
      <c r="B771" s="10">
        <v>1935.021728515625</v>
      </c>
      <c r="C771" s="10">
        <v>727.5773315429688</v>
      </c>
      <c r="D771" s="10">
        <v>1810.194580078125</v>
      </c>
      <c r="E771" s="10">
        <v>26216.05078125</v>
      </c>
      <c r="F771" s="10">
        <v>1131.300048828125</v>
      </c>
      <c r="I771" s="15">
        <f>LN(B771/B770)</f>
        <v>0.006008223287330492</v>
      </c>
      <c r="J771" s="15">
        <f>LN(C771/C770)</f>
        <v>0.008948341281075559</v>
      </c>
      <c r="K771" s="15">
        <f>LN(D771/D770)</f>
        <v>0.011650016891386571</v>
      </c>
      <c r="L771" s="15">
        <f>LN(E771/E770)</f>
        <v>0.008115692736807522</v>
      </c>
      <c r="M771" s="15">
        <f>LN(F771/F770)</f>
        <v>0.001017068231401126</v>
      </c>
      <c r="O771" s="14">
        <v>45573</v>
      </c>
      <c r="P771" s="15">
        <f>I778</f>
        <v>0.006557012180416216</v>
      </c>
      <c r="Q771" s="15">
        <f>J778</f>
        <v>0.09174034355484538</v>
      </c>
      <c r="R771" s="15">
        <f>K778</f>
        <v>-0.010420012895307657</v>
      </c>
      <c r="S771" s="15">
        <f>L778</f>
        <v>0.008729434677965052</v>
      </c>
      <c r="T771" s="15">
        <f>M778</f>
        <v>0.009560510726235916</v>
      </c>
    </row>
    <row r="772" spans="1:20">
      <c r="A772" s="14">
        <v>45562</v>
      </c>
      <c r="B772" s="10">
        <v>1879.196044921875</v>
      </c>
      <c r="C772" s="10">
        <v>719.500244140625</v>
      </c>
      <c r="D772" s="10">
        <v>1855.57177734375</v>
      </c>
      <c r="E772" s="10">
        <v>26178.94921875</v>
      </c>
      <c r="F772" s="10">
        <v>1117.800048828125</v>
      </c>
      <c r="I772" s="15">
        <f>LN(B772/B771)</f>
        <v>-0.02927450592594861</v>
      </c>
      <c r="J772" s="15">
        <f>LN(C772/C771)</f>
        <v>-0.011163425402812501</v>
      </c>
      <c r="K772" s="15">
        <f>LN(D772/D771)</f>
        <v>0.024758542024023583</v>
      </c>
      <c r="L772" s="15">
        <f>LN(E772/E771)</f>
        <v>-0.0014162255444679923</v>
      </c>
      <c r="M772" s="15">
        <f>LN(F772/F771)</f>
        <v>-0.012004945575554309</v>
      </c>
      <c r="O772" s="14">
        <v>45574</v>
      </c>
      <c r="P772" s="15">
        <f>I779</f>
        <v>0.04176724653565752</v>
      </c>
      <c r="Q772" s="15">
        <f>J779</f>
        <v>0.013973851821975658</v>
      </c>
      <c r="R772" s="15">
        <f>K779</f>
        <v>0.04275199939708785</v>
      </c>
      <c r="S772" s="15">
        <f>L779</f>
        <v>-0.0012481693673798233</v>
      </c>
      <c r="T772" s="15">
        <f>M779</f>
        <v>0.0212304781498528</v>
      </c>
    </row>
    <row r="773" spans="1:20">
      <c r="A773" s="14">
        <v>45565</v>
      </c>
      <c r="B773" s="10">
        <v>1874.58935546875</v>
      </c>
      <c r="C773" s="10">
        <v>702.3990478515625</v>
      </c>
      <c r="D773" s="10">
        <v>1842.6923828125</v>
      </c>
      <c r="E773" s="10">
        <v>25810.849609375</v>
      </c>
      <c r="F773" s="10">
        <v>1099</v>
      </c>
      <c r="I773" s="15">
        <f>LN(B773/B772)</f>
        <v>-0.0024544246803668984</v>
      </c>
      <c r="J773" s="15">
        <f>LN(C773/C772)</f>
        <v>-0.024055178891621166</v>
      </c>
      <c r="K773" s="15">
        <f>LN(D773/D772)</f>
        <v>-0.00696513068925013</v>
      </c>
      <c r="L773" s="15">
        <f>LN(E773/E772)</f>
        <v>-0.014160691857076434</v>
      </c>
      <c r="M773" s="15">
        <f>LN(F773/F772)</f>
        <v>-0.016961836114320245</v>
      </c>
      <c r="O773" s="14">
        <v>45575</v>
      </c>
      <c r="P773" s="15">
        <f>I780</f>
        <v>0.02401898281143441</v>
      </c>
      <c r="Q773" s="15">
        <f>J780</f>
        <v>0.022290769609225995</v>
      </c>
      <c r="R773" s="15">
        <f>K780</f>
        <v>-0.03577333596350672</v>
      </c>
      <c r="S773" s="15">
        <f>L780</f>
        <v>0.0006602588660852999</v>
      </c>
      <c r="T773" s="15">
        <f>M780</f>
        <v>-0.00400026553092602</v>
      </c>
    </row>
    <row r="774" spans="1:20">
      <c r="A774" s="14">
        <v>45566</v>
      </c>
      <c r="B774" s="10">
        <v>1870.27978515625</v>
      </c>
      <c r="C774" s="10">
        <v>725.5330810546875</v>
      </c>
      <c r="D774" s="10">
        <v>1750.340698242188</v>
      </c>
      <c r="E774" s="10">
        <v>25796.900390625</v>
      </c>
      <c r="F774" s="10">
        <v>1096.849975585938</v>
      </c>
      <c r="I774" s="15">
        <f>LN(B774/B773)</f>
        <v>-0.0023015876139300608</v>
      </c>
      <c r="J774" s="15">
        <f>LN(C774/C773)</f>
        <v>0.03240498212345136</v>
      </c>
      <c r="K774" s="15">
        <f>LN(D774/D773)</f>
        <v>-0.051417299943454016</v>
      </c>
      <c r="L774" s="15">
        <f>LN(E774/E773)</f>
        <v>-0.0005405862138807384</v>
      </c>
      <c r="M774" s="15">
        <f>LN(F774/F773)</f>
        <v>-0.001958262290267176</v>
      </c>
      <c r="O774" s="14">
        <v>45576</v>
      </c>
      <c r="P774" s="15">
        <f>I781</f>
        <v>0.021009638058316092</v>
      </c>
      <c r="Q774" s="15">
        <f>J781</f>
        <v>-0.006775180765778339</v>
      </c>
      <c r="R774" s="15">
        <f>K781</f>
        <v>-0.023689671211998387</v>
      </c>
      <c r="S774" s="15">
        <f>L781</f>
        <v>-0.0013689902517646816</v>
      </c>
      <c r="T774" s="15">
        <f>M781</f>
        <v>-0.006942976172077404</v>
      </c>
    </row>
    <row r="775" spans="1:20">
      <c r="A775" s="14">
        <v>45568</v>
      </c>
      <c r="B775" s="10">
        <v>1828.026611328125</v>
      </c>
      <c r="C775" s="10">
        <v>699.6567993164062</v>
      </c>
      <c r="D775" s="10">
        <v>1655.892211914062</v>
      </c>
      <c r="E775" s="10">
        <v>25250.099609375</v>
      </c>
      <c r="F775" s="10">
        <v>1049</v>
      </c>
      <c r="I775" s="15">
        <f>LN(B775/B774)</f>
        <v>-0.022851006860172274</v>
      </c>
      <c r="J775" s="15">
        <f>LN(C775/C774)</f>
        <v>-0.036316740756298184</v>
      </c>
      <c r="K775" s="15">
        <f>LN(D775/D774)</f>
        <v>-0.05547048927585112</v>
      </c>
      <c r="L775" s="15">
        <f>LN(E775/E774)</f>
        <v>-0.02142424417261006</v>
      </c>
      <c r="M775" s="15">
        <f>LN(F775/F774)</f>
        <v>-0.04460508371705705</v>
      </c>
      <c r="O775" s="14">
        <v>45579</v>
      </c>
      <c r="P775" s="15">
        <f>I782</f>
        <v>0.04016423946198741</v>
      </c>
      <c r="Q775" s="15">
        <f>J782</f>
        <v>0.02005878638304665</v>
      </c>
      <c r="R775" s="15">
        <f>K782</f>
        <v>-0.00850777073763584</v>
      </c>
      <c r="S775" s="15">
        <f>L782</f>
        <v>0.006535939888908111</v>
      </c>
      <c r="T775" s="15">
        <f>M782</f>
        <v>0.015968308403456623</v>
      </c>
    </row>
    <row r="776" spans="1:20">
      <c r="A776" s="14">
        <v>45569</v>
      </c>
      <c r="B776" s="10">
        <v>1791.5693359375</v>
      </c>
      <c r="C776" s="10">
        <v>719.001708984375</v>
      </c>
      <c r="D776" s="10">
        <v>1669.620239257812</v>
      </c>
      <c r="E776" s="10">
        <v>25014.599609375</v>
      </c>
      <c r="F776" s="10">
        <v>1031.800048828125</v>
      </c>
      <c r="I776" s="15">
        <f>LN(B776/B775)</f>
        <v>-0.020145070803220616</v>
      </c>
      <c r="J776" s="15">
        <f>LN(C776/C775)</f>
        <v>0.027273806486131476</v>
      </c>
      <c r="K776" s="15">
        <f>LN(D776/D775)</f>
        <v>0.008256234506177206</v>
      </c>
      <c r="L776" s="15">
        <f>LN(E776/E775)</f>
        <v>-0.009370461848646757</v>
      </c>
      <c r="M776" s="15">
        <f>LN(F776/F775)</f>
        <v>-0.01653243226250296</v>
      </c>
      <c r="O776" s="14">
        <v>45580</v>
      </c>
      <c r="P776" s="15">
        <f>I783</f>
        <v>0.015447135197683813</v>
      </c>
      <c r="Q776" s="15">
        <f>J783</f>
        <v>0.01529906462400715</v>
      </c>
      <c r="R776" s="15">
        <f>K783</f>
        <v>0.024826230108860356</v>
      </c>
      <c r="S776" s="15">
        <f>L783</f>
        <v>-0.0028135592532655376</v>
      </c>
      <c r="T776" s="15">
        <f>M783</f>
        <v>0.020315314840367745</v>
      </c>
    </row>
    <row r="777" spans="1:20">
      <c r="A777" s="14">
        <v>45572</v>
      </c>
      <c r="B777" s="10">
        <v>1731.830444335938</v>
      </c>
      <c r="C777" s="10">
        <v>662.6621704101562</v>
      </c>
      <c r="D777" s="10">
        <v>1671.06787109375</v>
      </c>
      <c r="E777" s="10">
        <v>24795.75</v>
      </c>
      <c r="F777" s="10">
        <v>1020.150024414062</v>
      </c>
      <c r="I777" s="15">
        <f>LN(B777/B776)</f>
        <v>-0.03391305027391562</v>
      </c>
      <c r="J777" s="15">
        <f>LN(C777/C776)</f>
        <v>-0.08159842117881554</v>
      </c>
      <c r="K777" s="15">
        <f>LN(D777/D776)</f>
        <v>0.0008666669133601273</v>
      </c>
      <c r="L777" s="15">
        <f>LN(E777/E776)</f>
        <v>-0.008787371273170997</v>
      </c>
      <c r="M777" s="15">
        <f>LN(F777/F776)</f>
        <v>-0.011355197912201218</v>
      </c>
      <c r="O777" s="14">
        <v>45581</v>
      </c>
      <c r="P777" s="15">
        <f>I784</f>
        <v>0.00083755456823995</v>
      </c>
      <c r="Q777" s="15">
        <f>J784</f>
        <v>0.0026342177998706414</v>
      </c>
      <c r="R777" s="15">
        <f>K784</f>
        <v>0.013318734201316696</v>
      </c>
      <c r="S777" s="15">
        <f>L784</f>
        <v>-0.003439985380697183</v>
      </c>
      <c r="T777" s="15">
        <f>M784</f>
        <v>0.005452788319941656</v>
      </c>
    </row>
    <row r="778" spans="1:20">
      <c r="A778" s="14">
        <v>45573</v>
      </c>
      <c r="B778" s="10">
        <v>1743.223388671875</v>
      </c>
      <c r="C778" s="10">
        <v>726.3308715820312</v>
      </c>
      <c r="D778" s="10">
        <v>1653.745727539062</v>
      </c>
      <c r="E778" s="10">
        <v>25013.150390625</v>
      </c>
      <c r="F778" s="10">
        <v>1029.949951171875</v>
      </c>
      <c r="I778" s="15">
        <f>LN(B778/B777)</f>
        <v>0.006557012180416216</v>
      </c>
      <c r="J778" s="15">
        <f>LN(C778/C777)</f>
        <v>0.09174034355484538</v>
      </c>
      <c r="K778" s="15">
        <f>LN(D778/D777)</f>
        <v>-0.010420012895307657</v>
      </c>
      <c r="L778" s="15">
        <f>LN(E778/E777)</f>
        <v>0.008729434677965052</v>
      </c>
      <c r="M778" s="15">
        <f>LN(F778/F777)</f>
        <v>0.009560510726235916</v>
      </c>
      <c r="O778" s="14">
        <v>45582</v>
      </c>
      <c r="P778" s="15">
        <f>I785</f>
        <v>-0.06453191915992931</v>
      </c>
      <c r="Q778" s="15">
        <f>J785</f>
        <v>-0.018259933202949705</v>
      </c>
      <c r="R778" s="15">
        <f>K785</f>
        <v>-0.03292692556963437</v>
      </c>
      <c r="S778" s="15">
        <f>L785</f>
        <v>-0.008907784090014885</v>
      </c>
      <c r="T778" s="15">
        <f>M785</f>
        <v>-0.03833067729390149</v>
      </c>
    </row>
    <row r="779" spans="1:20">
      <c r="A779" s="14">
        <v>45574</v>
      </c>
      <c r="B779" s="10">
        <v>1817.574951171875</v>
      </c>
      <c r="C779" s="10">
        <v>736.5517578125</v>
      </c>
      <c r="D779" s="10">
        <v>1725.979736328125</v>
      </c>
      <c r="E779" s="10">
        <v>24981.94921875</v>
      </c>
      <c r="F779" s="10">
        <v>1052.050048828125</v>
      </c>
      <c r="I779" s="15">
        <f>LN(B779/B778)</f>
        <v>0.04176724653565752</v>
      </c>
      <c r="J779" s="15">
        <f>LN(C779/C778)</f>
        <v>0.013973851821975658</v>
      </c>
      <c r="K779" s="15">
        <f>LN(D779/D778)</f>
        <v>0.04275199939708785</v>
      </c>
      <c r="L779" s="15">
        <f>LN(E779/E778)</f>
        <v>-0.0012481693673798233</v>
      </c>
      <c r="M779" s="15">
        <f>LN(F779/F778)</f>
        <v>0.0212304781498528</v>
      </c>
      <c r="O779" s="14">
        <v>45583</v>
      </c>
      <c r="P779" s="15">
        <f>I786</f>
        <v>0.014497538977608538</v>
      </c>
      <c r="Q779" s="15">
        <f>J786</f>
        <v>0.0024800016737649114</v>
      </c>
      <c r="R779" s="15">
        <f>K786</f>
        <v>-0.007914913107920378</v>
      </c>
      <c r="S779" s="15">
        <f>L786</f>
        <v>0.004201335956550517</v>
      </c>
      <c r="T779" s="15">
        <f>M786</f>
        <v>0.0030122897374198136</v>
      </c>
    </row>
    <row r="780" spans="1:20">
      <c r="A780" s="14">
        <v>45575</v>
      </c>
      <c r="B780" s="10">
        <v>1861.759765625</v>
      </c>
      <c r="C780" s="10">
        <v>753.1544189453125</v>
      </c>
      <c r="D780" s="10">
        <v>1665.327026367188</v>
      </c>
      <c r="E780" s="10">
        <v>24998.44921875</v>
      </c>
      <c r="F780" s="10">
        <v>1047.849975585938</v>
      </c>
      <c r="I780" s="15">
        <f>LN(B780/B779)</f>
        <v>0.02401898281143441</v>
      </c>
      <c r="J780" s="15">
        <f>LN(C780/C779)</f>
        <v>0.022290769609225995</v>
      </c>
      <c r="K780" s="15">
        <f>LN(D780/D779)</f>
        <v>-0.03577333596350672</v>
      </c>
      <c r="L780" s="15">
        <f>LN(E780/E779)</f>
        <v>0.0006602588660852999</v>
      </c>
      <c r="M780" s="15">
        <f>LN(F780/F779)</f>
        <v>-0.00400026553092602</v>
      </c>
      <c r="O780" s="14">
        <v>45586</v>
      </c>
      <c r="P780" s="15">
        <f>I787</f>
        <v>0.03262278315676328</v>
      </c>
      <c r="Q780" s="15">
        <f>J787</f>
        <v>-0.04377047650304298</v>
      </c>
      <c r="R780" s="15">
        <f>K787</f>
        <v>-0.024255077843602625</v>
      </c>
      <c r="S780" s="15">
        <f>L787</f>
        <v>-0.002939498473548445</v>
      </c>
      <c r="T780" s="15">
        <f>M787</f>
        <v>-0.01408713302615747</v>
      </c>
    </row>
    <row r="781" spans="1:20">
      <c r="A781" s="14">
        <v>45576</v>
      </c>
      <c r="B781" s="10">
        <v>1901.288452148438</v>
      </c>
      <c r="C781" s="10">
        <v>748.0689086914062</v>
      </c>
      <c r="D781" s="10">
        <v>1626.339599609375</v>
      </c>
      <c r="E781" s="10">
        <v>24964.25</v>
      </c>
      <c r="F781" s="10">
        <v>1040.599975585938</v>
      </c>
      <c r="I781" s="15">
        <f>LN(B781/B780)</f>
        <v>0.021009638058316092</v>
      </c>
      <c r="J781" s="15">
        <f>LN(C781/C780)</f>
        <v>-0.006775180765778339</v>
      </c>
      <c r="K781" s="15">
        <f>LN(D781/D780)</f>
        <v>-0.023689671211998387</v>
      </c>
      <c r="L781" s="15">
        <f>LN(E781/E780)</f>
        <v>-0.0013689902517646816</v>
      </c>
      <c r="M781" s="15">
        <f>LN(F781/F780)</f>
        <v>-0.006942976172077404</v>
      </c>
      <c r="O781" s="14">
        <v>45587</v>
      </c>
      <c r="P781" s="15">
        <f>I788</f>
        <v>-0.02285960891519199</v>
      </c>
      <c r="Q781" s="15">
        <f>J788</f>
        <v>-0.06346761158826489</v>
      </c>
      <c r="R781" s="15">
        <f>K788</f>
        <v>0.007382690208391254</v>
      </c>
      <c r="S781" s="15">
        <f>L788</f>
        <v>-0.012547572909439223</v>
      </c>
      <c r="T781" s="15">
        <f>M788</f>
        <v>-0.034380872446961794</v>
      </c>
    </row>
    <row r="782" spans="1:20">
      <c r="A782" s="14">
        <v>45579</v>
      </c>
      <c r="B782" s="10">
        <v>1979.20654296875</v>
      </c>
      <c r="C782" s="10">
        <v>763.2257690429688</v>
      </c>
      <c r="D782" s="10">
        <v>1612.561767578125</v>
      </c>
      <c r="E782" s="10">
        <v>25127.94921875</v>
      </c>
      <c r="F782" s="10">
        <v>1057.349975585938</v>
      </c>
      <c r="I782" s="15">
        <f>LN(B782/B781)</f>
        <v>0.04016423946198741</v>
      </c>
      <c r="J782" s="15">
        <f>LN(C782/C781)</f>
        <v>0.02005878638304665</v>
      </c>
      <c r="K782" s="15">
        <f>LN(D782/D781)</f>
        <v>-0.00850777073763584</v>
      </c>
      <c r="L782" s="15">
        <f>LN(E782/E781)</f>
        <v>0.006535939888908111</v>
      </c>
      <c r="M782" s="15">
        <f>LN(F782/F781)</f>
        <v>0.015968308403456623</v>
      </c>
      <c r="O782" s="14">
        <v>45588</v>
      </c>
      <c r="P782" s="15">
        <f>I789</f>
        <v>0.0036335840995633554</v>
      </c>
      <c r="Q782" s="15">
        <f>J789</f>
        <v>0.0018848162896953253</v>
      </c>
      <c r="R782" s="15">
        <f>K789</f>
        <v>-0.011397794105756687</v>
      </c>
      <c r="S782" s="15">
        <f>L789</f>
        <v>-0.0014966842167451323</v>
      </c>
      <c r="T782" s="15">
        <f>M789</f>
        <v>-0.00060150944577162</v>
      </c>
    </row>
    <row r="783" spans="1:20">
      <c r="A783" s="14">
        <v>45580</v>
      </c>
      <c r="B783" s="10">
        <v>2010.016967773438</v>
      </c>
      <c r="C783" s="10">
        <v>774.9921875</v>
      </c>
      <c r="D783" s="10">
        <v>1653.0966796875</v>
      </c>
      <c r="E783" s="10">
        <v>25057.349609375</v>
      </c>
      <c r="F783" s="10">
        <v>1079.050048828125</v>
      </c>
      <c r="I783" s="15">
        <f>LN(B783/B782)</f>
        <v>0.015447135197683813</v>
      </c>
      <c r="J783" s="15">
        <f>LN(C783/C782)</f>
        <v>0.01529906462400715</v>
      </c>
      <c r="K783" s="15">
        <f>LN(D783/D782)</f>
        <v>0.024826230108860356</v>
      </c>
      <c r="L783" s="15">
        <f>LN(E783/E782)</f>
        <v>-0.0028135592532655376</v>
      </c>
      <c r="M783" s="15">
        <f>LN(F783/F782)</f>
        <v>0.020315314840367745</v>
      </c>
      <c r="O783" s="14">
        <v>45589</v>
      </c>
      <c r="P783" s="15">
        <f>I790</f>
        <v>0.01387490873155187</v>
      </c>
      <c r="Q783" s="15">
        <f>J790</f>
        <v>0.00014486610593761592</v>
      </c>
      <c r="R783" s="15">
        <f>K790</f>
        <v>-0.027384837381902682</v>
      </c>
      <c r="S783" s="15">
        <f>L790</f>
        <v>-0.0014784351216731097</v>
      </c>
      <c r="T783" s="15">
        <f>M790</f>
        <v>-0.011397046035274947</v>
      </c>
    </row>
    <row r="784" spans="1:20">
      <c r="A784" s="14">
        <v>45581</v>
      </c>
      <c r="B784" s="10">
        <v>2011.701171875</v>
      </c>
      <c r="C784" s="10">
        <v>777.036376953125</v>
      </c>
      <c r="D784" s="10">
        <v>1675.261108398438</v>
      </c>
      <c r="E784" s="10">
        <v>24971.30078125</v>
      </c>
      <c r="F784" s="10">
        <v>1084.949951171875</v>
      </c>
      <c r="I784" s="15">
        <f>LN(B784/B783)</f>
        <v>0.00083755456823995</v>
      </c>
      <c r="J784" s="15">
        <f>LN(C784/C783)</f>
        <v>0.0026342177998706414</v>
      </c>
      <c r="K784" s="15">
        <f>LN(D784/D783)</f>
        <v>0.013318734201316696</v>
      </c>
      <c r="L784" s="15">
        <f>LN(E784/E783)</f>
        <v>-0.003439985380697183</v>
      </c>
      <c r="M784" s="15">
        <f>LN(F784/F783)</f>
        <v>0.005452788319941656</v>
      </c>
      <c r="O784" s="14">
        <v>45590</v>
      </c>
      <c r="P784" s="15">
        <f>I791</f>
        <v>-0.02197897431398021</v>
      </c>
      <c r="Q784" s="15">
        <f>J791</f>
        <v>-0.04419512689581929</v>
      </c>
      <c r="R784" s="15">
        <f>K791</f>
        <v>-0.02727867145608135</v>
      </c>
      <c r="S784" s="15">
        <f>L791</f>
        <v>-0.00899959570008371</v>
      </c>
      <c r="T784" s="15">
        <f>M791</f>
        <v>-0.011733631494422072</v>
      </c>
    </row>
    <row r="785" spans="1:20">
      <c r="A785" s="14">
        <v>45582</v>
      </c>
      <c r="B785" s="10">
        <v>1885.982299804688</v>
      </c>
      <c r="C785" s="10">
        <v>762.9765014648438</v>
      </c>
      <c r="D785" s="10">
        <v>1620.998168945312</v>
      </c>
      <c r="E785" s="10">
        <v>24749.849609375</v>
      </c>
      <c r="F785" s="10">
        <v>1044.150024414062</v>
      </c>
      <c r="I785" s="15">
        <f>LN(B785/B784)</f>
        <v>-0.06453191915992931</v>
      </c>
      <c r="J785" s="15">
        <f>LN(C785/C784)</f>
        <v>-0.018259933202949705</v>
      </c>
      <c r="K785" s="15">
        <f>LN(D785/D784)</f>
        <v>-0.03292692556963437</v>
      </c>
      <c r="L785" s="15">
        <f>LN(E785/E784)</f>
        <v>-0.008907784090014885</v>
      </c>
      <c r="M785" s="15">
        <f>LN(F785/F784)</f>
        <v>-0.03833067729390149</v>
      </c>
      <c r="O785" s="14">
        <v>45593</v>
      </c>
      <c r="P785" s="15">
        <f>I792</f>
        <v>0.014697751149653401</v>
      </c>
      <c r="Q785" s="15">
        <f>J792</f>
        <v>0.03063414662265018</v>
      </c>
      <c r="R785" s="15">
        <f>K792</f>
        <v>-0.012727364101813835</v>
      </c>
      <c r="S785" s="15">
        <f>L792</f>
        <v>0.006527218917237164</v>
      </c>
      <c r="T785" s="15">
        <f>M792</f>
        <v>0.013659072338125374</v>
      </c>
    </row>
    <row r="786" spans="1:20">
      <c r="A786" s="14">
        <v>45583</v>
      </c>
      <c r="B786" s="10">
        <v>1913.523559570312</v>
      </c>
      <c r="C786" s="10">
        <v>764.8710327148438</v>
      </c>
      <c r="D786" s="10">
        <v>1608.21875</v>
      </c>
      <c r="E786" s="10">
        <v>24854.05078125</v>
      </c>
      <c r="F786" s="10">
        <v>1047.300048828125</v>
      </c>
      <c r="I786" s="15">
        <f>LN(B786/B785)</f>
        <v>0.014497538977608538</v>
      </c>
      <c r="J786" s="15">
        <f>LN(C786/C785)</f>
        <v>0.0024800016737649114</v>
      </c>
      <c r="K786" s="15">
        <f>LN(D786/D785)</f>
        <v>-0.007914913107920378</v>
      </c>
      <c r="L786" s="15">
        <f>LN(E786/E785)</f>
        <v>0.004201335956550517</v>
      </c>
      <c r="M786" s="15">
        <f>LN(F786/F785)</f>
        <v>0.0030122897374198136</v>
      </c>
      <c r="O786" s="14">
        <v>45594</v>
      </c>
      <c r="P786" s="15">
        <f>I793</f>
        <v>0.0072056102433462116</v>
      </c>
      <c r="Q786" s="15">
        <f>J793</f>
        <v>0.0032245905493696668</v>
      </c>
      <c r="R786" s="15">
        <f>K793</f>
        <v>0.03648843310419977</v>
      </c>
      <c r="S786" s="15">
        <f>L793</f>
        <v>0.0052329430871703615</v>
      </c>
      <c r="T786" s="15">
        <f>M793</f>
        <v>0.014173916179274451</v>
      </c>
    </row>
    <row r="787" spans="1:20">
      <c r="A787" s="14">
        <v>45586</v>
      </c>
      <c r="B787" s="10">
        <v>1976.977416992188</v>
      </c>
      <c r="C787" s="10">
        <v>732.1143798828125</v>
      </c>
      <c r="D787" s="10">
        <v>1569.680541992188</v>
      </c>
      <c r="E787" s="10">
        <v>24781.099609375</v>
      </c>
      <c r="F787" s="10">
        <v>1032.650024414062</v>
      </c>
      <c r="I787" s="15">
        <f>LN(B787/B786)</f>
        <v>0.03262278315676328</v>
      </c>
      <c r="J787" s="15">
        <f>LN(C787/C786)</f>
        <v>-0.04377047650304298</v>
      </c>
      <c r="K787" s="15">
        <f>LN(D787/D786)</f>
        <v>-0.024255077843602625</v>
      </c>
      <c r="L787" s="15">
        <f>LN(E787/E786)</f>
        <v>-0.002939498473548445</v>
      </c>
      <c r="M787" s="15">
        <f>LN(F787/F786)</f>
        <v>-0.01408713302615747</v>
      </c>
      <c r="O787" s="14">
        <v>45595</v>
      </c>
      <c r="P787" s="15">
        <f>I794</f>
        <v>-0.029139431828295835</v>
      </c>
      <c r="Q787" s="15">
        <f>J794</f>
        <v>0.013662000945157543</v>
      </c>
      <c r="R787" s="15">
        <f>K794</f>
        <v>0.031221659994942398</v>
      </c>
      <c r="S787" s="15">
        <f>L794</f>
        <v>-0.00516313130612327</v>
      </c>
      <c r="T787" s="15">
        <f>M794</f>
        <v>-0.0007988295472935782</v>
      </c>
    </row>
    <row r="788" spans="1:20">
      <c r="A788" s="14">
        <v>45587</v>
      </c>
      <c r="B788" s="10">
        <v>1932.297119140625</v>
      </c>
      <c r="C788" s="10">
        <v>687.0926513671875</v>
      </c>
      <c r="D788" s="10">
        <v>1581.311889648438</v>
      </c>
      <c r="E788" s="10">
        <v>24472.099609375</v>
      </c>
      <c r="F788" s="10">
        <v>997.75</v>
      </c>
      <c r="I788" s="15">
        <f>LN(B788/B787)</f>
        <v>-0.02285960891519199</v>
      </c>
      <c r="J788" s="15">
        <f>LN(C788/C787)</f>
        <v>-0.06346761158826489</v>
      </c>
      <c r="K788" s="15">
        <f>LN(D788/D787)</f>
        <v>0.007382690208391254</v>
      </c>
      <c r="L788" s="15">
        <f>LN(E788/E787)</f>
        <v>-0.012547572909439223</v>
      </c>
      <c r="M788" s="15">
        <f>LN(F788/F787)</f>
        <v>-0.034380872446961794</v>
      </c>
      <c r="O788" s="14">
        <v>45596</v>
      </c>
      <c r="P788" s="15">
        <f>I795</f>
        <v>0.02005444208493149</v>
      </c>
      <c r="Q788" s="15">
        <f>J795</f>
        <v>0.067061428956081</v>
      </c>
      <c r="R788" s="15">
        <f>K795</f>
        <v>-0.028656174728957904</v>
      </c>
      <c r="S788" s="15">
        <f>L795</f>
        <v>-0.00558232586918934</v>
      </c>
      <c r="T788" s="15">
        <f>M795</f>
        <v>-0.0014995504342562153</v>
      </c>
    </row>
    <row r="789" spans="1:20">
      <c r="A789" s="14">
        <v>45588</v>
      </c>
      <c r="B789" s="10">
        <v>1939.3310546875</v>
      </c>
      <c r="C789" s="10">
        <v>688.388916015625</v>
      </c>
      <c r="D789" s="10">
        <v>1563.390747070312</v>
      </c>
      <c r="E789" s="10">
        <v>24435.5</v>
      </c>
      <c r="F789" s="10">
        <v>997.1500244140624</v>
      </c>
      <c r="I789" s="15">
        <f>LN(B789/B788)</f>
        <v>0.0036335840995633554</v>
      </c>
      <c r="J789" s="15">
        <f>LN(C789/C788)</f>
        <v>0.0018848162896953253</v>
      </c>
      <c r="K789" s="15">
        <f>LN(D789/D788)</f>
        <v>-0.011397794105756687</v>
      </c>
      <c r="L789" s="15">
        <f>LN(E789/E788)</f>
        <v>-0.0014966842167451323</v>
      </c>
      <c r="M789" s="15">
        <f>LN(F789/F788)</f>
        <v>-0.00060150944577162</v>
      </c>
      <c r="O789" s="14">
        <v>45597</v>
      </c>
      <c r="P789" s="15">
        <f>I796</f>
        <v>0.003299384940627274</v>
      </c>
      <c r="Q789" s="15">
        <f>J796</f>
        <v>0.021896793269321268</v>
      </c>
      <c r="R789" s="15">
        <f>K796</f>
        <v>0.018260115954422392</v>
      </c>
      <c r="S789" s="15">
        <f>L796</f>
        <v>0.004081663627652918</v>
      </c>
      <c r="T789" s="15">
        <f>M796</f>
        <v>0.009508933787360152</v>
      </c>
    </row>
    <row r="790" spans="1:20">
      <c r="A790" s="14">
        <v>45589</v>
      </c>
      <c r="B790" s="10">
        <v>1966.426635742188</v>
      </c>
      <c r="C790" s="10">
        <v>688.4886474609375</v>
      </c>
      <c r="D790" s="10">
        <v>1521.158447265625</v>
      </c>
      <c r="E790" s="10">
        <v>24399.400390625</v>
      </c>
      <c r="F790" s="10">
        <v>985.8499755859376</v>
      </c>
      <c r="I790" s="15">
        <f>LN(B790/B789)</f>
        <v>0.01387490873155187</v>
      </c>
      <c r="J790" s="15">
        <f>LN(C790/C789)</f>
        <v>0.00014486610593761592</v>
      </c>
      <c r="K790" s="15">
        <f>LN(D790/D789)</f>
        <v>-0.027384837381902682</v>
      </c>
      <c r="L790" s="15">
        <f>LN(E790/E789)</f>
        <v>-0.0014784351216731097</v>
      </c>
      <c r="M790" s="15">
        <f>LN(F790/F789)</f>
        <v>-0.011397046035274947</v>
      </c>
      <c r="O790" s="14">
        <v>45600</v>
      </c>
      <c r="P790" s="15">
        <f>I797</f>
        <v>-0.018043554198411898</v>
      </c>
      <c r="Q790" s="15">
        <f>J797</f>
        <v>-0.040632138839756526</v>
      </c>
      <c r="R790" s="15">
        <f>K797</f>
        <v>-0.0353217039761427</v>
      </c>
      <c r="S790" s="15">
        <f>L797</f>
        <v>-0.012795285302364113</v>
      </c>
      <c r="T790" s="15">
        <f>M797</f>
        <v>-0.029771861891989434</v>
      </c>
    </row>
    <row r="791" spans="1:20">
      <c r="A791" s="14">
        <v>45590</v>
      </c>
      <c r="B791" s="10">
        <v>1923.678100585938</v>
      </c>
      <c r="C791" s="10">
        <v>658.723388671875</v>
      </c>
      <c r="D791" s="10">
        <v>1480.22412109375</v>
      </c>
      <c r="E791" s="10">
        <v>24180.80078125</v>
      </c>
      <c r="F791" s="10">
        <v>974.3499755859376</v>
      </c>
      <c r="I791" s="15">
        <f>LN(B791/B790)</f>
        <v>-0.02197897431398021</v>
      </c>
      <c r="J791" s="15">
        <f>LN(C791/C790)</f>
        <v>-0.04419512689581929</v>
      </c>
      <c r="K791" s="15">
        <f>LN(D791/D790)</f>
        <v>-0.02727867145608135</v>
      </c>
      <c r="L791" s="15">
        <f>LN(E791/E790)</f>
        <v>-0.00899959570008371</v>
      </c>
      <c r="M791" s="15">
        <f>LN(F791/F790)</f>
        <v>-0.011733631494422072</v>
      </c>
      <c r="O791" s="14">
        <v>45601</v>
      </c>
      <c r="P791" s="15">
        <f>I798</f>
        <v>0.03184715357045139</v>
      </c>
      <c r="Q791" s="15">
        <f>J798</f>
        <v>0.03041107172206391</v>
      </c>
      <c r="R791" s="15">
        <f>K798</f>
        <v>0.002902751842516578</v>
      </c>
      <c r="S791" s="15">
        <f>L798</f>
        <v>0.009042055940529129</v>
      </c>
      <c r="T791" s="15">
        <f>M798</f>
        <v>0.0062083306238981525</v>
      </c>
    </row>
    <row r="792" spans="1:20">
      <c r="A792" s="14">
        <v>45593</v>
      </c>
      <c r="B792" s="10">
        <v>1952.16064453125</v>
      </c>
      <c r="C792" s="10">
        <v>679.215087890625</v>
      </c>
      <c r="D792" s="10">
        <v>1461.504150390625</v>
      </c>
      <c r="E792" s="10">
        <v>24339.150390625</v>
      </c>
      <c r="F792" s="10">
        <v>987.75</v>
      </c>
      <c r="I792" s="15">
        <f>LN(B792/B791)</f>
        <v>0.014697751149653401</v>
      </c>
      <c r="J792" s="15">
        <f>LN(C792/C791)</f>
        <v>0.03063414662265018</v>
      </c>
      <c r="K792" s="15">
        <f>LN(D792/D791)</f>
        <v>-0.012727364101813835</v>
      </c>
      <c r="L792" s="15">
        <f>LN(E792/E791)</f>
        <v>0.006527218917237164</v>
      </c>
      <c r="M792" s="15">
        <f>LN(F792/F791)</f>
        <v>0.013659072338125374</v>
      </c>
      <c r="O792" s="14">
        <v>45602</v>
      </c>
      <c r="P792" s="15">
        <f>I799</f>
        <v>0.011812753007100852</v>
      </c>
      <c r="Q792" s="15">
        <f>J799</f>
        <v>0.022036950377040624</v>
      </c>
      <c r="R792" s="15">
        <f>K799</f>
        <v>0.007534413524011903</v>
      </c>
      <c r="S792" s="15">
        <f>L799</f>
        <v>0.011119815807918394</v>
      </c>
      <c r="T792" s="15">
        <f>M799</f>
        <v>0.025494093699627057</v>
      </c>
    </row>
    <row r="793" spans="1:20">
      <c r="A793" s="14">
        <v>45594</v>
      </c>
      <c r="B793" s="10">
        <v>1966.277954101562</v>
      </c>
      <c r="C793" s="10">
        <v>681.4088134765625</v>
      </c>
      <c r="D793" s="10">
        <v>1515.817016601562</v>
      </c>
      <c r="E793" s="10">
        <v>24466.849609375</v>
      </c>
      <c r="F793" s="10">
        <v>1001.849975585938</v>
      </c>
      <c r="I793" s="15">
        <f>LN(B793/B792)</f>
        <v>0.0072056102433462116</v>
      </c>
      <c r="J793" s="15">
        <f>LN(C793/C792)</f>
        <v>0.0032245905493696668</v>
      </c>
      <c r="K793" s="15">
        <f>LN(D793/D792)</f>
        <v>0.03648843310419977</v>
      </c>
      <c r="L793" s="15">
        <f>LN(E793/E792)</f>
        <v>0.0052329430871703615</v>
      </c>
      <c r="M793" s="15">
        <f>LN(F793/F792)</f>
        <v>0.014173916179274451</v>
      </c>
      <c r="O793" s="14">
        <v>45603</v>
      </c>
      <c r="P793" s="15">
        <f>I800</f>
        <v>0.004833898988827168</v>
      </c>
      <c r="Q793" s="15">
        <f>J800</f>
        <v>-0.023906654726971073</v>
      </c>
      <c r="R793" s="15">
        <f>K800</f>
        <v>0.0021469951840739146</v>
      </c>
      <c r="S793" s="15">
        <f>L800</f>
        <v>-0.011696159889418445</v>
      </c>
      <c r="T793" s="15">
        <f>M800</f>
        <v>-0.014445359948665526</v>
      </c>
    </row>
    <row r="794" spans="1:20">
      <c r="A794" s="14">
        <v>45595</v>
      </c>
      <c r="B794" s="10">
        <v>1909.808471679688</v>
      </c>
      <c r="C794" s="10">
        <v>690.7821044921875</v>
      </c>
      <c r="D794" s="10">
        <v>1563.889892578125</v>
      </c>
      <c r="E794" s="10">
        <v>24340.849609375</v>
      </c>
      <c r="F794" s="10">
        <v>1001.049987792969</v>
      </c>
      <c r="I794" s="15">
        <f>LN(B794/B793)</f>
        <v>-0.029139431828295835</v>
      </c>
      <c r="J794" s="15">
        <f>LN(C794/C793)</f>
        <v>0.013662000945157543</v>
      </c>
      <c r="K794" s="15">
        <f>LN(D794/D793)</f>
        <v>0.031221659994942398</v>
      </c>
      <c r="L794" s="15">
        <f>LN(E794/E793)</f>
        <v>-0.00516313130612327</v>
      </c>
      <c r="M794" s="15">
        <f>LN(F794/F793)</f>
        <v>-0.0007988295472935782</v>
      </c>
      <c r="O794" s="14">
        <v>45604</v>
      </c>
      <c r="P794" s="15">
        <f>I801</f>
        <v>-0.007631416278255296</v>
      </c>
      <c r="Q794" s="15">
        <f>J801</f>
        <v>-0.01644233724878883</v>
      </c>
      <c r="R794" s="15">
        <f>K801</f>
        <v>-0.025701086247973716</v>
      </c>
      <c r="S794" s="15">
        <f>L801</f>
        <v>-0.0021159463488489003</v>
      </c>
      <c r="T794" s="15">
        <f>M801</f>
        <v>-0.029428824882833896</v>
      </c>
    </row>
    <row r="795" spans="1:20">
      <c r="A795" s="14">
        <v>45596</v>
      </c>
      <c r="B795" s="10">
        <v>1948.495239257812</v>
      </c>
      <c r="C795" s="10">
        <v>738.695556640625</v>
      </c>
      <c r="D795" s="10">
        <v>1519.710815429688</v>
      </c>
      <c r="E795" s="10">
        <v>24205.349609375</v>
      </c>
      <c r="F795" s="10">
        <v>999.5499877929688</v>
      </c>
      <c r="I795" s="15">
        <f>LN(B795/B794)</f>
        <v>0.02005444208493149</v>
      </c>
      <c r="J795" s="15">
        <f>LN(C795/C794)</f>
        <v>0.067061428956081</v>
      </c>
      <c r="K795" s="15">
        <f>LN(D795/D794)</f>
        <v>-0.028656174728957904</v>
      </c>
      <c r="L795" s="15">
        <f>LN(E795/E794)</f>
        <v>-0.00558232586918934</v>
      </c>
      <c r="M795" s="15">
        <f>LN(F795/F794)</f>
        <v>-0.0014995504342562153</v>
      </c>
      <c r="O795" s="14">
        <v>45607</v>
      </c>
      <c r="P795" s="15">
        <f>I802</f>
        <v>-0.0020102017309332775</v>
      </c>
      <c r="Q795" s="15">
        <f>J802</f>
        <v>-0.003948568876529031</v>
      </c>
      <c r="R795" s="15">
        <f>K802</f>
        <v>-0.009900599392490564</v>
      </c>
      <c r="S795" s="15">
        <f>L802</f>
        <v>-0.00028571169910344984</v>
      </c>
      <c r="T795" s="15">
        <f>M802</f>
        <v>-0.0014996121222525958</v>
      </c>
    </row>
    <row r="796" spans="1:20">
      <c r="A796" s="14">
        <v>45597</v>
      </c>
      <c r="B796" s="10">
        <v>1954.934692382812</v>
      </c>
      <c r="C796" s="10">
        <v>755.0490112304688</v>
      </c>
      <c r="D796" s="10">
        <v>1547.7158203125</v>
      </c>
      <c r="E796" s="10">
        <v>24304.349609375</v>
      </c>
      <c r="F796" s="10">
        <v>1009.099975585938</v>
      </c>
      <c r="I796" s="15">
        <f>LN(B796/B795)</f>
        <v>0.003299384940627274</v>
      </c>
      <c r="J796" s="15">
        <f>LN(C796/C795)</f>
        <v>0.021896793269321268</v>
      </c>
      <c r="K796" s="15">
        <f>LN(D796/D795)</f>
        <v>0.018260115954422392</v>
      </c>
      <c r="L796" s="15">
        <f>LN(E796/E795)</f>
        <v>0.004081663627652918</v>
      </c>
      <c r="M796" s="15">
        <f>LN(F796/F795)</f>
        <v>0.009508933787360152</v>
      </c>
      <c r="O796" s="14">
        <v>45608</v>
      </c>
      <c r="P796" s="15">
        <f>I803</f>
        <v>-0.01154312849488775</v>
      </c>
      <c r="Q796" s="15">
        <f>J803</f>
        <v>-0.004032718671471169</v>
      </c>
      <c r="R796" s="15">
        <f>K803</f>
        <v>0.0207763274988199</v>
      </c>
      <c r="S796" s="15">
        <f>L803</f>
        <v>-0.010738381367723213</v>
      </c>
      <c r="T796" s="15">
        <f>M803</f>
        <v>0.0018095809068104528</v>
      </c>
    </row>
    <row r="797" spans="1:20">
      <c r="A797" s="14">
        <v>45600</v>
      </c>
      <c r="B797" s="10">
        <v>1919.97705078125</v>
      </c>
      <c r="C797" s="10">
        <v>724.9846801757812</v>
      </c>
      <c r="D797" s="10">
        <v>1494.002075195312</v>
      </c>
      <c r="E797" s="10">
        <v>23995.349609375</v>
      </c>
      <c r="F797" s="10">
        <v>979.5</v>
      </c>
      <c r="I797" s="15">
        <f>LN(B797/B796)</f>
        <v>-0.018043554198411898</v>
      </c>
      <c r="J797" s="15">
        <f>LN(C797/C796)</f>
        <v>-0.040632138839756526</v>
      </c>
      <c r="K797" s="15">
        <f>LN(D797/D796)</f>
        <v>-0.0353217039761427</v>
      </c>
      <c r="L797" s="15">
        <f>LN(E797/E796)</f>
        <v>-0.012795285302364113</v>
      </c>
      <c r="M797" s="15">
        <f>LN(F797/F796)</f>
        <v>-0.029771861891989434</v>
      </c>
      <c r="O797" s="14">
        <v>45609</v>
      </c>
      <c r="P797" s="15">
        <f>I804</f>
        <v>-0.03191654957042089</v>
      </c>
      <c r="Q797" s="15">
        <f>J804</f>
        <v>-0.0795862209662104</v>
      </c>
      <c r="R797" s="15">
        <f>K804</f>
        <v>-0.03201988690775999</v>
      </c>
      <c r="S797" s="15">
        <f>L804</f>
        <v>-0.013675649189030194</v>
      </c>
      <c r="T797" s="15">
        <f>M804</f>
        <v>-0.032230390045157785</v>
      </c>
    </row>
    <row r="798" spans="1:20">
      <c r="A798" s="14">
        <v>45601</v>
      </c>
      <c r="B798" s="10">
        <v>1982.10693359375</v>
      </c>
      <c r="C798" s="10">
        <v>747.3709106445312</v>
      </c>
      <c r="D798" s="10">
        <v>1498.345092773438</v>
      </c>
      <c r="E798" s="10">
        <v>24213.30078125</v>
      </c>
      <c r="F798" s="10">
        <v>985.5999755859376</v>
      </c>
      <c r="I798" s="15">
        <f>LN(B798/B797)</f>
        <v>0.03184715357045139</v>
      </c>
      <c r="J798" s="15">
        <f>LN(C798/C797)</f>
        <v>0.03041107172206391</v>
      </c>
      <c r="K798" s="15">
        <f>LN(D798/D797)</f>
        <v>0.002902751842516578</v>
      </c>
      <c r="L798" s="15">
        <f>LN(E798/E797)</f>
        <v>0.009042055940529129</v>
      </c>
      <c r="M798" s="15">
        <f>LN(F798/F797)</f>
        <v>0.0062083306238981525</v>
      </c>
      <c r="O798" s="14">
        <v>45610</v>
      </c>
      <c r="P798" s="15">
        <f>I805</f>
        <v>0.027206049778024287</v>
      </c>
      <c r="Q798" s="15">
        <f>J805</f>
        <v>0.0010377996531893622</v>
      </c>
      <c r="R798" s="15">
        <f>K805</f>
        <v>-0.03379434776991613</v>
      </c>
      <c r="S798" s="15">
        <f>L805</f>
        <v>-0.0011191584619590343</v>
      </c>
      <c r="T798" s="15">
        <f>M805</f>
        <v>0.010296250756615943</v>
      </c>
    </row>
    <row r="799" spans="1:20">
      <c r="A799" s="14">
        <v>45602</v>
      </c>
      <c r="B799" s="10">
        <v>2005.659912109375</v>
      </c>
      <c r="C799" s="10">
        <v>764.0234985351562</v>
      </c>
      <c r="D799" s="10">
        <v>1509.676879882812</v>
      </c>
      <c r="E799" s="10">
        <v>24484.05078125</v>
      </c>
      <c r="F799" s="10">
        <v>1011.049987792969</v>
      </c>
      <c r="I799" s="15">
        <f>LN(B799/B798)</f>
        <v>0.011812753007100852</v>
      </c>
      <c r="J799" s="15">
        <f>LN(C799/C798)</f>
        <v>0.022036950377040624</v>
      </c>
      <c r="K799" s="15">
        <f>LN(D799/D798)</f>
        <v>0.007534413524011903</v>
      </c>
      <c r="L799" s="15">
        <f>LN(E799/E798)</f>
        <v>0.011119815807918394</v>
      </c>
      <c r="M799" s="15">
        <f>LN(F799/F798)</f>
        <v>0.025494093699627057</v>
      </c>
      <c r="O799" s="14">
        <v>45614</v>
      </c>
      <c r="P799" s="15">
        <f>I806</f>
        <v>-0.03541232827158002</v>
      </c>
      <c r="Q799" s="15">
        <f>J806</f>
        <v>-0.03498028800511047</v>
      </c>
      <c r="R799" s="15">
        <f>K806</f>
        <v>0.04466176124853397</v>
      </c>
      <c r="S799" s="15">
        <f>L806</f>
        <v>-0.003358348106569627</v>
      </c>
      <c r="T799" s="15">
        <f>M806</f>
        <v>0.005581298986075976</v>
      </c>
    </row>
    <row r="800" spans="1:20">
      <c r="A800" s="14">
        <v>45603</v>
      </c>
      <c r="B800" s="10">
        <v>2015.378540039062</v>
      </c>
      <c r="C800" s="10">
        <v>745.974853515625</v>
      </c>
      <c r="D800" s="10">
        <v>1512.921630859375</v>
      </c>
      <c r="E800" s="10">
        <v>24199.349609375</v>
      </c>
      <c r="F800" s="10">
        <v>996.5499877929688</v>
      </c>
      <c r="I800" s="15">
        <f>LN(B800/B799)</f>
        <v>0.004833898988827168</v>
      </c>
      <c r="J800" s="15">
        <f>LN(C800/C799)</f>
        <v>-0.023906654726971073</v>
      </c>
      <c r="K800" s="15">
        <f>LN(D800/D799)</f>
        <v>0.0021469951840739146</v>
      </c>
      <c r="L800" s="15">
        <f>LN(E800/E799)</f>
        <v>-0.011696159889418445</v>
      </c>
      <c r="M800" s="15">
        <f>LN(F800/F799)</f>
        <v>-0.014445359948665526</v>
      </c>
      <c r="O800" s="14">
        <v>45615</v>
      </c>
      <c r="P800" s="15">
        <f>I807</f>
        <v>0.011107951389957082</v>
      </c>
      <c r="Q800" s="15">
        <f>J807</f>
        <v>0.0026817278111907175</v>
      </c>
      <c r="R800" s="15">
        <f>K807</f>
        <v>0.013285284426939808</v>
      </c>
      <c r="S800" s="15">
        <f>L807</f>
        <v>0.002754783503889256</v>
      </c>
      <c r="T800" s="15">
        <f>M807</f>
        <v>0.014646727013794235</v>
      </c>
    </row>
    <row r="801" spans="1:20">
      <c r="A801" s="14">
        <v>45604</v>
      </c>
      <c r="B801" s="10">
        <v>2000.056884765625</v>
      </c>
      <c r="C801" s="10">
        <v>733.8095703125</v>
      </c>
      <c r="D801" s="10">
        <v>1474.533325195312</v>
      </c>
      <c r="E801" s="10">
        <v>24148.19921875</v>
      </c>
      <c r="F801" s="10">
        <v>967.6500244140624</v>
      </c>
      <c r="I801" s="15">
        <f>LN(B801/B800)</f>
        <v>-0.007631416278255296</v>
      </c>
      <c r="J801" s="15">
        <f>LN(C801/C800)</f>
        <v>-0.01644233724878883</v>
      </c>
      <c r="K801" s="15">
        <f>LN(D801/D800)</f>
        <v>-0.025701086247973716</v>
      </c>
      <c r="L801" s="15">
        <f>LN(E801/E800)</f>
        <v>-0.0021159463488489003</v>
      </c>
      <c r="M801" s="15">
        <f>LN(F801/F800)</f>
        <v>-0.029428824882833896</v>
      </c>
      <c r="O801" s="14">
        <v>45617</v>
      </c>
      <c r="P801" s="15">
        <f>I808</f>
        <v>-0.007999997139399254</v>
      </c>
      <c r="Q801" s="15">
        <f>J808</f>
        <v>0.028736130938864186</v>
      </c>
      <c r="R801" s="15">
        <f>K808</f>
        <v>0.03508779917354426</v>
      </c>
      <c r="S801" s="15">
        <f>L808</f>
        <v>-0.007194627306794726</v>
      </c>
      <c r="T801" s="15">
        <f>M808</f>
        <v>0.009270771089280752</v>
      </c>
    </row>
    <row r="802" spans="1:20">
      <c r="A802" s="14">
        <v>45607</v>
      </c>
      <c r="B802" s="10">
        <v>1996.040405273438</v>
      </c>
      <c r="C802" s="10">
        <v>730.9177856445312</v>
      </c>
      <c r="D802" s="10">
        <v>1460.006591796875</v>
      </c>
      <c r="E802" s="10">
        <v>24141.30078125</v>
      </c>
      <c r="F802" s="10">
        <v>966.2000122070312</v>
      </c>
      <c r="I802" s="15">
        <f>LN(B802/B801)</f>
        <v>-0.0020102017309332775</v>
      </c>
      <c r="J802" s="15">
        <f>LN(C802/C801)</f>
        <v>-0.003948568876529031</v>
      </c>
      <c r="K802" s="15">
        <f>LN(D802/D801)</f>
        <v>-0.009900599392490564</v>
      </c>
      <c r="L802" s="15">
        <f>LN(E802/E801)</f>
        <v>-0.00028571169910344984</v>
      </c>
      <c r="M802" s="15">
        <f>LN(F802/F801)</f>
        <v>-0.0014996121222525958</v>
      </c>
      <c r="O802" s="14">
        <v>45618</v>
      </c>
      <c r="P802" s="15">
        <f>I809</f>
        <v>0.01269718087862235</v>
      </c>
      <c r="Q802" s="15">
        <f>J809</f>
        <v>0.006152090459285195</v>
      </c>
      <c r="R802" s="15">
        <f>K809</f>
        <v>0.05891126103911287</v>
      </c>
      <c r="S802" s="15">
        <f>L809</f>
        <v>0.02358904203763299</v>
      </c>
      <c r="T802" s="15">
        <f>M809</f>
        <v>0.031240725270984846</v>
      </c>
    </row>
    <row r="803" spans="1:20">
      <c r="A803" s="14">
        <v>45608</v>
      </c>
      <c r="B803" s="10">
        <v>1973.13232421875</v>
      </c>
      <c r="C803" s="10">
        <v>727.9761352539062</v>
      </c>
      <c r="D803" s="10">
        <v>1490.657470703125</v>
      </c>
      <c r="E803" s="10">
        <v>23883.44921875</v>
      </c>
      <c r="F803" s="10">
        <v>967.9500122070312</v>
      </c>
      <c r="I803" s="15">
        <f>LN(B803/B802)</f>
        <v>-0.01154312849488775</v>
      </c>
      <c r="J803" s="15">
        <f>LN(C803/C802)</f>
        <v>-0.004032718671471169</v>
      </c>
      <c r="K803" s="15">
        <f>LN(D803/D802)</f>
        <v>0.0207763274988199</v>
      </c>
      <c r="L803" s="15">
        <f>LN(E803/E802)</f>
        <v>-0.010738381367723213</v>
      </c>
      <c r="M803" s="15">
        <f>LN(F803/F802)</f>
        <v>0.0018095809068104528</v>
      </c>
      <c r="O803" s="14">
        <v>45621</v>
      </c>
      <c r="P803" s="15">
        <f>I810</f>
        <v>0.0025715577252790555</v>
      </c>
      <c r="Q803" s="15">
        <f>J810</f>
        <v>-0.005334635620447513</v>
      </c>
      <c r="R803" s="15">
        <f>K810</f>
        <v>0.02631969790598628</v>
      </c>
      <c r="S803" s="15">
        <f>L810</f>
        <v>0.013075438521712217</v>
      </c>
      <c r="T803" s="15">
        <f>M810</f>
        <v>0.021870880360238813</v>
      </c>
    </row>
    <row r="804" spans="1:20">
      <c r="A804" s="14">
        <v>45609</v>
      </c>
      <c r="B804" s="10">
        <v>1911.151123046875</v>
      </c>
      <c r="C804" s="10">
        <v>672.2847900390625</v>
      </c>
      <c r="D804" s="10">
        <v>1443.682861328125</v>
      </c>
      <c r="E804" s="10">
        <v>23559.05078125</v>
      </c>
      <c r="F804" s="10">
        <v>937.25</v>
      </c>
      <c r="I804" s="15">
        <f>LN(B804/B803)</f>
        <v>-0.03191654957042089</v>
      </c>
      <c r="J804" s="15">
        <f>LN(C804/C803)</f>
        <v>-0.0795862209662104</v>
      </c>
      <c r="K804" s="15">
        <f>LN(D804/D803)</f>
        <v>-0.03201988690775999</v>
      </c>
      <c r="L804" s="15">
        <f>LN(E804/E803)</f>
        <v>-0.013675649189030194</v>
      </c>
      <c r="M804" s="15">
        <f>LN(F804/F803)</f>
        <v>-0.032230390045157785</v>
      </c>
      <c r="O804" s="14">
        <v>45622</v>
      </c>
      <c r="P804" s="15">
        <f>I811</f>
        <v>0.016505346135286397</v>
      </c>
      <c r="Q804" s="15">
        <f>J811</f>
        <v>-0.016478535952620096</v>
      </c>
      <c r="R804" s="15">
        <f>K811</f>
        <v>-0.016140342994053477</v>
      </c>
      <c r="S804" s="15">
        <f>L811</f>
        <v>-0.0011318641340202825</v>
      </c>
      <c r="T804" s="15">
        <f>M811</f>
        <v>0.0006318124345475013</v>
      </c>
    </row>
    <row r="805" spans="1:20">
      <c r="A805" s="14">
        <v>45610</v>
      </c>
      <c r="B805" s="10">
        <v>1963.859741210938</v>
      </c>
      <c r="C805" s="10">
        <v>672.9828491210938</v>
      </c>
      <c r="D805" s="10">
        <v>1395.709716796875</v>
      </c>
      <c r="E805" s="10">
        <v>23532.69921875</v>
      </c>
      <c r="F805" s="10">
        <v>946.9500122070312</v>
      </c>
      <c r="I805" s="15">
        <f>LN(B805/B804)</f>
        <v>0.027206049778024287</v>
      </c>
      <c r="J805" s="15">
        <f>LN(C805/C804)</f>
        <v>0.0010377996531893622</v>
      </c>
      <c r="K805" s="15">
        <f>LN(D805/D804)</f>
        <v>-0.03379434776991613</v>
      </c>
      <c r="L805" s="15">
        <f>LN(E805/E804)</f>
        <v>-0.0011191584619590343</v>
      </c>
      <c r="M805" s="15">
        <f>LN(F805/F804)</f>
        <v>0.010296250756615943</v>
      </c>
      <c r="O805" s="14">
        <v>45623</v>
      </c>
      <c r="P805" s="15">
        <f>I812</f>
        <v>0.006646886217282814</v>
      </c>
      <c r="Q805" s="15">
        <f>J812</f>
        <v>0.014098461740619071</v>
      </c>
      <c r="R805" s="15">
        <f>K812</f>
        <v>0.024722313465179786</v>
      </c>
      <c r="S805" s="15">
        <f>L812</f>
        <v>0.0033175761911502914</v>
      </c>
      <c r="T805" s="15">
        <f>M812</f>
        <v>-0.004138171869120872</v>
      </c>
    </row>
    <row r="806" spans="1:20">
      <c r="A806" s="14">
        <v>45614</v>
      </c>
      <c r="B806" s="10">
        <v>1895.531860351562</v>
      </c>
      <c r="C806" s="10">
        <v>649.8486938476562</v>
      </c>
      <c r="D806" s="10">
        <v>1459.45751953125</v>
      </c>
      <c r="E806" s="10">
        <v>23453.80078125</v>
      </c>
      <c r="F806" s="10">
        <v>952.25</v>
      </c>
      <c r="I806" s="15">
        <f>LN(B806/B805)</f>
        <v>-0.03541232827158002</v>
      </c>
      <c r="J806" s="15">
        <f>LN(C806/C805)</f>
        <v>-0.03498028800511047</v>
      </c>
      <c r="K806" s="15">
        <f>LN(D806/D805)</f>
        <v>0.04466176124853397</v>
      </c>
      <c r="L806" s="15">
        <f>LN(E806/E805)</f>
        <v>-0.003358348106569627</v>
      </c>
      <c r="M806" s="15">
        <f>LN(F806/F805)</f>
        <v>0.005581298986075976</v>
      </c>
      <c r="O806" s="14">
        <v>45624</v>
      </c>
      <c r="P806" s="15">
        <f>I813</f>
        <v>0.013386054193513141</v>
      </c>
      <c r="Q806" s="15">
        <f>J813</f>
        <v>-0.0055257382858821084</v>
      </c>
      <c r="R806" s="15">
        <f>K813</f>
        <v>0.0040271052405692585</v>
      </c>
      <c r="S806" s="15">
        <f>L813</f>
        <v>-0.0149725605075969</v>
      </c>
      <c r="T806" s="15">
        <f>M813</f>
        <v>0.00043892323287271295</v>
      </c>
    </row>
    <row r="807" spans="1:20">
      <c r="A807" s="14">
        <v>45615</v>
      </c>
      <c r="B807" s="10">
        <v>1916.704711914062</v>
      </c>
      <c r="C807" s="10">
        <v>651.59375</v>
      </c>
      <c r="D807" s="10">
        <v>1478.976196289062</v>
      </c>
      <c r="E807" s="10">
        <v>23518.5</v>
      </c>
      <c r="F807" s="10">
        <v>966.2999877929688</v>
      </c>
      <c r="I807" s="15">
        <f>LN(B807/B806)</f>
        <v>0.011107951389957082</v>
      </c>
      <c r="J807" s="15">
        <f>LN(C807/C806)</f>
        <v>0.0026817278111907175</v>
      </c>
      <c r="K807" s="15">
        <f>LN(D807/D806)</f>
        <v>0.013285284426939808</v>
      </c>
      <c r="L807" s="15">
        <f>LN(E807/E806)</f>
        <v>0.002754783503889256</v>
      </c>
      <c r="M807" s="15">
        <f>LN(F807/F806)</f>
        <v>0.014646727013794235</v>
      </c>
      <c r="O807" s="14">
        <v>45625</v>
      </c>
      <c r="P807" s="15">
        <f>I814</f>
        <v>-0.005935552282871594</v>
      </c>
      <c r="Q807" s="15">
        <f>J814</f>
        <v>0.008499946985310272</v>
      </c>
      <c r="R807" s="15">
        <f>K814</f>
        <v>-0.02132564443928885</v>
      </c>
      <c r="S807" s="15">
        <f>L814</f>
        <v>0.009031098528695802</v>
      </c>
      <c r="T807" s="15">
        <f>M814</f>
        <v>-0.005084294669718359</v>
      </c>
    </row>
    <row r="808" spans="1:20">
      <c r="A808" s="14">
        <v>45617</v>
      </c>
      <c r="B808" s="10">
        <v>1901.432250976562</v>
      </c>
      <c r="C808" s="10">
        <v>670.5896606445312</v>
      </c>
      <c r="D808" s="10">
        <v>1531.791381835938</v>
      </c>
      <c r="E808" s="10">
        <v>23349.900390625</v>
      </c>
      <c r="F808" s="10">
        <v>975.2999877929688</v>
      </c>
      <c r="I808" s="15">
        <f>LN(B808/B807)</f>
        <v>-0.007999997139399254</v>
      </c>
      <c r="J808" s="15">
        <f>LN(C808/C807)</f>
        <v>0.028736130938864186</v>
      </c>
      <c r="K808" s="15">
        <f>LN(D808/D807)</f>
        <v>0.03508779917354426</v>
      </c>
      <c r="L808" s="15">
        <f>LN(E808/E807)</f>
        <v>-0.007194627306794726</v>
      </c>
      <c r="M808" s="15">
        <f>LN(F808/F807)</f>
        <v>0.009270771089280752</v>
      </c>
      <c r="O808" s="14">
        <v>45628</v>
      </c>
      <c r="P808" s="15">
        <f>I815</f>
        <v>0.030564207627920174</v>
      </c>
      <c r="Q808" s="15">
        <f>J815</f>
        <v>0.05355520952098885</v>
      </c>
      <c r="R808" s="15">
        <f>K815</f>
        <v>0.03645923617304466</v>
      </c>
      <c r="S808" s="15">
        <f>L815</f>
        <v>0.005988850983542634</v>
      </c>
      <c r="T808" s="15">
        <f>M815</f>
        <v>0.029982623058861336</v>
      </c>
    </row>
    <row r="809" spans="1:20">
      <c r="A809" s="14">
        <v>45618</v>
      </c>
      <c r="B809" s="10">
        <v>1925.72900390625</v>
      </c>
      <c r="C809" s="10">
        <v>674.7279052734375</v>
      </c>
      <c r="D809" s="10">
        <v>1624.7421875</v>
      </c>
      <c r="E809" s="10">
        <v>23907.25</v>
      </c>
      <c r="F809" s="10">
        <v>1006.25</v>
      </c>
      <c r="I809" s="15">
        <f>LN(B809/B808)</f>
        <v>0.01269718087862235</v>
      </c>
      <c r="J809" s="15">
        <f>LN(C809/C808)</f>
        <v>0.006152090459285195</v>
      </c>
      <c r="K809" s="15">
        <f>LN(D809/D808)</f>
        <v>0.05891126103911287</v>
      </c>
      <c r="L809" s="15">
        <f>LN(E809/E808)</f>
        <v>0.02358904203763299</v>
      </c>
      <c r="M809" s="15">
        <f>LN(F809/F808)</f>
        <v>0.031240725270984846</v>
      </c>
      <c r="O809" s="14">
        <v>45629</v>
      </c>
      <c r="P809" s="15">
        <f>I816</f>
        <v>-0.0045036320811601945</v>
      </c>
      <c r="Q809" s="15">
        <f>J816</f>
        <v>0.0072223663747582306</v>
      </c>
      <c r="R809" s="15">
        <f>K816</f>
        <v>0.016025773084111503</v>
      </c>
      <c r="S809" s="15">
        <f>L816</f>
        <v>0.007432322879372628</v>
      </c>
      <c r="T809" s="15">
        <f>M816</f>
        <v>0.0032292026658459474</v>
      </c>
    </row>
    <row r="810" spans="1:20">
      <c r="A810" s="14">
        <v>45621</v>
      </c>
      <c r="B810" s="10">
        <v>1930.6875</v>
      </c>
      <c r="C810" s="10">
        <v>671.1380615234375</v>
      </c>
      <c r="D810" s="10">
        <v>1668.072631835938</v>
      </c>
      <c r="E810" s="10">
        <v>24221.900390625</v>
      </c>
      <c r="F810" s="10">
        <v>1028.5</v>
      </c>
      <c r="I810" s="15">
        <f>LN(B810/B809)</f>
        <v>0.0025715577252790555</v>
      </c>
      <c r="J810" s="15">
        <f>LN(C810/C809)</f>
        <v>-0.005334635620447513</v>
      </c>
      <c r="K810" s="15">
        <f>LN(D810/D809)</f>
        <v>0.02631969790598628</v>
      </c>
      <c r="L810" s="15">
        <f>LN(E810/E809)</f>
        <v>0.013075438521712217</v>
      </c>
      <c r="M810" s="15">
        <f>LN(F810/F809)</f>
        <v>0.021870880360238813</v>
      </c>
      <c r="O810" s="14">
        <v>45630</v>
      </c>
      <c r="P810" s="15">
        <f>I817</f>
        <v>0.04942902319892129</v>
      </c>
      <c r="Q810" s="15">
        <f>J817</f>
        <v>0.009180014162568355</v>
      </c>
      <c r="R810" s="15">
        <f>K817</f>
        <v>0.009607097989539992</v>
      </c>
      <c r="S810" s="15">
        <f>L817</f>
        <v>0.0004210081782723239</v>
      </c>
      <c r="T810" s="15">
        <f>M817</f>
        <v>0.02115716194356046</v>
      </c>
    </row>
    <row r="811" spans="1:20">
      <c r="A811" s="14">
        <v>45622</v>
      </c>
      <c r="B811" s="10">
        <v>1962.818603515625</v>
      </c>
      <c r="C811" s="10">
        <v>660.1693115234375</v>
      </c>
      <c r="D811" s="10">
        <v>1641.365478515625</v>
      </c>
      <c r="E811" s="10">
        <v>24194.5</v>
      </c>
      <c r="F811" s="10">
        <v>1029.150024414062</v>
      </c>
      <c r="I811" s="15">
        <f>LN(B811/B810)</f>
        <v>0.016505346135286397</v>
      </c>
      <c r="J811" s="15">
        <f>LN(C811/C810)</f>
        <v>-0.016478535952620096</v>
      </c>
      <c r="K811" s="15">
        <f>LN(D811/D810)</f>
        <v>-0.016140342994053477</v>
      </c>
      <c r="L811" s="15">
        <f>LN(E811/E810)</f>
        <v>-0.0011318641340202825</v>
      </c>
      <c r="M811" s="15">
        <f>LN(F811/F810)</f>
        <v>0.0006318124345475013</v>
      </c>
      <c r="O811" s="14">
        <v>45631</v>
      </c>
      <c r="P811" s="15">
        <f>I818</f>
        <v>-0.016089129008970325</v>
      </c>
      <c r="Q811" s="15">
        <f>J818</f>
        <v>0.010604747417579975</v>
      </c>
      <c r="R811" s="15">
        <f>K818</f>
        <v>0.023912451956375584</v>
      </c>
      <c r="S811" s="15">
        <f>L818</f>
        <v>0.009799651742121284</v>
      </c>
      <c r="T811" s="15">
        <f>M818</f>
        <v>-0.00250982960605443</v>
      </c>
    </row>
    <row r="812" spans="1:20">
      <c r="A812" s="14">
        <v>45623</v>
      </c>
      <c r="B812" s="10">
        <v>1975.90869140625</v>
      </c>
      <c r="C812" s="10">
        <v>669.5426025390625</v>
      </c>
      <c r="D812" s="10">
        <v>1682.449584960938</v>
      </c>
      <c r="E812" s="10">
        <v>24274.900390625</v>
      </c>
      <c r="F812" s="10">
        <v>1024.900024414062</v>
      </c>
      <c r="I812" s="15">
        <f>LN(B812/B811)</f>
        <v>0.006646886217282814</v>
      </c>
      <c r="J812" s="15">
        <f>LN(C812/C811)</f>
        <v>0.014098461740619071</v>
      </c>
      <c r="K812" s="15">
        <f>LN(D812/D811)</f>
        <v>0.024722313465179786</v>
      </c>
      <c r="L812" s="15">
        <f>LN(E812/E811)</f>
        <v>0.0033175761911502914</v>
      </c>
      <c r="M812" s="15">
        <f>LN(F812/F811)</f>
        <v>-0.004138171869120872</v>
      </c>
      <c r="O812" s="14">
        <v>45632</v>
      </c>
      <c r="P812" s="15">
        <f>I819</f>
        <v>0.006130694139048053</v>
      </c>
      <c r="Q812" s="15">
        <f>J819</f>
        <v>0.013809173807631542</v>
      </c>
      <c r="R812" s="15">
        <f>K819</f>
        <v>-0.01881861975907093</v>
      </c>
      <c r="S812" s="15">
        <f>L819</f>
        <v>-0.0012391968835286232</v>
      </c>
      <c r="T812" s="15">
        <f>M819</f>
        <v>-0.0005119526856174026</v>
      </c>
    </row>
    <row r="813" spans="1:20">
      <c r="A813" s="14">
        <v>45624</v>
      </c>
      <c r="B813" s="10">
        <v>2002.5361328125</v>
      </c>
      <c r="C813" s="10">
        <v>665.8530883789062</v>
      </c>
      <c r="D813" s="10">
        <v>1689.238647460938</v>
      </c>
      <c r="E813" s="10">
        <v>23914.150390625</v>
      </c>
      <c r="F813" s="10">
        <v>1025.349975585938</v>
      </c>
      <c r="I813" s="15">
        <f>LN(B813/B812)</f>
        <v>0.013386054193513141</v>
      </c>
      <c r="J813" s="15">
        <f>LN(C813/C812)</f>
        <v>-0.0055257382858821084</v>
      </c>
      <c r="K813" s="15">
        <f>LN(D813/D812)</f>
        <v>0.0040271052405692585</v>
      </c>
      <c r="L813" s="15">
        <f>LN(E813/E812)</f>
        <v>-0.0149725605075969</v>
      </c>
      <c r="M813" s="15">
        <f>LN(F813/F812)</f>
        <v>0.00043892323287271295</v>
      </c>
      <c r="O813" s="14">
        <v>45635</v>
      </c>
      <c r="P813" s="15">
        <f>I820</f>
        <v>-0.0015876233344532449</v>
      </c>
      <c r="Q813" s="15">
        <f>J820</f>
        <v>6.764936888123602e-05</v>
      </c>
      <c r="R813" s="15">
        <f>K820</f>
        <v>0.0144601149322728</v>
      </c>
      <c r="S813" s="15">
        <f>L820</f>
        <v>-0.002385583169878571</v>
      </c>
      <c r="T813" s="15">
        <f>M820</f>
        <v>0.002789661407332682</v>
      </c>
    </row>
    <row r="814" spans="1:20">
      <c r="A814" s="14">
        <v>45625</v>
      </c>
      <c r="B814" s="10">
        <v>1990.685180664062</v>
      </c>
      <c r="C814" s="10">
        <v>671.5369262695312</v>
      </c>
      <c r="D814" s="10">
        <v>1653.595947265625</v>
      </c>
      <c r="E814" s="10">
        <v>24131.099609375</v>
      </c>
      <c r="F814" s="10">
        <v>1020.150024414062</v>
      </c>
      <c r="I814" s="15">
        <f>LN(B814/B813)</f>
        <v>-0.005935552282871594</v>
      </c>
      <c r="J814" s="15">
        <f>LN(C814/C813)</f>
        <v>0.008499946985310272</v>
      </c>
      <c r="K814" s="15">
        <f>LN(D814/D813)</f>
        <v>-0.02132564443928885</v>
      </c>
      <c r="L814" s="15">
        <f>LN(E814/E813)</f>
        <v>0.009031098528695802</v>
      </c>
      <c r="M814" s="15">
        <f>LN(F814/F813)</f>
        <v>-0.005084294669718359</v>
      </c>
      <c r="O814" s="14">
        <v>45636</v>
      </c>
      <c r="P814" s="15">
        <f>I821</f>
        <v>-0.004754352679557434</v>
      </c>
      <c r="Q814" s="15">
        <f>J821</f>
        <v>-0.002976845754418829</v>
      </c>
      <c r="R814" s="15">
        <f>K821</f>
        <v>0.03633485153057446</v>
      </c>
      <c r="S814" s="15">
        <f>L821</f>
        <v>-0.00036357470666444975</v>
      </c>
      <c r="T814" s="15">
        <f>M821</f>
        <v>0.014244750416543179</v>
      </c>
    </row>
    <row r="815" spans="1:20">
      <c r="A815" s="14">
        <v>45628</v>
      </c>
      <c r="B815" s="10">
        <v>2052.46826171875</v>
      </c>
      <c r="C815" s="10">
        <v>708.481689453125</v>
      </c>
      <c r="D815" s="10">
        <v>1714.997314453125</v>
      </c>
      <c r="E815" s="10">
        <v>24276.05078125</v>
      </c>
      <c r="F815" s="10">
        <v>1051.199951171875</v>
      </c>
      <c r="I815" s="15">
        <f>LN(B815/B814)</f>
        <v>0.030564207627920174</v>
      </c>
      <c r="J815" s="15">
        <f>LN(C815/C814)</f>
        <v>0.05355520952098885</v>
      </c>
      <c r="K815" s="15">
        <f>LN(D815/D814)</f>
        <v>0.03645923617304466</v>
      </c>
      <c r="L815" s="15">
        <f>LN(E815/E814)</f>
        <v>0.005988850983542634</v>
      </c>
      <c r="M815" s="15">
        <f>LN(F815/F814)</f>
        <v>0.029982623058861336</v>
      </c>
      <c r="O815" s="14">
        <v>45637</v>
      </c>
      <c r="P815" s="15">
        <f>I822</f>
        <v>0.0022511829598267008</v>
      </c>
      <c r="Q815" s="15">
        <f>J822</f>
        <v>-0.014880796231522194</v>
      </c>
      <c r="R815" s="15">
        <f>K822</f>
        <v>0.0023849422676984642</v>
      </c>
      <c r="S815" s="15">
        <f>L822</f>
        <v>0.0012892918089711122</v>
      </c>
      <c r="T815" s="15">
        <f>M822</f>
        <v>0.0018292409588386148</v>
      </c>
    </row>
    <row r="816" spans="1:20">
      <c r="A816" s="14">
        <v>45629</v>
      </c>
      <c r="B816" s="10">
        <v>2043.245483398438</v>
      </c>
      <c r="C816" s="10">
        <v>713.6171264648438</v>
      </c>
      <c r="D816" s="10">
        <v>1742.702880859375</v>
      </c>
      <c r="E816" s="10">
        <v>24457.150390625</v>
      </c>
      <c r="F816" s="10">
        <v>1054.599975585938</v>
      </c>
      <c r="I816" s="15">
        <f>LN(B816/B815)</f>
        <v>-0.0045036320811601945</v>
      </c>
      <c r="J816" s="15">
        <f>LN(C816/C815)</f>
        <v>0.0072223663747582306</v>
      </c>
      <c r="K816" s="15">
        <f>LN(D816/D815)</f>
        <v>0.016025773084111503</v>
      </c>
      <c r="L816" s="15">
        <f>LN(E816/E815)</f>
        <v>0.007432322879372628</v>
      </c>
      <c r="M816" s="15">
        <f>LN(F816/F815)</f>
        <v>0.0032292026658459474</v>
      </c>
      <c r="O816" s="14">
        <v>45638</v>
      </c>
      <c r="P816" s="15">
        <f>I823</f>
        <v>-0.003143613050986654</v>
      </c>
      <c r="Q816" s="15">
        <f>J823</f>
        <v>0.03480429265658801</v>
      </c>
      <c r="R816" s="15">
        <f>K823</f>
        <v>-0.011982001088020887</v>
      </c>
      <c r="S816" s="15">
        <f>L823</f>
        <v>-0.003785351792322941</v>
      </c>
      <c r="T816" s="15">
        <f>M823</f>
        <v>-0.00412050770768742</v>
      </c>
    </row>
    <row r="817" spans="1:20">
      <c r="A817" s="14">
        <v>45630</v>
      </c>
      <c r="B817" s="10">
        <v>2146.77880859375</v>
      </c>
      <c r="C817" s="10">
        <v>720.1983032226562</v>
      </c>
      <c r="D817" s="10">
        <v>1759.52587890625</v>
      </c>
      <c r="E817" s="10">
        <v>24467.44921875</v>
      </c>
      <c r="F817" s="10">
        <v>1077.150024414062</v>
      </c>
      <c r="I817" s="15">
        <f>LN(B817/B816)</f>
        <v>0.04942902319892129</v>
      </c>
      <c r="J817" s="15">
        <f>LN(C817/C816)</f>
        <v>0.009180014162568355</v>
      </c>
      <c r="K817" s="15">
        <f>LN(D817/D816)</f>
        <v>0.009607097989539992</v>
      </c>
      <c r="L817" s="15">
        <f>LN(E817/E816)</f>
        <v>0.0004210081782723239</v>
      </c>
      <c r="M817" s="15">
        <f>LN(F817/F816)</f>
        <v>0.02115716194356046</v>
      </c>
      <c r="O817" s="14">
        <v>45639</v>
      </c>
      <c r="P817" s="15">
        <f>I824</f>
        <v>-0.004781572385703227</v>
      </c>
      <c r="Q817" s="15">
        <f>J824</f>
        <v>0.008794971968552496</v>
      </c>
      <c r="R817" s="15">
        <f>K824</f>
        <v>-0.03897042143395453</v>
      </c>
      <c r="S817" s="15">
        <f>L824</f>
        <v>0.008905773422254015</v>
      </c>
      <c r="T817" s="15">
        <f>M824</f>
        <v>-0.00441393581032853</v>
      </c>
    </row>
    <row r="818" spans="1:20">
      <c r="A818" s="14">
        <v>45631</v>
      </c>
      <c r="B818" s="10">
        <v>2112.515380859375</v>
      </c>
      <c r="C818" s="10">
        <v>727.87646484375</v>
      </c>
      <c r="D818" s="10">
        <v>1802.107543945312</v>
      </c>
      <c r="E818" s="10">
        <v>24708.400390625</v>
      </c>
      <c r="F818" s="10">
        <v>1074.449951171875</v>
      </c>
      <c r="I818" s="15">
        <f>LN(B818/B817)</f>
        <v>-0.016089129008970325</v>
      </c>
      <c r="J818" s="15">
        <f>LN(C818/C817)</f>
        <v>0.010604747417579975</v>
      </c>
      <c r="K818" s="15">
        <f>LN(D818/D817)</f>
        <v>0.023912451956375584</v>
      </c>
      <c r="L818" s="15">
        <f>LN(E818/E817)</f>
        <v>0.009799651742121284</v>
      </c>
      <c r="M818" s="15">
        <f>LN(F818/F817)</f>
        <v>-0.00250982960605443</v>
      </c>
      <c r="O818" s="14">
        <v>45642</v>
      </c>
      <c r="P818" s="15">
        <f>I825</f>
        <v>0.0621539693655289</v>
      </c>
      <c r="Q818" s="15">
        <f>J825</f>
        <v>0.03588782144262463</v>
      </c>
      <c r="R818" s="15">
        <f>K825</f>
        <v>0.02736392580952379</v>
      </c>
      <c r="S818" s="15">
        <f>L825</f>
        <v>-0.004047649614185296</v>
      </c>
      <c r="T818" s="15">
        <f>M825</f>
        <v>0.030496509080773768</v>
      </c>
    </row>
    <row r="819" spans="1:20">
      <c r="A819" s="14">
        <v>45632</v>
      </c>
      <c r="B819" s="10">
        <v>2125.50634765625</v>
      </c>
      <c r="C819" s="10">
        <v>737.99755859375</v>
      </c>
      <c r="D819" s="10">
        <v>1768.511474609375</v>
      </c>
      <c r="E819" s="10">
        <v>24677.80078125</v>
      </c>
      <c r="F819" s="10">
        <v>1073.900024414062</v>
      </c>
      <c r="I819" s="15">
        <f>LN(B819/B818)</f>
        <v>0.006130694139048053</v>
      </c>
      <c r="J819" s="15">
        <f>LN(C819/C818)</f>
        <v>0.013809173807631542</v>
      </c>
      <c r="K819" s="15">
        <f>LN(D819/D818)</f>
        <v>-0.01881861975907093</v>
      </c>
      <c r="L819" s="15">
        <f>LN(E819/E818)</f>
        <v>-0.0012391968835286232</v>
      </c>
      <c r="M819" s="15">
        <f>LN(F819/F818)</f>
        <v>-0.0005119526856174026</v>
      </c>
      <c r="O819" s="14">
        <v>45643</v>
      </c>
      <c r="P819" s="15">
        <f>I826</f>
        <v>0.0271626958080429</v>
      </c>
      <c r="Q819" s="15">
        <f>J826</f>
        <v>0.02372546176358699</v>
      </c>
      <c r="R819" s="15">
        <f>K826</f>
        <v>-0.029450336247472102</v>
      </c>
      <c r="S819" s="15">
        <f>L826</f>
        <v>-0.01356025614827435</v>
      </c>
      <c r="T819" s="15">
        <f>M826</f>
        <v>-0.0009391158459905369</v>
      </c>
    </row>
    <row r="820" spans="1:20">
      <c r="A820" s="14">
        <v>45635</v>
      </c>
      <c r="B820" s="10">
        <v>2122.134521484375</v>
      </c>
      <c r="C820" s="10">
        <v>738.0474853515625</v>
      </c>
      <c r="D820" s="10">
        <v>1794.270141601562</v>
      </c>
      <c r="E820" s="10">
        <v>24619</v>
      </c>
      <c r="F820" s="10">
        <v>1076.900024414062</v>
      </c>
      <c r="I820" s="15">
        <f>LN(B820/B819)</f>
        <v>-0.0015876233344532449</v>
      </c>
      <c r="J820" s="15">
        <f>LN(C820/C819)</f>
        <v>6.764936888123602e-05</v>
      </c>
      <c r="K820" s="15">
        <f>LN(D820/D819)</f>
        <v>0.0144601149322728</v>
      </c>
      <c r="L820" s="15">
        <f>LN(E820/E819)</f>
        <v>-0.002385583169878571</v>
      </c>
      <c r="M820" s="15">
        <f>LN(F820/F819)</f>
        <v>0.002789661407332682</v>
      </c>
      <c r="O820" s="14">
        <v>45644</v>
      </c>
      <c r="P820" s="15">
        <f>I827</f>
        <v>0.0006692598031533782</v>
      </c>
      <c r="Q820" s="15">
        <f>J827</f>
        <v>-0.007471103651439987</v>
      </c>
      <c r="R820" s="15">
        <f>K827</f>
        <v>-0.03249915951741586</v>
      </c>
      <c r="S820" s="15">
        <f>L827</f>
        <v>-0.005651640286891943</v>
      </c>
      <c r="T820" s="15">
        <f>M827</f>
        <v>-0.004663641790663791</v>
      </c>
    </row>
    <row r="821" spans="1:20">
      <c r="A821" s="14">
        <v>45636</v>
      </c>
      <c r="B821" s="10">
        <v>2112.069091796875</v>
      </c>
      <c r="C821" s="10">
        <v>735.8536987304688</v>
      </c>
      <c r="D821" s="10">
        <v>1860.66357421875</v>
      </c>
      <c r="E821" s="10">
        <v>24610.05078125</v>
      </c>
      <c r="F821" s="10">
        <v>1092.349975585938</v>
      </c>
      <c r="I821" s="15">
        <f>LN(B821/B820)</f>
        <v>-0.004754352679557434</v>
      </c>
      <c r="J821" s="15">
        <f>LN(C821/C820)</f>
        <v>-0.002976845754418829</v>
      </c>
      <c r="K821" s="15">
        <f>LN(D821/D820)</f>
        <v>0.03633485153057446</v>
      </c>
      <c r="L821" s="15">
        <f>LN(E821/E820)</f>
        <v>-0.00036357470666444975</v>
      </c>
      <c r="M821" s="15">
        <f>LN(F821/F820)</f>
        <v>0.014244750416543179</v>
      </c>
      <c r="O821" s="14">
        <v>45645</v>
      </c>
      <c r="P821" s="15">
        <f>I828</f>
        <v>-0.013031884749333008</v>
      </c>
      <c r="Q821" s="15">
        <f>J828</f>
        <v>0.045863738891788</v>
      </c>
      <c r="R821" s="15">
        <f>K828</f>
        <v>-0.024825236004215323</v>
      </c>
      <c r="S821" s="15">
        <f>L828</f>
        <v>-0.01026582529903898</v>
      </c>
      <c r="T821" s="15">
        <f>M828</f>
        <v>-0.00825949615735042</v>
      </c>
    </row>
    <row r="822" spans="1:20">
      <c r="A822" s="14">
        <v>45637</v>
      </c>
      <c r="B822" s="10">
        <v>2116.8291015625</v>
      </c>
      <c r="C822" s="10">
        <v>724.9846801757812</v>
      </c>
      <c r="D822" s="10">
        <v>1865.1064453125</v>
      </c>
      <c r="E822" s="10">
        <v>24641.80078125</v>
      </c>
      <c r="F822" s="10">
        <v>1094.349975585938</v>
      </c>
      <c r="I822" s="15">
        <f>LN(B822/B821)</f>
        <v>0.0022511829598267008</v>
      </c>
      <c r="J822" s="15">
        <f>LN(C822/C821)</f>
        <v>-0.014880796231522194</v>
      </c>
      <c r="K822" s="15">
        <f>LN(D822/D821)</f>
        <v>0.0023849422676984642</v>
      </c>
      <c r="L822" s="15">
        <f>LN(E822/E821)</f>
        <v>0.0012892918089711122</v>
      </c>
      <c r="M822" s="15">
        <f>LN(F822/F821)</f>
        <v>0.0018292409588386148</v>
      </c>
      <c r="O822" s="14">
        <v>45646</v>
      </c>
      <c r="P822" s="15">
        <f>I829</f>
        <v>-0.017332742392090154</v>
      </c>
      <c r="Q822" s="15">
        <f>J829</f>
        <v>0.01145443604656584</v>
      </c>
      <c r="R822" s="15">
        <f>K829</f>
        <v>-0.050164416107580975</v>
      </c>
      <c r="S822" s="15">
        <f>L829</f>
        <v>-0.015322359236337606</v>
      </c>
      <c r="T822" s="15">
        <f>M829</f>
        <v>-0.039897148900566635</v>
      </c>
    </row>
    <row r="823" spans="1:20">
      <c r="A823" s="14">
        <v>45638</v>
      </c>
      <c r="B823" s="10">
        <v>2110.18505859375</v>
      </c>
      <c r="C823" s="10">
        <v>750.6614990234375</v>
      </c>
      <c r="D823" s="10">
        <v>1842.89208984375</v>
      </c>
      <c r="E823" s="10">
        <v>24548.69921875</v>
      </c>
      <c r="F823" s="10">
        <v>1089.849975585938</v>
      </c>
      <c r="I823" s="15">
        <f>LN(B823/B822)</f>
        <v>-0.003143613050986654</v>
      </c>
      <c r="J823" s="15">
        <f>LN(C823/C822)</f>
        <v>0.03480429265658801</v>
      </c>
      <c r="K823" s="15">
        <f>LN(D823/D822)</f>
        <v>-0.011982001088020887</v>
      </c>
      <c r="L823" s="15">
        <f>LN(E823/E822)</f>
        <v>-0.003785351792322941</v>
      </c>
      <c r="M823" s="15">
        <f>LN(F823/F822)</f>
        <v>-0.00412050770768742</v>
      </c>
      <c r="O823" s="14">
        <v>45649</v>
      </c>
      <c r="P823" s="15">
        <f>I830</f>
        <v>0.00643015105387482</v>
      </c>
      <c r="Q823" s="15">
        <f>J830</f>
        <v>-0.01960560896828085</v>
      </c>
      <c r="R823" s="15">
        <f>K830</f>
        <v>0.039406764271393606</v>
      </c>
      <c r="S823" s="15">
        <f>L830</f>
        <v>0.007010839504245724</v>
      </c>
      <c r="T823" s="15">
        <f>M830</f>
        <v>0.014561932444635486</v>
      </c>
    </row>
    <row r="824" spans="1:20">
      <c r="A824" s="14">
        <v>45639</v>
      </c>
      <c r="B824" s="10">
        <v>2100.119140625</v>
      </c>
      <c r="C824" s="10">
        <v>757.2926635742188</v>
      </c>
      <c r="D824" s="10">
        <v>1772.455200195312</v>
      </c>
      <c r="E824" s="10">
        <v>24768.30078125</v>
      </c>
      <c r="F824" s="10">
        <v>1085.050048828125</v>
      </c>
      <c r="I824" s="15">
        <f>LN(B824/B823)</f>
        <v>-0.004781572385703227</v>
      </c>
      <c r="J824" s="15">
        <f>LN(C824/C823)</f>
        <v>0.008794971968552496</v>
      </c>
      <c r="K824" s="15">
        <f>LN(D824/D823)</f>
        <v>-0.03897042143395453</v>
      </c>
      <c r="L824" s="15">
        <f>LN(E824/E823)</f>
        <v>0.008905773422254015</v>
      </c>
      <c r="M824" s="15">
        <f>LN(F824/F823)</f>
        <v>-0.00441393581032853</v>
      </c>
      <c r="O824" s="14">
        <v>45650</v>
      </c>
      <c r="P824" s="15">
        <f>I831</f>
        <v>0.012388109319589377</v>
      </c>
      <c r="Q824" s="15">
        <f>J831</f>
        <v>-0.011804352349889167</v>
      </c>
      <c r="R824" s="15">
        <f>K831</f>
        <v>0.024825232621545117</v>
      </c>
      <c r="S824" s="15">
        <f>L831</f>
        <v>-0.0010866989549987555</v>
      </c>
      <c r="T824" s="15">
        <f>M831</f>
        <v>-0.0008370763173344725</v>
      </c>
    </row>
    <row r="825" spans="1:20">
      <c r="A825" s="14">
        <v>45642</v>
      </c>
      <c r="B825" s="10">
        <v>2234.791748046875</v>
      </c>
      <c r="C825" s="10">
        <v>784.9638061523438</v>
      </c>
      <c r="D825" s="10">
        <v>1821.626220703125</v>
      </c>
      <c r="E825" s="10">
        <v>24668.25</v>
      </c>
      <c r="F825" s="10">
        <v>1118.650024414062</v>
      </c>
      <c r="I825" s="15">
        <f>LN(B825/B824)</f>
        <v>0.0621539693655289</v>
      </c>
      <c r="J825" s="15">
        <f>LN(C825/C824)</f>
        <v>0.03588782144262463</v>
      </c>
      <c r="K825" s="15">
        <f>LN(D825/D824)</f>
        <v>0.02736392580952379</v>
      </c>
      <c r="L825" s="15">
        <f>LN(E825/E824)</f>
        <v>-0.004047649614185296</v>
      </c>
      <c r="M825" s="15">
        <f>LN(F825/F824)</f>
        <v>0.030496509080773768</v>
      </c>
      <c r="O825" s="14">
        <v>45652</v>
      </c>
      <c r="P825" s="15">
        <f>I832</f>
        <v>0.013938623931070319</v>
      </c>
      <c r="Q825" s="15">
        <f>J832</f>
        <v>-0.0026828979250609316</v>
      </c>
      <c r="R825" s="15">
        <f>K832</f>
        <v>0.01949520677327803</v>
      </c>
      <c r="S825" s="15">
        <f>L832</f>
        <v>0.0009498673594489271</v>
      </c>
      <c r="T825" s="15">
        <f>M832</f>
        <v>0.0023234211195564815</v>
      </c>
    </row>
    <row r="826" spans="1:20">
      <c r="A826" s="14">
        <v>45643</v>
      </c>
      <c r="B826" s="10">
        <v>2296.32666015625</v>
      </c>
      <c r="C826" s="10">
        <v>803.8101196289062</v>
      </c>
      <c r="D826" s="10">
        <v>1768.760986328125</v>
      </c>
      <c r="E826" s="10">
        <v>24336</v>
      </c>
      <c r="F826" s="10">
        <v>1117.599975585938</v>
      </c>
      <c r="I826" s="15">
        <f>LN(B826/B825)</f>
        <v>0.0271626958080429</v>
      </c>
      <c r="J826" s="15">
        <f>LN(C826/C825)</f>
        <v>0.02372546176358699</v>
      </c>
      <c r="K826" s="15">
        <f>LN(D826/D825)</f>
        <v>-0.029450336247472102</v>
      </c>
      <c r="L826" s="15">
        <f>LN(E826/E825)</f>
        <v>-0.01356025614827435</v>
      </c>
      <c r="M826" s="15">
        <f>LN(F826/F825)</f>
        <v>-0.0009391158459905369</v>
      </c>
      <c r="O826" s="14">
        <v>45653</v>
      </c>
      <c r="P826" s="15">
        <f>I833</f>
        <v>-0.002953610121341891</v>
      </c>
      <c r="Q826" s="15">
        <f>J833</f>
        <v>0.006390526985434338</v>
      </c>
      <c r="R826" s="15">
        <f>K833</f>
        <v>-0.019642591478796188</v>
      </c>
      <c r="S826" s="15">
        <f>L833</f>
        <v>0.002657545248501766</v>
      </c>
      <c r="T826" s="15">
        <f>M833</f>
        <v>-0.00549198483734231</v>
      </c>
    </row>
    <row r="827" spans="1:20">
      <c r="A827" s="14">
        <v>45644</v>
      </c>
      <c r="B827" s="10">
        <v>2297.864013671875</v>
      </c>
      <c r="C827" s="10">
        <v>797.8271484375</v>
      </c>
      <c r="D827" s="10">
        <v>1712.201782226562</v>
      </c>
      <c r="E827" s="10">
        <v>24198.849609375</v>
      </c>
      <c r="F827" s="10">
        <v>1112.400024414062</v>
      </c>
      <c r="I827" s="15">
        <f>LN(B827/B826)</f>
        <v>0.0006692598031533782</v>
      </c>
      <c r="J827" s="15">
        <f>LN(C827/C826)</f>
        <v>-0.007471103651439987</v>
      </c>
      <c r="K827" s="15">
        <f>LN(D827/D826)</f>
        <v>-0.03249915951741586</v>
      </c>
      <c r="L827" s="15">
        <f>LN(E827/E826)</f>
        <v>-0.005651640286891943</v>
      </c>
      <c r="M827" s="15">
        <f>LN(F827/F826)</f>
        <v>-0.004663641790663791</v>
      </c>
      <c r="O827" s="14">
        <v>45656</v>
      </c>
      <c r="P827" s="15">
        <f>I834</f>
        <v>-0.021981734473725922</v>
      </c>
      <c r="Q827" s="15">
        <f>J834</f>
        <v>0.024333019384468395</v>
      </c>
      <c r="R827" s="15">
        <f>K834</f>
        <v>-0.016104428098754855</v>
      </c>
      <c r="S827" s="15">
        <f>L834</f>
        <v>-0.007101000468431965</v>
      </c>
      <c r="T827" s="15">
        <f>M834</f>
        <v>-0.01552095909635527</v>
      </c>
    </row>
    <row r="828" spans="1:20">
      <c r="A828" s="14">
        <v>45645</v>
      </c>
      <c r="B828" s="10">
        <v>2268.11279296875</v>
      </c>
      <c r="C828" s="10">
        <v>835.2705688476562</v>
      </c>
      <c r="D828" s="10">
        <v>1670.21923828125</v>
      </c>
      <c r="E828" s="10">
        <v>23951.69921875</v>
      </c>
      <c r="F828" s="10">
        <v>1103.25</v>
      </c>
      <c r="I828" s="15">
        <f>LN(B828/B827)</f>
        <v>-0.013031884749333008</v>
      </c>
      <c r="J828" s="15">
        <f>LN(C828/C827)</f>
        <v>0.045863738891788</v>
      </c>
      <c r="K828" s="15">
        <f>LN(D828/D827)</f>
        <v>-0.024825236004215323</v>
      </c>
      <c r="L828" s="15">
        <f>LN(E828/E827)</f>
        <v>-0.01026582529903898</v>
      </c>
      <c r="M828" s="15">
        <f>LN(F828/F827)</f>
        <v>-0.00825949615735042</v>
      </c>
      <c r="O828" s="14">
        <v>45657</v>
      </c>
      <c r="P828" s="15">
        <f>I835</f>
        <v>0.020123367034279926</v>
      </c>
      <c r="Q828" s="15">
        <f>J835</f>
        <v>0.012825121017526645</v>
      </c>
      <c r="R828" s="15">
        <f>K835</f>
        <v>-0.021343408065124185</v>
      </c>
      <c r="S828" s="15">
        <f>L835</f>
        <v>-4.2127301519090045e-06</v>
      </c>
      <c r="T828" s="15">
        <f>M835</f>
        <v>-0.0023728181766344797</v>
      </c>
    </row>
    <row r="829" spans="1:20">
      <c r="A829" s="14">
        <v>45646</v>
      </c>
      <c r="B829" s="10">
        <v>2229.138916015625</v>
      </c>
      <c r="C829" s="10">
        <v>844.8931274414062</v>
      </c>
      <c r="D829" s="10">
        <v>1588.50048828125</v>
      </c>
      <c r="E829" s="10">
        <v>23587.5</v>
      </c>
      <c r="F829" s="10">
        <v>1060.099975585938</v>
      </c>
      <c r="I829" s="15">
        <f>LN(B829/B828)</f>
        <v>-0.017332742392090154</v>
      </c>
      <c r="J829" s="15">
        <f>LN(C829/C828)</f>
        <v>0.01145443604656584</v>
      </c>
      <c r="K829" s="15">
        <f>LN(D829/D828)</f>
        <v>-0.050164416107580975</v>
      </c>
      <c r="L829" s="15">
        <f>LN(E829/E828)</f>
        <v>-0.015322359236337606</v>
      </c>
      <c r="M829" s="15">
        <f>LN(F829/F828)</f>
        <v>-0.039897148900566635</v>
      </c>
      <c r="O829" s="14">
        <v>45660</v>
      </c>
      <c r="P829" s="15">
        <f>I838</f>
        <v>-0.011923249477292815</v>
      </c>
      <c r="Q829" s="15">
        <f>J838</f>
        <v>0.011095314436758097</v>
      </c>
      <c r="R829" s="15">
        <f>K838</f>
        <v>-0.017784250373795663</v>
      </c>
      <c r="S829" s="15">
        <f>L838</f>
        <v>-0.007631803596810856</v>
      </c>
      <c r="T829" s="15">
        <f>M838</f>
        <v>-0.006247831296139514</v>
      </c>
    </row>
    <row r="830" spans="1:20">
      <c r="A830" s="14">
        <v>45649</v>
      </c>
      <c r="B830" s="10">
        <v>2243.518798828125</v>
      </c>
      <c r="C830" s="10">
        <v>828.4898071289062</v>
      </c>
      <c r="D830" s="10">
        <v>1652.347900390625</v>
      </c>
      <c r="E830" s="10">
        <v>23753.44921875</v>
      </c>
      <c r="F830" s="10">
        <v>1075.650024414062</v>
      </c>
      <c r="I830" s="15">
        <f>LN(B830/B829)</f>
        <v>0.00643015105387482</v>
      </c>
      <c r="J830" s="15">
        <f>LN(C830/C829)</f>
        <v>-0.01960560896828085</v>
      </c>
      <c r="K830" s="15">
        <f>LN(D830/D829)</f>
        <v>0.039406764271393606</v>
      </c>
      <c r="L830" s="15">
        <f>LN(E830/E829)</f>
        <v>0.007010839504245724</v>
      </c>
      <c r="M830" s="15">
        <f>LN(F830/F829)</f>
        <v>0.014561932444635486</v>
      </c>
      <c r="O830" s="14">
        <v>45663</v>
      </c>
      <c r="P830" s="15">
        <f>I839</f>
        <v>-0.020494903672646617</v>
      </c>
      <c r="Q830" s="15">
        <f>J839</f>
        <v>-0.02645301576971168</v>
      </c>
      <c r="R830" s="15">
        <f>K839</f>
        <v>-0.017168920432553112</v>
      </c>
      <c r="S830" s="15">
        <f>L839</f>
        <v>-0.016325128725884954</v>
      </c>
      <c r="T830" s="15">
        <f>M839</f>
        <v>-0.03213458656009788</v>
      </c>
    </row>
    <row r="831" spans="1:20">
      <c r="A831" s="14">
        <v>45650</v>
      </c>
      <c r="B831" s="10">
        <v>2271.484619140625</v>
      </c>
      <c r="C831" s="10">
        <v>818.7675170898438</v>
      </c>
      <c r="D831" s="10">
        <v>1693.881225585938</v>
      </c>
      <c r="E831" s="10">
        <v>23727.650390625</v>
      </c>
      <c r="F831" s="10">
        <v>1074.75</v>
      </c>
      <c r="I831" s="15">
        <f>LN(B831/B830)</f>
        <v>0.012388109319589377</v>
      </c>
      <c r="J831" s="15">
        <f>LN(C831/C830)</f>
        <v>-0.011804352349889167</v>
      </c>
      <c r="K831" s="15">
        <f>LN(D831/D830)</f>
        <v>0.024825232621545117</v>
      </c>
      <c r="L831" s="15">
        <f>LN(E831/E830)</f>
        <v>-0.0010866989549987555</v>
      </c>
      <c r="M831" s="15">
        <f>LN(F831/F830)</f>
        <v>-0.0008370763173344725</v>
      </c>
      <c r="O831" s="14">
        <v>45664</v>
      </c>
      <c r="P831" s="15">
        <f>I840</f>
        <v>0.02633116089867666</v>
      </c>
      <c r="Q831" s="15">
        <f>J840</f>
        <v>0.03274652228434089</v>
      </c>
      <c r="R831" s="15">
        <f>K840</f>
        <v>0.016406407265756984</v>
      </c>
      <c r="S831" s="15">
        <f>L840</f>
        <v>0.0038817437019732417</v>
      </c>
      <c r="T831" s="15">
        <f>M840</f>
        <v>0.007922673075607936</v>
      </c>
    </row>
    <row r="832" spans="1:20">
      <c r="A832" s="14">
        <v>45652</v>
      </c>
      <c r="B832" s="10">
        <v>2303.36767578125</v>
      </c>
      <c r="C832" s="10">
        <v>816.5737915039062</v>
      </c>
      <c r="D832" s="10">
        <v>1727.227783203125</v>
      </c>
      <c r="E832" s="10">
        <v>23750.19921875</v>
      </c>
      <c r="F832" s="10">
        <v>1077.25</v>
      </c>
      <c r="I832" s="15">
        <f>LN(B832/B831)</f>
        <v>0.013938623931070319</v>
      </c>
      <c r="J832" s="15">
        <f>LN(C832/C831)</f>
        <v>-0.0026828979250609316</v>
      </c>
      <c r="K832" s="15">
        <f>LN(D832/D831)</f>
        <v>0.01949520677327803</v>
      </c>
      <c r="L832" s="15">
        <f>LN(E832/E831)</f>
        <v>0.0009498673594489271</v>
      </c>
      <c r="M832" s="15">
        <f>LN(F832/F831)</f>
        <v>0.0023234211195564815</v>
      </c>
      <c r="O832" s="14">
        <v>45665</v>
      </c>
      <c r="P832" s="15">
        <f>I841</f>
        <v>0.006152790283256586</v>
      </c>
      <c r="Q832" s="15">
        <f>J841</f>
        <v>0.055942396664528195</v>
      </c>
      <c r="R832" s="15">
        <f>K841</f>
        <v>0.07294726055388491</v>
      </c>
      <c r="S832" s="15">
        <f>L841</f>
        <v>-0.0007996806978147784</v>
      </c>
      <c r="T832" s="15">
        <f>M841</f>
        <v>-0.0015696810886034653</v>
      </c>
    </row>
    <row r="833" spans="1:20">
      <c r="A833" s="14">
        <v>45653</v>
      </c>
      <c r="B833" s="10">
        <v>2296.574462890625</v>
      </c>
      <c r="C833" s="10">
        <v>821.808837890625</v>
      </c>
      <c r="D833" s="10">
        <v>1693.631591796875</v>
      </c>
      <c r="E833" s="10">
        <v>23813.400390625</v>
      </c>
      <c r="F833" s="10">
        <v>1071.349975585938</v>
      </c>
      <c r="I833" s="15">
        <f>LN(B833/B832)</f>
        <v>-0.002953610121341891</v>
      </c>
      <c r="J833" s="15">
        <f>LN(C833/C832)</f>
        <v>0.006390526985434338</v>
      </c>
      <c r="K833" s="15">
        <f>LN(D833/D832)</f>
        <v>-0.019642591478796188</v>
      </c>
      <c r="L833" s="15">
        <f>LN(E833/E832)</f>
        <v>0.002657545248501766</v>
      </c>
      <c r="M833" s="15">
        <f>LN(F833/F832)</f>
        <v>-0.00549198483734231</v>
      </c>
      <c r="O833" s="14">
        <v>45666</v>
      </c>
      <c r="P833" s="15">
        <f>I842</f>
        <v>-0.015898712598320434</v>
      </c>
      <c r="Q833" s="15">
        <f>J842</f>
        <v>-0.03303380111817915</v>
      </c>
      <c r="R833" s="15">
        <f>K842</f>
        <v>-0.03261356110837848</v>
      </c>
      <c r="S833" s="15">
        <f>L842</f>
        <v>-0.006881216315863482</v>
      </c>
      <c r="T833" s="15">
        <f>M842</f>
        <v>-0.027674459366253647</v>
      </c>
    </row>
    <row r="834" spans="1:20">
      <c r="A834" s="14">
        <v>45656</v>
      </c>
      <c r="B834" s="10">
        <v>2246.642578125</v>
      </c>
      <c r="C834" s="10">
        <v>842.0512084960938</v>
      </c>
      <c r="D834" s="10">
        <v>1666.575073242188</v>
      </c>
      <c r="E834" s="10">
        <v>23644.900390625</v>
      </c>
      <c r="F834" s="10">
        <v>1054.849975585938</v>
      </c>
      <c r="I834" s="15">
        <f>LN(B834/B833)</f>
        <v>-0.021981734473725922</v>
      </c>
      <c r="J834" s="15">
        <f>LN(C834/C833)</f>
        <v>0.024333019384468395</v>
      </c>
      <c r="K834" s="15">
        <f>LN(D834/D833)</f>
        <v>-0.016104428098754855</v>
      </c>
      <c r="L834" s="15">
        <f>LN(E834/E833)</f>
        <v>-0.007101000468431965</v>
      </c>
      <c r="M834" s="15">
        <f>LN(F834/F833)</f>
        <v>-0.01552095909635527</v>
      </c>
      <c r="O834" s="14">
        <v>45667</v>
      </c>
      <c r="P834" s="15">
        <f>I843</f>
        <v>-0.054005322733646825</v>
      </c>
      <c r="Q834" s="15">
        <f>J843</f>
        <v>-0.02234361037566878</v>
      </c>
      <c r="R834" s="15">
        <f>K843</f>
        <v>0.013432379888269669</v>
      </c>
      <c r="S834" s="15">
        <f>L843</f>
        <v>-0.004046174437066828</v>
      </c>
      <c r="T834" s="15">
        <f>M843</f>
        <v>-0.028046899209126227</v>
      </c>
    </row>
    <row r="835" spans="1:20">
      <c r="A835" s="14">
        <v>45657</v>
      </c>
      <c r="B835" s="10">
        <v>2292.310546875</v>
      </c>
      <c r="C835" s="10">
        <v>852.920166015625</v>
      </c>
      <c r="D835" s="10">
        <v>1631.381591796875</v>
      </c>
      <c r="E835" s="10">
        <v>23644.80078125</v>
      </c>
      <c r="F835" s="10">
        <v>1052.349975585938</v>
      </c>
      <c r="I835" s="15">
        <f>LN(B835/B834)</f>
        <v>0.020123367034279926</v>
      </c>
      <c r="J835" s="15">
        <f>LN(C835/C834)</f>
        <v>0.012825121017526645</v>
      </c>
      <c r="K835" s="15">
        <f>LN(D835/D834)</f>
        <v>-0.021343408065124185</v>
      </c>
      <c r="L835" s="15">
        <f>LN(E835/E834)</f>
        <v>-4.2127301519090045e-06</v>
      </c>
      <c r="M835" s="15">
        <f>LN(F835/F834)</f>
        <v>-0.0023728181766344797</v>
      </c>
      <c r="O835" s="14">
        <v>45670</v>
      </c>
      <c r="P835" s="15">
        <f>I844</f>
        <v>-0.05552349094807205</v>
      </c>
      <c r="Q835" s="15">
        <f>J844</f>
        <v>-0.07037372825513923</v>
      </c>
      <c r="R835" s="15">
        <f>K844</f>
        <v>-0.0820676868270372</v>
      </c>
      <c r="S835" s="15">
        <f>L844</f>
        <v>-0.014857097422370331</v>
      </c>
      <c r="T835" s="15">
        <f>M844</f>
        <v>-0.06685961948314274</v>
      </c>
    </row>
    <row r="836" spans="1:20">
      <c r="A836" s="14">
        <v>45658</v>
      </c>
      <c r="B836" s="10">
        <v>2256.0634765625</v>
      </c>
      <c r="C836" s="10">
        <v>853.7179565429688</v>
      </c>
      <c r="D836" s="10">
        <v>1586.403686523438</v>
      </c>
      <c r="E836" s="10">
        <v>23742.900390625</v>
      </c>
      <c r="I836" s="15">
        <f>LN(B836/B835)</f>
        <v>-0.015938811315948317</v>
      </c>
      <c r="J836" s="15">
        <f>LN(C836/C835)</f>
        <v>0.000934926479035096</v>
      </c>
      <c r="K836" s="15">
        <f>LN(D836/D835)</f>
        <v>-0.027957636085589772</v>
      </c>
      <c r="L836" s="15">
        <f>LN(E836/E835)</f>
        <v>0.004140304217561321</v>
      </c>
      <c r="O836" s="14">
        <v>45671</v>
      </c>
      <c r="P836" s="15">
        <f>I845</f>
        <v>-0.019105148996334004</v>
      </c>
      <c r="Q836" s="15">
        <f>J845</f>
        <v>0.00592185882140783</v>
      </c>
      <c r="R836" s="15">
        <f>K845</f>
        <v>0.026711239866591276</v>
      </c>
      <c r="S836" s="15">
        <f>L845</f>
        <v>0.003895278043635164</v>
      </c>
      <c r="T836" s="15">
        <f>M845</f>
        <v>0.007959374496419267</v>
      </c>
    </row>
    <row r="837" spans="1:20">
      <c r="A837" s="14">
        <v>45659</v>
      </c>
      <c r="B837" s="10">
        <v>2263.302978515625</v>
      </c>
      <c r="C837" s="10">
        <v>866.9302978515625</v>
      </c>
      <c r="D837" s="10">
        <v>1600.081787109375</v>
      </c>
      <c r="E837" s="10">
        <v>24188.650390625</v>
      </c>
      <c r="F837" s="10">
        <v>1051.650024414062</v>
      </c>
      <c r="I837" s="15">
        <f>LN(B837/B836)</f>
        <v>0.003203771244205003</v>
      </c>
      <c r="J837" s="15">
        <f>LN(C837/C836)</f>
        <v>0.015357701332953524</v>
      </c>
      <c r="K837" s="15">
        <f>LN(D837/D836)</f>
        <v>0.008585122832218491</v>
      </c>
      <c r="L837" s="15">
        <f>LN(E837/E836)</f>
        <v>0.018599976157659907</v>
      </c>
      <c r="O837" s="14">
        <v>45672</v>
      </c>
      <c r="P837" s="15">
        <f>I846</f>
        <v>0.015871411430308024</v>
      </c>
      <c r="Q837" s="15">
        <f>J846</f>
        <v>0.0757977338257308</v>
      </c>
      <c r="R837" s="15">
        <f>K846</f>
        <v>0.05342702092845001</v>
      </c>
      <c r="S837" s="15">
        <f>L846</f>
        <v>0.0016015971562733668</v>
      </c>
      <c r="T837" s="15">
        <f>M846</f>
        <v>0.01383249792432852</v>
      </c>
    </row>
    <row r="838" spans="1:20">
      <c r="A838" s="14">
        <v>45660</v>
      </c>
      <c r="B838" s="10">
        <v>2236.477294921875</v>
      </c>
      <c r="C838" s="10">
        <v>876.6027221679688</v>
      </c>
      <c r="D838" s="10">
        <v>1571.877075195312</v>
      </c>
      <c r="E838" s="10">
        <v>24004.75</v>
      </c>
      <c r="F838" s="10">
        <v>1045.099975585938</v>
      </c>
      <c r="I838" s="15">
        <f>LN(B838/B837)</f>
        <v>-0.011923249477292815</v>
      </c>
      <c r="J838" s="15">
        <f>LN(C838/C837)</f>
        <v>0.011095314436758097</v>
      </c>
      <c r="K838" s="15">
        <f>LN(D838/D837)</f>
        <v>-0.017784250373795663</v>
      </c>
      <c r="L838" s="15">
        <f>LN(E838/E837)</f>
        <v>-0.007631803596810856</v>
      </c>
      <c r="M838" s="15">
        <f>LN(F838/F837)</f>
        <v>-0.006247831296139514</v>
      </c>
      <c r="O838" s="14">
        <v>45673</v>
      </c>
      <c r="P838" s="15">
        <f>I847</f>
        <v>-0.02112488649752153</v>
      </c>
      <c r="Q838" s="15">
        <f>J847</f>
        <v>-0.009032535971274805</v>
      </c>
      <c r="R838" s="15">
        <f>K847</f>
        <v>0.0008446372878885146</v>
      </c>
      <c r="S838" s="15">
        <f>L847</f>
        <v>0.004238654922064901</v>
      </c>
      <c r="T838" s="15">
        <f>M847</f>
        <v>0.006710358347168382</v>
      </c>
    </row>
    <row r="839" spans="1:20">
      <c r="A839" s="14">
        <v>45663</v>
      </c>
      <c r="B839" s="10">
        <v>2191.107421875</v>
      </c>
      <c r="C839" s="10">
        <v>853.7179565429688</v>
      </c>
      <c r="D839" s="10">
        <v>1545.119995117188</v>
      </c>
      <c r="E839" s="10">
        <v>23616.05078125</v>
      </c>
      <c r="F839" s="10">
        <v>1012.049987792969</v>
      </c>
      <c r="I839" s="15">
        <f>LN(B839/B838)</f>
        <v>-0.020494903672646617</v>
      </c>
      <c r="J839" s="15">
        <f>LN(C839/C838)</f>
        <v>-0.02645301576971168</v>
      </c>
      <c r="K839" s="15">
        <f>LN(D839/D838)</f>
        <v>-0.017168920432553112</v>
      </c>
      <c r="L839" s="15">
        <f>LN(E839/E838)</f>
        <v>-0.016325128725884954</v>
      </c>
      <c r="M839" s="15">
        <f>LN(F839/F838)</f>
        <v>-0.03213458656009788</v>
      </c>
      <c r="O839" s="14">
        <v>45674</v>
      </c>
      <c r="P839" s="15">
        <f>I848</f>
        <v>0.012140319305096197</v>
      </c>
      <c r="Q839" s="15">
        <f>J848</f>
        <v>0.013768567200594498</v>
      </c>
      <c r="R839" s="15">
        <f>K848</f>
        <v>-0.008904065445325772</v>
      </c>
      <c r="S839" s="15">
        <f>L848</f>
        <v>-0.004669537131428157</v>
      </c>
      <c r="T839" s="15">
        <f>M848</f>
        <v>0.013074196077824262</v>
      </c>
    </row>
    <row r="840" spans="1:20">
      <c r="A840" s="14">
        <v>45664</v>
      </c>
      <c r="B840" s="10">
        <v>2249.568115234375</v>
      </c>
      <c r="C840" s="10">
        <v>882.1370239257812</v>
      </c>
      <c r="D840" s="10">
        <v>1570.678955078125</v>
      </c>
      <c r="E840" s="10">
        <v>23707.900390625</v>
      </c>
      <c r="F840" s="10">
        <v>1020.099975585938</v>
      </c>
      <c r="I840" s="15">
        <f>LN(B840/B839)</f>
        <v>0.02633116089867666</v>
      </c>
      <c r="J840" s="15">
        <f>LN(C840/C839)</f>
        <v>0.03274652228434089</v>
      </c>
      <c r="K840" s="15">
        <f>LN(D840/D839)</f>
        <v>0.016406407265756984</v>
      </c>
      <c r="L840" s="15">
        <f>LN(E840/E839)</f>
        <v>0.0038817437019732417</v>
      </c>
      <c r="M840" s="15">
        <f>LN(F840/F839)</f>
        <v>0.007922673075607936</v>
      </c>
      <c r="O840" s="14">
        <v>45677</v>
      </c>
      <c r="P840" s="15">
        <f>I849</f>
        <v>0.007014354394751352</v>
      </c>
      <c r="Q840" s="15">
        <f>J849</f>
        <v>0.022099746468976913</v>
      </c>
      <c r="R840" s="15">
        <f>K849</f>
        <v>-0.021649038009880866</v>
      </c>
      <c r="S840" s="15">
        <f>L849</f>
        <v>0.006081952909099664</v>
      </c>
      <c r="T840" s="15">
        <f>M849</f>
        <v>0.006473519014437652</v>
      </c>
    </row>
    <row r="841" spans="1:20">
      <c r="A841" s="14">
        <v>45665</v>
      </c>
      <c r="B841" s="10">
        <v>2263.451904296875</v>
      </c>
      <c r="C841" s="10">
        <v>932.892333984375</v>
      </c>
      <c r="D841" s="10">
        <v>1689.538208007812</v>
      </c>
      <c r="E841" s="10">
        <v>23688.94921875</v>
      </c>
      <c r="F841" s="10">
        <v>1018.5</v>
      </c>
      <c r="I841" s="15">
        <f>LN(B841/B840)</f>
        <v>0.006152790283256586</v>
      </c>
      <c r="J841" s="15">
        <f>LN(C841/C840)</f>
        <v>0.055942396664528195</v>
      </c>
      <c r="K841" s="15">
        <f>LN(D841/D840)</f>
        <v>0.07294726055388491</v>
      </c>
      <c r="L841" s="15">
        <f>LN(E841/E840)</f>
        <v>-0.0007996806978147784</v>
      </c>
      <c r="M841" s="15">
        <f>LN(F841/F840)</f>
        <v>-0.0015696810886034653</v>
      </c>
      <c r="O841" s="14">
        <v>45678</v>
      </c>
      <c r="P841" s="15">
        <f>I850</f>
        <v>-0.07506850975740123</v>
      </c>
      <c r="Q841" s="15">
        <f>J850</f>
        <v>-0.06040029649987823</v>
      </c>
      <c r="R841" s="15">
        <f>K850</f>
        <v>-0.0565296130746128</v>
      </c>
      <c r="S841" s="15">
        <f>L850</f>
        <v>-0.013806721311582606</v>
      </c>
      <c r="T841" s="15">
        <f>M850</f>
        <v>-0.04207446681952287</v>
      </c>
    </row>
    <row r="842" spans="1:20">
      <c r="A842" s="14">
        <v>45666</v>
      </c>
      <c r="B842" s="10">
        <v>2227.75048828125</v>
      </c>
      <c r="C842" s="10">
        <v>902.5787963867188</v>
      </c>
      <c r="D842" s="10">
        <v>1635.3251953125</v>
      </c>
      <c r="E842" s="10">
        <v>23526.5</v>
      </c>
      <c r="F842" s="10">
        <v>990.7000122070312</v>
      </c>
      <c r="I842" s="15">
        <f>LN(B842/B841)</f>
        <v>-0.015898712598320434</v>
      </c>
      <c r="J842" s="15">
        <f>LN(C842/C841)</f>
        <v>-0.03303380111817915</v>
      </c>
      <c r="K842" s="15">
        <f>LN(D842/D841)</f>
        <v>-0.03261356110837848</v>
      </c>
      <c r="L842" s="15">
        <f>LN(E842/E841)</f>
        <v>-0.006881216315863482</v>
      </c>
      <c r="M842" s="15">
        <f>LN(F842/F841)</f>
        <v>-0.027674459366253647</v>
      </c>
      <c r="O842" s="14">
        <v>45679</v>
      </c>
      <c r="P842" s="15">
        <f>I851</f>
        <v>-0.052425654334136165</v>
      </c>
      <c r="Q842" s="15">
        <f>J851</f>
        <v>-0.03419243884496755</v>
      </c>
      <c r="R842" s="15">
        <f>K851</f>
        <v>-0.04174759412524922</v>
      </c>
      <c r="S842" s="15">
        <f>L851</f>
        <v>0.0056604403518015324</v>
      </c>
      <c r="T842" s="15">
        <f>M851</f>
        <v>-0.046693442030820945</v>
      </c>
    </row>
    <row r="843" spans="1:20">
      <c r="A843" s="14">
        <v>45667</v>
      </c>
      <c r="B843" s="10">
        <v>2110.631103515625</v>
      </c>
      <c r="C843" s="10">
        <v>882.6355590820312</v>
      </c>
      <c r="D843" s="10">
        <v>1657.439697265625</v>
      </c>
      <c r="E843" s="10">
        <v>23431.5</v>
      </c>
      <c r="F843" s="10">
        <v>963.2999877929688</v>
      </c>
      <c r="I843" s="15">
        <f>LN(B843/B842)</f>
        <v>-0.054005322733646825</v>
      </c>
      <c r="J843" s="15">
        <f>LN(C843/C842)</f>
        <v>-0.02234361037566878</v>
      </c>
      <c r="K843" s="15">
        <f>LN(D843/D842)</f>
        <v>0.013432379888269669</v>
      </c>
      <c r="L843" s="15">
        <f>LN(E843/E842)</f>
        <v>-0.004046174437066828</v>
      </c>
      <c r="M843" s="15">
        <f>LN(F843/F842)</f>
        <v>-0.028046899209126227</v>
      </c>
      <c r="O843" s="14">
        <v>45680</v>
      </c>
      <c r="P843" s="15">
        <f>I852</f>
        <v>0.03277796791771681</v>
      </c>
      <c r="Q843" s="15">
        <f>J852</f>
        <v>0.015301867505531329</v>
      </c>
      <c r="R843" s="15">
        <f>K852</f>
        <v>0.04696422413589575</v>
      </c>
      <c r="S843" s="15">
        <f>L852</f>
        <v>0.0021570002277194853</v>
      </c>
      <c r="T843" s="15">
        <f>M852</f>
        <v>0.009949786657527607</v>
      </c>
    </row>
    <row r="844" spans="1:20">
      <c r="A844" s="14">
        <v>45670</v>
      </c>
      <c r="B844" s="10">
        <v>1996.635498046875</v>
      </c>
      <c r="C844" s="10">
        <v>822.6564331054688</v>
      </c>
      <c r="D844" s="10">
        <v>1526.849365234375</v>
      </c>
      <c r="E844" s="10">
        <v>23085.94921875</v>
      </c>
      <c r="F844" s="10">
        <v>901</v>
      </c>
      <c r="I844" s="15">
        <f>LN(B844/B843)</f>
        <v>-0.05552349094807205</v>
      </c>
      <c r="J844" s="15">
        <f>LN(C844/C843)</f>
        <v>-0.07037372825513923</v>
      </c>
      <c r="K844" s="15">
        <f>LN(D844/D843)</f>
        <v>-0.0820676868270372</v>
      </c>
      <c r="L844" s="15">
        <f>LN(E844/E843)</f>
        <v>-0.014857097422370331</v>
      </c>
      <c r="M844" s="15">
        <f>LN(F844/F843)</f>
        <v>-0.06685961948314274</v>
      </c>
      <c r="O844" s="14">
        <v>45681</v>
      </c>
      <c r="P844" s="15">
        <f>I853</f>
        <v>-0.03531605569280634</v>
      </c>
      <c r="Q844" s="15">
        <f>J853</f>
        <v>-0.04761365079189816</v>
      </c>
      <c r="R844" s="15">
        <f>K853</f>
        <v>-0.007324080785808466</v>
      </c>
      <c r="S844" s="15">
        <f>L853</f>
        <v>-0.00488797436469754</v>
      </c>
      <c r="T844" s="15">
        <f>M853</f>
        <v>-0.02333297275042131</v>
      </c>
    </row>
    <row r="845" spans="1:20">
      <c r="A845" s="14">
        <v>45671</v>
      </c>
      <c r="B845" s="10">
        <v>1958.8515625</v>
      </c>
      <c r="C845" s="10">
        <v>827.5425415039062</v>
      </c>
      <c r="D845" s="10">
        <v>1568.182983398438</v>
      </c>
      <c r="E845" s="10">
        <v>23176.05078125</v>
      </c>
      <c r="F845" s="10">
        <v>908.2000122070312</v>
      </c>
      <c r="I845" s="15">
        <f>LN(B845/B844)</f>
        <v>-0.019105148996334004</v>
      </c>
      <c r="J845" s="15">
        <f>LN(C845/C844)</f>
        <v>0.00592185882140783</v>
      </c>
      <c r="K845" s="15">
        <f>LN(D845/D844)</f>
        <v>0.026711239866591276</v>
      </c>
      <c r="L845" s="15">
        <f>LN(E845/E844)</f>
        <v>0.003895278043635164</v>
      </c>
      <c r="M845" s="15">
        <f>LN(F845/F844)</f>
        <v>0.007959374496419267</v>
      </c>
      <c r="O845" s="14">
        <v>45684</v>
      </c>
      <c r="P845" s="15">
        <f>I854</f>
        <v>-0.041670181187098636</v>
      </c>
      <c r="Q845" s="15">
        <f>J854</f>
        <v>-0.19259644944350118</v>
      </c>
      <c r="R845" s="15">
        <f>K854</f>
        <v>-0.021895403882618975</v>
      </c>
      <c r="S845" s="15">
        <f>L854</f>
        <v>-0.011456619090824587</v>
      </c>
      <c r="T845" s="15">
        <f>M854</f>
        <v>-0.010540994931500427</v>
      </c>
    </row>
    <row r="846" spans="1:20">
      <c r="A846" s="14">
        <v>45672</v>
      </c>
      <c r="B846" s="10">
        <v>1990.189331054688</v>
      </c>
      <c r="C846" s="10">
        <v>892.7068481445312</v>
      </c>
      <c r="D846" s="10">
        <v>1654.244873046875</v>
      </c>
      <c r="E846" s="10">
        <v>23213.19921875</v>
      </c>
      <c r="F846" s="10">
        <v>920.8499755859376</v>
      </c>
      <c r="I846" s="15">
        <f>LN(B846/B845)</f>
        <v>0.015871411430308024</v>
      </c>
      <c r="J846" s="15">
        <f>LN(C846/C845)</f>
        <v>0.0757977338257308</v>
      </c>
      <c r="K846" s="15">
        <f>LN(D846/D845)</f>
        <v>0.05342702092845001</v>
      </c>
      <c r="L846" s="15">
        <f>LN(E846/E845)</f>
        <v>0.0016015971562733668</v>
      </c>
      <c r="M846" s="15">
        <f>LN(F846/F845)</f>
        <v>0.01383249792432852</v>
      </c>
      <c r="O846" s="14">
        <v>45685</v>
      </c>
      <c r="P846" s="15">
        <f>I855</f>
        <v>-0.007206824867823059</v>
      </c>
      <c r="Q846" s="15">
        <f>J855</f>
        <v>-0.223105989222235</v>
      </c>
      <c r="R846" s="15">
        <f>K855</f>
        <v>0.02024585200434563</v>
      </c>
      <c r="S846" s="15">
        <f>L855</f>
        <v>0.005595545512054291</v>
      </c>
      <c r="T846" s="15">
        <f>M855</f>
        <v>0.02143572421352162</v>
      </c>
    </row>
    <row r="847" spans="1:20">
      <c r="A847" s="14">
        <v>45673</v>
      </c>
      <c r="B847" s="10">
        <v>1948.587768554688</v>
      </c>
      <c r="C847" s="10">
        <v>884.6797485351562</v>
      </c>
      <c r="D847" s="10">
        <v>1655.642700195312</v>
      </c>
      <c r="E847" s="10">
        <v>23311.80078125</v>
      </c>
      <c r="F847" s="10">
        <v>927.0499877929688</v>
      </c>
      <c r="I847" s="15">
        <f>LN(B847/B846)</f>
        <v>-0.02112488649752153</v>
      </c>
      <c r="J847" s="15">
        <f>LN(C847/C846)</f>
        <v>-0.009032535971274805</v>
      </c>
      <c r="K847" s="15">
        <f>LN(D847/D846)</f>
        <v>0.0008446372878885146</v>
      </c>
      <c r="L847" s="15">
        <f>LN(E847/E846)</f>
        <v>0.004238654922064901</v>
      </c>
      <c r="M847" s="15">
        <f>LN(F847/F846)</f>
        <v>0.006710358347168382</v>
      </c>
      <c r="O847" s="14">
        <v>45686</v>
      </c>
      <c r="P847" s="15">
        <f>I856</f>
        <v>0.02680515133377209</v>
      </c>
      <c r="Q847" s="15">
        <f>J856</f>
        <v>0.09531015898315691</v>
      </c>
      <c r="R847" s="15">
        <f>K856</f>
        <v>0.027775420863753</v>
      </c>
      <c r="S847" s="15">
        <f>L856</f>
        <v>0.008926687592645893</v>
      </c>
      <c r="T847" s="15">
        <f>M856</f>
        <v>0.028672905184870694</v>
      </c>
    </row>
    <row r="848" spans="1:20">
      <c r="A848" s="14">
        <v>45674</v>
      </c>
      <c r="B848" s="10">
        <v>1972.388427734375</v>
      </c>
      <c r="C848" s="10">
        <v>896.9447631835938</v>
      </c>
      <c r="D848" s="10">
        <v>1640.966186523438</v>
      </c>
      <c r="E848" s="10">
        <v>23203.19921875</v>
      </c>
      <c r="F848" s="10">
        <v>939.25</v>
      </c>
      <c r="I848" s="15">
        <f>LN(B848/B847)</f>
        <v>0.012140319305096197</v>
      </c>
      <c r="J848" s="15">
        <f>LN(C848/C847)</f>
        <v>0.013768567200594498</v>
      </c>
      <c r="K848" s="15">
        <f>LN(D848/D847)</f>
        <v>-0.008904065445325772</v>
      </c>
      <c r="L848" s="15">
        <f>LN(E848/E847)</f>
        <v>-0.004669537131428157</v>
      </c>
      <c r="M848" s="15">
        <f>LN(F848/F847)</f>
        <v>0.013074196077824262</v>
      </c>
      <c r="O848" s="14">
        <v>45687</v>
      </c>
      <c r="P848" s="15">
        <f>I857</f>
        <v>0.02147395093713905</v>
      </c>
      <c r="Q848" s="15">
        <f>J857</f>
        <v>-0.04620829697595064</v>
      </c>
      <c r="R848" s="15">
        <f>K857</f>
        <v>0.026743504284140827</v>
      </c>
      <c r="S848" s="15">
        <f>L857</f>
        <v>0.003723148074350194</v>
      </c>
      <c r="T848" s="15">
        <f>M857</f>
        <v>0.017636340478667967</v>
      </c>
    </row>
    <row r="849" spans="1:20">
      <c r="A849" s="14">
        <v>45677</v>
      </c>
      <c r="B849" s="10">
        <v>1986.272094726562</v>
      </c>
      <c r="C849" s="10">
        <v>916.9876708984376</v>
      </c>
      <c r="D849" s="10">
        <v>1605.822631835938</v>
      </c>
      <c r="E849" s="10">
        <v>23344.75</v>
      </c>
      <c r="F849" s="10">
        <v>945.3499755859376</v>
      </c>
      <c r="I849" s="15">
        <f>LN(B849/B848)</f>
        <v>0.007014354394751352</v>
      </c>
      <c r="J849" s="15">
        <f>LN(C849/C848)</f>
        <v>0.022099746468976913</v>
      </c>
      <c r="K849" s="15">
        <f>LN(D849/D848)</f>
        <v>-0.021649038009880866</v>
      </c>
      <c r="L849" s="15">
        <f>LN(E849/E848)</f>
        <v>0.006081952909099664</v>
      </c>
      <c r="M849" s="15">
        <f>LN(F849/F848)</f>
        <v>0.006473519014437652</v>
      </c>
      <c r="O849" s="14">
        <v>45688</v>
      </c>
      <c r="P849" s="15">
        <f>I858</f>
        <v>0.03192224494121213</v>
      </c>
      <c r="Q849" s="15">
        <f>J858</f>
        <v>0.06365861545688027</v>
      </c>
      <c r="R849" s="15">
        <f>K858</f>
        <v>0.026320969311023706</v>
      </c>
      <c r="S849" s="15">
        <f>L858</f>
        <v>0.011074194280356322</v>
      </c>
      <c r="T849" s="15">
        <f>M858</f>
        <v>0.019231875811890464</v>
      </c>
    </row>
    <row r="850" spans="1:20">
      <c r="A850" s="14">
        <v>45678</v>
      </c>
      <c r="B850" s="10">
        <v>1842.624755859375</v>
      </c>
      <c r="C850" s="10">
        <v>863.2408447265625</v>
      </c>
      <c r="D850" s="10">
        <v>1517.564208984375</v>
      </c>
      <c r="E850" s="10">
        <v>23024.650390625</v>
      </c>
      <c r="F850" s="10">
        <v>906.4000244140624</v>
      </c>
      <c r="I850" s="15">
        <f>LN(B850/B849)</f>
        <v>-0.07506850975740123</v>
      </c>
      <c r="J850" s="15">
        <f>LN(C850/C849)</f>
        <v>-0.06040029649987823</v>
      </c>
      <c r="K850" s="15">
        <f>LN(D850/D849)</f>
        <v>-0.0565296130746128</v>
      </c>
      <c r="L850" s="15">
        <f>LN(E850/E849)</f>
        <v>-0.013806721311582606</v>
      </c>
      <c r="M850" s="15">
        <f>LN(F850/F849)</f>
        <v>-0.04207446681952287</v>
      </c>
      <c r="O850" s="14">
        <v>45692</v>
      </c>
      <c r="P850" s="15">
        <f>I861</f>
        <v>0.011218339885061265</v>
      </c>
      <c r="Q850" s="15">
        <f>J861</f>
        <v>-0.03210953678717412</v>
      </c>
      <c r="R850" s="15">
        <f>K861</f>
        <v>-0.021019529057916143</v>
      </c>
      <c r="S850" s="15">
        <f>L861</f>
        <v>0.016059657410686868</v>
      </c>
      <c r="T850" s="15">
        <f>M861</f>
        <v>0.005512837769592137</v>
      </c>
    </row>
    <row r="851" spans="1:20">
      <c r="A851" s="14">
        <v>45679</v>
      </c>
      <c r="B851" s="10">
        <v>1748.512451171875</v>
      </c>
      <c r="C851" s="10">
        <v>834.2234497070312</v>
      </c>
      <c r="D851" s="10">
        <v>1455.513793945312</v>
      </c>
      <c r="E851" s="10">
        <v>23155.349609375</v>
      </c>
      <c r="F851" s="10">
        <v>865.0499877929688</v>
      </c>
      <c r="I851" s="15">
        <f>LN(B851/B850)</f>
        <v>-0.052425654334136165</v>
      </c>
      <c r="J851" s="15">
        <f>LN(C851/C850)</f>
        <v>-0.03419243884496755</v>
      </c>
      <c r="K851" s="15">
        <f>LN(D851/D850)</f>
        <v>-0.04174759412524922</v>
      </c>
      <c r="L851" s="15">
        <f>LN(E851/E850)</f>
        <v>0.0056604403518015324</v>
      </c>
      <c r="M851" s="15">
        <f>LN(F851/F850)</f>
        <v>-0.046693442030820945</v>
      </c>
      <c r="O851" s="14">
        <v>45693</v>
      </c>
      <c r="P851" s="15">
        <f>I862</f>
        <v>0.002327017717618054</v>
      </c>
      <c r="Q851" s="15">
        <f>J862</f>
        <v>0.022148101753532563</v>
      </c>
      <c r="R851" s="15">
        <f>K862</f>
        <v>-0.04834188086389877</v>
      </c>
      <c r="S851" s="15">
        <f>L862</f>
        <v>-0.0018108456539069108</v>
      </c>
      <c r="T851" s="15">
        <f>M862</f>
        <v>-0.01865560714323605</v>
      </c>
    </row>
    <row r="852" spans="1:20">
      <c r="A852" s="14">
        <v>45680</v>
      </c>
      <c r="B852" s="10">
        <v>1806.774780273438</v>
      </c>
      <c r="C852" s="10">
        <v>847.0867919921875</v>
      </c>
      <c r="D852" s="10">
        <v>1525.50146484375</v>
      </c>
      <c r="E852" s="10">
        <v>23205.349609375</v>
      </c>
      <c r="F852" s="10">
        <v>873.7000122070312</v>
      </c>
      <c r="I852" s="15">
        <f>LN(B852/B851)</f>
        <v>0.03277796791771681</v>
      </c>
      <c r="J852" s="15">
        <f>LN(C852/C851)</f>
        <v>0.015301867505531329</v>
      </c>
      <c r="K852" s="15">
        <f>LN(D852/D851)</f>
        <v>0.04696422413589575</v>
      </c>
      <c r="L852" s="15">
        <f>LN(E852/E851)</f>
        <v>0.0021570002277194853</v>
      </c>
      <c r="M852" s="15">
        <f>LN(F852/F851)</f>
        <v>0.009949786657527607</v>
      </c>
      <c r="O852" s="14">
        <v>45694</v>
      </c>
      <c r="P852" s="15">
        <f>I863</f>
        <v>-0.01698836439205081</v>
      </c>
      <c r="Q852" s="15">
        <f>J863</f>
        <v>0.02007607667414952</v>
      </c>
      <c r="R852" s="15">
        <f>K863</f>
        <v>-0.05092185947859827</v>
      </c>
      <c r="S852" s="15">
        <f>L863</f>
        <v>-0.003930316218479903</v>
      </c>
      <c r="T852" s="15">
        <f>M863</f>
        <v>-0.022114056083177926</v>
      </c>
    </row>
    <row r="853" spans="1:20">
      <c r="A853" s="14">
        <v>45681</v>
      </c>
      <c r="B853" s="10">
        <v>1744.080200195312</v>
      </c>
      <c r="C853" s="10">
        <v>807.6990356445312</v>
      </c>
      <c r="D853" s="10">
        <v>1514.369384765625</v>
      </c>
      <c r="E853" s="10">
        <v>23092.19921875</v>
      </c>
      <c r="F853" s="10">
        <v>853.5499877929688</v>
      </c>
      <c r="I853" s="15">
        <f>LN(B853/B852)</f>
        <v>-0.03531605569280634</v>
      </c>
      <c r="J853" s="15">
        <f>LN(C853/C852)</f>
        <v>-0.04761365079189816</v>
      </c>
      <c r="K853" s="15">
        <f>LN(D853/D852)</f>
        <v>-0.007324080785808466</v>
      </c>
      <c r="L853" s="15">
        <f>LN(E853/E852)</f>
        <v>-0.00488797436469754</v>
      </c>
      <c r="M853" s="15">
        <f>LN(F853/F852)</f>
        <v>-0.02333297275042131</v>
      </c>
      <c r="O853" s="14">
        <v>45695</v>
      </c>
      <c r="P853" s="15">
        <f>I864</f>
        <v>0.015017577009210886</v>
      </c>
      <c r="Q853" s="15">
        <f>J864</f>
        <v>0.036721080238283625</v>
      </c>
      <c r="R853" s="15">
        <f>K864</f>
        <v>0.01727386774745423</v>
      </c>
      <c r="S853" s="15">
        <f>L864</f>
        <v>-0.0018404311807618838</v>
      </c>
      <c r="T853" s="15">
        <f>M864</f>
        <v>0.000981220481083589</v>
      </c>
    </row>
    <row r="854" spans="1:20">
      <c r="A854" s="14">
        <v>45684</v>
      </c>
      <c r="B854" s="10">
        <v>1672.8974609375</v>
      </c>
      <c r="C854" s="10">
        <v>666.2020874023438</v>
      </c>
      <c r="D854" s="10">
        <v>1481.572021484375</v>
      </c>
      <c r="E854" s="10">
        <v>22829.150390625</v>
      </c>
      <c r="F854" s="10">
        <v>844.5999755859375</v>
      </c>
      <c r="I854" s="15">
        <f>LN(B854/B853)</f>
        <v>-0.041670181187098636</v>
      </c>
      <c r="J854" s="15">
        <f>LN(C854/C853)</f>
        <v>-0.19259644944350118</v>
      </c>
      <c r="K854" s="15">
        <f>LN(D854/D853)</f>
        <v>-0.021895403882618975</v>
      </c>
      <c r="L854" s="15">
        <f>LN(E854/E853)</f>
        <v>-0.011456619090824587</v>
      </c>
      <c r="M854" s="15">
        <f>LN(F854/F853)</f>
        <v>-0.010540994931500427</v>
      </c>
      <c r="O854" s="14">
        <v>45698</v>
      </c>
      <c r="P854" s="15">
        <f>I865</f>
        <v>-0.009027675944196236</v>
      </c>
      <c r="Q854" s="15">
        <f>J865</f>
        <v>0.023094308515359506</v>
      </c>
      <c r="R854" s="15">
        <f>K865</f>
        <v>-0.0132278134619147</v>
      </c>
      <c r="S854" s="15">
        <f>L865</f>
        <v>-0.0075988318246352615</v>
      </c>
      <c r="T854" s="15">
        <f>M865</f>
        <v>-0.030312082258252368</v>
      </c>
    </row>
    <row r="855" spans="1:20">
      <c r="A855" s="14">
        <v>45685</v>
      </c>
      <c r="B855" s="10">
        <v>1660.884521484375</v>
      </c>
      <c r="C855" s="10">
        <v>532.981689453125</v>
      </c>
      <c r="D855" s="10">
        <v>1511.873413085938</v>
      </c>
      <c r="E855" s="10">
        <v>22957.25</v>
      </c>
      <c r="F855" s="10">
        <v>862.9000244140625</v>
      </c>
      <c r="I855" s="15">
        <f>LN(B855/B854)</f>
        <v>-0.007206824867823059</v>
      </c>
      <c r="J855" s="15">
        <f>LN(C855/C854)</f>
        <v>-0.223105989222235</v>
      </c>
      <c r="K855" s="15">
        <f>LN(D855/D854)</f>
        <v>0.02024585200434563</v>
      </c>
      <c r="L855" s="15">
        <f>LN(E855/E854)</f>
        <v>0.005595545512054291</v>
      </c>
      <c r="M855" s="15">
        <f>LN(F855/F854)</f>
        <v>0.02143572421352162</v>
      </c>
      <c r="O855" s="14">
        <v>45699</v>
      </c>
      <c r="P855" s="15">
        <f>I866</f>
        <v>-0.05905160338965083</v>
      </c>
      <c r="Q855" s="15">
        <f>J866</f>
        <v>-0.06933719829517966</v>
      </c>
      <c r="R855" s="15">
        <f>K866</f>
        <v>-0.028354885743106118</v>
      </c>
      <c r="S855" s="15">
        <f>L866</f>
        <v>-0.013338245144624153</v>
      </c>
      <c r="T855" s="15">
        <f>M866</f>
        <v>-0.031143779785053786</v>
      </c>
    </row>
    <row r="856" spans="1:20">
      <c r="A856" s="14">
        <v>45686</v>
      </c>
      <c r="B856" s="10">
        <v>1706.0068359375</v>
      </c>
      <c r="C856" s="10">
        <v>586.2798461914062</v>
      </c>
      <c r="D856" s="10">
        <v>1554.454956054688</v>
      </c>
      <c r="E856" s="10">
        <v>23163.099609375</v>
      </c>
      <c r="F856" s="10">
        <v>888</v>
      </c>
      <c r="I856" s="15">
        <f>LN(B856/B855)</f>
        <v>0.02680515133377209</v>
      </c>
      <c r="J856" s="15">
        <f>LN(C856/C855)</f>
        <v>0.09531015898315691</v>
      </c>
      <c r="K856" s="15">
        <f>LN(D856/D855)</f>
        <v>0.027775420863753</v>
      </c>
      <c r="L856" s="15">
        <f>LN(E856/E855)</f>
        <v>0.008926687592645893</v>
      </c>
      <c r="M856" s="15">
        <f>LN(F856/F855)</f>
        <v>0.028672905184870694</v>
      </c>
      <c r="O856" s="14">
        <v>45700</v>
      </c>
      <c r="P856" s="15">
        <f>I867</f>
        <v>-0.038569931499016184</v>
      </c>
      <c r="Q856" s="15">
        <f>J867</f>
        <v>-0.018112407008879765</v>
      </c>
      <c r="R856" s="15">
        <f>K867</f>
        <v>0.014637340919628749</v>
      </c>
      <c r="S856" s="15">
        <f>L867</f>
        <v>-0.001151451956867338</v>
      </c>
      <c r="T856" s="15">
        <f>M867</f>
        <v>-0.027786937401873227</v>
      </c>
    </row>
    <row r="857" spans="1:20">
      <c r="A857" s="14">
        <v>45687</v>
      </c>
      <c r="B857" s="10">
        <v>1743.037719726562</v>
      </c>
      <c r="C857" s="10">
        <v>559.8052368164062</v>
      </c>
      <c r="D857" s="10">
        <v>1596.58740234375</v>
      </c>
      <c r="E857" s="10">
        <v>23249.5</v>
      </c>
      <c r="F857" s="10">
        <v>903.7999877929688</v>
      </c>
      <c r="I857" s="15">
        <f>LN(B857/B856)</f>
        <v>0.02147395093713905</v>
      </c>
      <c r="J857" s="15">
        <f>LN(C857/C856)</f>
        <v>-0.04620829697595064</v>
      </c>
      <c r="K857" s="15">
        <f>LN(D857/D856)</f>
        <v>0.026743504284140827</v>
      </c>
      <c r="L857" s="15">
        <f>LN(E857/E856)</f>
        <v>0.003723148074350194</v>
      </c>
      <c r="M857" s="15">
        <f>LN(F857/F856)</f>
        <v>0.017636340478667967</v>
      </c>
      <c r="O857" s="14">
        <v>45701</v>
      </c>
      <c r="P857" s="15">
        <f>I868</f>
        <v>-0.007097003239795387</v>
      </c>
      <c r="Q857" s="15">
        <f>J868</f>
        <v>0.029979726470546492</v>
      </c>
      <c r="R857" s="15">
        <f>K868</f>
        <v>6.250470888673429e-05</v>
      </c>
      <c r="S857" s="15">
        <f>L868</f>
        <v>-0.0006011552347958088</v>
      </c>
      <c r="T857" s="15">
        <f>M868</f>
        <v>0.00806892402565383</v>
      </c>
    </row>
    <row r="858" spans="1:20">
      <c r="A858" s="14">
        <v>45688</v>
      </c>
      <c r="B858" s="10">
        <v>1799.577026367188</v>
      </c>
      <c r="C858" s="10">
        <v>596.6004028320312</v>
      </c>
      <c r="D858" s="10">
        <v>1639.169067382812</v>
      </c>
      <c r="E858" s="10">
        <v>23508.400390625</v>
      </c>
      <c r="F858" s="10">
        <v>921.3499755859376</v>
      </c>
      <c r="I858" s="15">
        <f>LN(B858/B857)</f>
        <v>0.03192224494121213</v>
      </c>
      <c r="J858" s="15">
        <f>LN(C858/C857)</f>
        <v>0.06365861545688027</v>
      </c>
      <c r="K858" s="15">
        <f>LN(D858/D857)</f>
        <v>0.026320969311023706</v>
      </c>
      <c r="L858" s="15">
        <f>LN(E858/E857)</f>
        <v>0.011074194280356322</v>
      </c>
      <c r="M858" s="15">
        <f>LN(F858/F857)</f>
        <v>0.019231875811890464</v>
      </c>
      <c r="O858" s="14">
        <v>45702</v>
      </c>
      <c r="P858" s="15">
        <f>I869</f>
        <v>-0.03626195491831656</v>
      </c>
      <c r="Q858" s="15">
        <f>J869</f>
        <v>-0.07314305303150237</v>
      </c>
      <c r="R858" s="15">
        <f>K869</f>
        <v>-0.01927659944464534</v>
      </c>
      <c r="S858" s="15">
        <f>L869</f>
        <v>-0.00444513112662715</v>
      </c>
      <c r="T858" s="15">
        <f>M869</f>
        <v>-0.017525498491667284</v>
      </c>
    </row>
    <row r="859" spans="1:20">
      <c r="A859" s="14">
        <v>45689</v>
      </c>
      <c r="B859" s="10">
        <v>1830.949096679688</v>
      </c>
      <c r="C859" s="10">
        <v>636.5864868164062</v>
      </c>
      <c r="D859" s="10">
        <v>1761.572631835938</v>
      </c>
      <c r="E859" s="10">
        <v>23482.150390625</v>
      </c>
      <c r="I859" s="15">
        <f>LN(B859/B858)</f>
        <v>0.0172828125384325</v>
      </c>
      <c r="J859" s="15">
        <f>LN(C859/C858)</f>
        <v>0.0648727402109166</v>
      </c>
      <c r="K859" s="15">
        <f>LN(D859/D858)</f>
        <v>0.0720175036885772</v>
      </c>
      <c r="L859" s="15">
        <f>LN(E859/E858)</f>
        <v>-0.001117246011978889</v>
      </c>
      <c r="O859" s="14">
        <v>45705</v>
      </c>
      <c r="P859" s="15">
        <f>I870</f>
        <v>0.012401672989205685</v>
      </c>
      <c r="Q859" s="15">
        <f>J870</f>
        <v>-0.06777844110353903</v>
      </c>
      <c r="R859" s="15">
        <f>K870</f>
        <v>-0.01576451257193174</v>
      </c>
      <c r="S859" s="15">
        <f>L870</f>
        <v>0.001318406118349223</v>
      </c>
      <c r="T859" s="15">
        <f>M870</f>
        <v>0.0001202352207551189</v>
      </c>
    </row>
    <row r="860" spans="1:20">
      <c r="A860" s="14">
        <v>45691</v>
      </c>
      <c r="B860" s="10">
        <v>1790.840454101562</v>
      </c>
      <c r="C860" s="10">
        <v>588.5234375</v>
      </c>
      <c r="D860" s="10">
        <v>1819.180053710938</v>
      </c>
      <c r="E860" s="10">
        <v>23361.05078125</v>
      </c>
      <c r="F860" s="10">
        <v>949.7000122070312</v>
      </c>
      <c r="I860" s="15">
        <f>LN(B860/B859)</f>
        <v>-0.022149427385414155</v>
      </c>
      <c r="J860" s="15">
        <f>LN(C860/C859)</f>
        <v>-0.07850353576858071</v>
      </c>
      <c r="K860" s="15">
        <f>LN(D860/D859)</f>
        <v>0.03217892873907468</v>
      </c>
      <c r="L860" s="15">
        <f>LN(E860/E859)</f>
        <v>-0.005170435671733403</v>
      </c>
      <c r="O860" s="14">
        <v>45706</v>
      </c>
      <c r="P860" s="15">
        <f>I871</f>
        <v>0.00018848678259380868</v>
      </c>
      <c r="Q860" s="15">
        <f>J871</f>
        <v>-0.016413651605960252</v>
      </c>
      <c r="R860" s="15">
        <f>K871</f>
        <v>0.03504111201657716</v>
      </c>
      <c r="S860" s="15">
        <f>L871</f>
        <v>-0.0006186376571162799</v>
      </c>
      <c r="T860" s="15">
        <f>M871</f>
        <v>0.0006011060620258126</v>
      </c>
    </row>
    <row r="861" spans="1:20">
      <c r="A861" s="14">
        <v>45692</v>
      </c>
      <c r="B861" s="10">
        <v>1811.043823242188</v>
      </c>
      <c r="C861" s="10">
        <v>569.9263916015625</v>
      </c>
      <c r="D861" s="10">
        <v>1781.3408203125</v>
      </c>
      <c r="E861" s="10">
        <v>23739.25</v>
      </c>
      <c r="F861" s="10">
        <v>954.9500122070312</v>
      </c>
      <c r="I861" s="15">
        <f>LN(B861/B860)</f>
        <v>0.011218339885061265</v>
      </c>
      <c r="J861" s="15">
        <f>LN(C861/C860)</f>
        <v>-0.03210953678717412</v>
      </c>
      <c r="K861" s="15">
        <f>LN(D861/D860)</f>
        <v>-0.021019529057916143</v>
      </c>
      <c r="L861" s="15">
        <f>LN(E861/E860)</f>
        <v>0.016059657410686868</v>
      </c>
      <c r="M861" s="15">
        <f>LN(F861/F860)</f>
        <v>0.005512837769592137</v>
      </c>
      <c r="O861" s="14">
        <v>45707</v>
      </c>
      <c r="P861" s="15">
        <f>I872</f>
        <v>0.007266773793578075</v>
      </c>
      <c r="Q861" s="15">
        <f>J872</f>
        <v>0.0564455328942486</v>
      </c>
      <c r="R861" s="15">
        <f>K872</f>
        <v>-0.02907206704010816</v>
      </c>
      <c r="S861" s="15">
        <f>L872</f>
        <v>-0.0005405787764224007</v>
      </c>
      <c r="T861" s="15">
        <f>M872</f>
        <v>0.016567750136450708</v>
      </c>
    </row>
    <row r="862" spans="1:20">
      <c r="A862" s="14">
        <v>45693</v>
      </c>
      <c r="B862" s="10">
        <v>1815.263061523438</v>
      </c>
      <c r="C862" s="10">
        <v>582.6900024414062</v>
      </c>
      <c r="D862" s="10">
        <v>1697.275756835938</v>
      </c>
      <c r="E862" s="10">
        <v>23696.30078125</v>
      </c>
      <c r="F862" s="10">
        <v>937.2999877929688</v>
      </c>
      <c r="I862" s="15">
        <f>LN(B862/B861)</f>
        <v>0.002327017717618054</v>
      </c>
      <c r="J862" s="15">
        <f>LN(C862/C861)</f>
        <v>0.022148101753532563</v>
      </c>
      <c r="K862" s="15">
        <f>LN(D862/D861)</f>
        <v>-0.04834188086389877</v>
      </c>
      <c r="L862" s="15">
        <f>LN(E862/E861)</f>
        <v>-0.0018108456539069108</v>
      </c>
      <c r="M862" s="15">
        <f>LN(F862/F861)</f>
        <v>-0.01865560714323605</v>
      </c>
      <c r="O862" s="14">
        <v>45708</v>
      </c>
      <c r="P862" s="15">
        <f>I873</f>
        <v>0.009133264967073326</v>
      </c>
      <c r="Q862" s="15">
        <f>J873</f>
        <v>0.00507721057121345</v>
      </c>
      <c r="R862" s="15">
        <f>K873</f>
        <v>0.02753972891801343</v>
      </c>
      <c r="S862" s="15">
        <f>L873</f>
        <v>-0.0008615791713867465</v>
      </c>
      <c r="T862" s="15">
        <f>M873</f>
        <v>0.011108953699141309</v>
      </c>
    </row>
    <row r="863" spans="1:20">
      <c r="A863" s="14">
        <v>45694</v>
      </c>
      <c r="B863" s="10">
        <v>1784.685180664062</v>
      </c>
      <c r="C863" s="10">
        <v>594.50634765625</v>
      </c>
      <c r="D863" s="10">
        <v>1613.010986328125</v>
      </c>
      <c r="E863" s="10">
        <v>23603.349609375</v>
      </c>
      <c r="F863" s="10">
        <v>916.7999877929688</v>
      </c>
      <c r="I863" s="15">
        <f>LN(B863/B862)</f>
        <v>-0.01698836439205081</v>
      </c>
      <c r="J863" s="15">
        <f>LN(C863/C862)</f>
        <v>0.02007607667414952</v>
      </c>
      <c r="K863" s="15">
        <f>LN(D863/D862)</f>
        <v>-0.05092185947859827</v>
      </c>
      <c r="L863" s="15">
        <f>LN(E863/E862)</f>
        <v>-0.003930316218479903</v>
      </c>
      <c r="M863" s="15">
        <f>LN(F863/F862)</f>
        <v>-0.022114056083177926</v>
      </c>
      <c r="O863" s="14">
        <v>45709</v>
      </c>
      <c r="P863" s="15">
        <f>I874</f>
        <v>-0.02191630991684035</v>
      </c>
      <c r="Q863" s="15">
        <f>J874</f>
        <v>-0.04993726259744827</v>
      </c>
      <c r="R863" s="15">
        <f>K874</f>
        <v>-0.006467607882699075</v>
      </c>
      <c r="S863" s="15">
        <f>L874</f>
        <v>-0.005130286241460248</v>
      </c>
      <c r="T863" s="15">
        <f>M874</f>
        <v>-0.012824488086059597</v>
      </c>
    </row>
    <row r="864" spans="1:20">
      <c r="A864" s="14">
        <v>45695</v>
      </c>
      <c r="B864" s="10">
        <v>1811.689086914062</v>
      </c>
      <c r="C864" s="10">
        <v>616.7430419921875</v>
      </c>
      <c r="D864" s="10">
        <v>1641.115966796875</v>
      </c>
      <c r="E864" s="10">
        <v>23559.94921875</v>
      </c>
      <c r="F864" s="10">
        <v>917.7000122070312</v>
      </c>
      <c r="I864" s="15">
        <f>LN(B864/B863)</f>
        <v>0.015017577009210886</v>
      </c>
      <c r="J864" s="15">
        <f>LN(C864/C863)</f>
        <v>0.036721080238283625</v>
      </c>
      <c r="K864" s="15">
        <f>LN(D864/D863)</f>
        <v>0.01727386774745423</v>
      </c>
      <c r="L864" s="15">
        <f>LN(E864/E863)</f>
        <v>-0.0018404311807618838</v>
      </c>
      <c r="M864" s="15">
        <f>LN(F864/F863)</f>
        <v>0.000981220481083589</v>
      </c>
      <c r="O864" s="14">
        <v>45712</v>
      </c>
      <c r="P864" s="15">
        <f>I875</f>
        <v>0.0011057533741546395</v>
      </c>
      <c r="Q864" s="15">
        <f>J875</f>
        <v>-0.004170734216918046</v>
      </c>
      <c r="R864" s="15">
        <f>K875</f>
        <v>-0.008890341396215093</v>
      </c>
      <c r="S864" s="15">
        <f>L875</f>
        <v>-0.010697116011174177</v>
      </c>
      <c r="T864" s="15">
        <f>M875</f>
        <v>-0.008144354962414564</v>
      </c>
    </row>
    <row r="865" spans="1:20">
      <c r="A865" s="14">
        <v>45698</v>
      </c>
      <c r="B865" s="10">
        <v>1795.407348632812</v>
      </c>
      <c r="C865" s="10">
        <v>631.1520385742188</v>
      </c>
      <c r="D865" s="10">
        <v>1619.550537109375</v>
      </c>
      <c r="E865" s="10">
        <v>23381.599609375</v>
      </c>
      <c r="F865" s="10">
        <v>890.2999877929688</v>
      </c>
      <c r="I865" s="15">
        <f>LN(B865/B864)</f>
        <v>-0.009027675944196236</v>
      </c>
      <c r="J865" s="15">
        <f>LN(C865/C864)</f>
        <v>0.023094308515359506</v>
      </c>
      <c r="K865" s="15">
        <f>LN(D865/D864)</f>
        <v>-0.0132278134619147</v>
      </c>
      <c r="L865" s="15">
        <f>LN(E865/E864)</f>
        <v>-0.0075988318246352615</v>
      </c>
      <c r="M865" s="15">
        <f>LN(F865/F864)</f>
        <v>-0.030312082258252368</v>
      </c>
      <c r="O865" s="14">
        <v>45713</v>
      </c>
      <c r="P865" s="15">
        <f>I876</f>
        <v>-0.025713753963482355</v>
      </c>
      <c r="Q865" s="15">
        <f>J876</f>
        <v>-0.01065143481632077</v>
      </c>
      <c r="R865" s="15">
        <f>K876</f>
        <v>-0.006952024676909023</v>
      </c>
      <c r="S865" s="15">
        <f>L876</f>
        <v>-0.00025714910818764225</v>
      </c>
      <c r="T865" s="15">
        <f>M876</f>
        <v>-0.013218962754350999</v>
      </c>
    </row>
    <row r="866" spans="1:20">
      <c r="A866" s="14">
        <v>45699</v>
      </c>
      <c r="B866" s="10">
        <v>1692.455322265625</v>
      </c>
      <c r="C866" s="10">
        <v>588.8724365234375</v>
      </c>
      <c r="D866" s="10">
        <v>1574.273315429688</v>
      </c>
      <c r="E866" s="10">
        <v>23071.80078125</v>
      </c>
      <c r="F866" s="10">
        <v>863</v>
      </c>
      <c r="I866" s="15">
        <f>LN(B866/B865)</f>
        <v>-0.05905160338965083</v>
      </c>
      <c r="J866" s="15">
        <f>LN(C866/C865)</f>
        <v>-0.06933719829517966</v>
      </c>
      <c r="K866" s="15">
        <f>LN(D866/D865)</f>
        <v>-0.028354885743106118</v>
      </c>
      <c r="L866" s="15">
        <f>LN(E866/E865)</f>
        <v>-0.013338245144624153</v>
      </c>
      <c r="M866" s="15">
        <f>LN(F866/F865)</f>
        <v>-0.031143779785053786</v>
      </c>
      <c r="O866" s="14">
        <v>45715</v>
      </c>
      <c r="P866" s="15">
        <f>I877</f>
        <v>-0.02333707232757305</v>
      </c>
      <c r="Q866" s="15">
        <f>J877</f>
        <v>-0.052540276539185</v>
      </c>
      <c r="R866" s="15">
        <f>K877</f>
        <v>-0.03292104067870769</v>
      </c>
      <c r="S866" s="15">
        <f>L877</f>
        <v>-0.00011088293493540093</v>
      </c>
      <c r="T866" s="15">
        <f>M877</f>
        <v>-0.02114999231614451</v>
      </c>
    </row>
    <row r="867" spans="1:20">
      <c r="A867" s="14">
        <v>45700</v>
      </c>
      <c r="B867" s="10">
        <v>1628.420288085938</v>
      </c>
      <c r="C867" s="10">
        <v>578.3025512695312</v>
      </c>
      <c r="D867" s="10">
        <v>1597.485961914062</v>
      </c>
      <c r="E867" s="10">
        <v>23045.25</v>
      </c>
      <c r="F867" s="10">
        <v>839.3499755859375</v>
      </c>
      <c r="I867" s="15">
        <f>LN(B867/B866)</f>
        <v>-0.038569931499016184</v>
      </c>
      <c r="J867" s="15">
        <f>LN(C867/C866)</f>
        <v>-0.018112407008879765</v>
      </c>
      <c r="K867" s="15">
        <f>LN(D867/D866)</f>
        <v>0.014637340919628749</v>
      </c>
      <c r="L867" s="15">
        <f>LN(E867/E866)</f>
        <v>-0.001151451956867338</v>
      </c>
      <c r="M867" s="15">
        <f>LN(F867/F866)</f>
        <v>-0.027786937401873227</v>
      </c>
      <c r="O867" s="14">
        <v>45716</v>
      </c>
      <c r="P867" s="15">
        <f>I878</f>
        <v>-0.015540511372407414</v>
      </c>
      <c r="Q867" s="15">
        <f>J878</f>
        <v>-0.04154272366449698</v>
      </c>
      <c r="R867" s="15">
        <f>K878</f>
        <v>0.02369429669521229</v>
      </c>
      <c r="S867" s="15">
        <f>L878</f>
        <v>-0.01882096814125905</v>
      </c>
      <c r="T867" s="15">
        <f>M878</f>
        <v>-0.014248119302812251</v>
      </c>
    </row>
    <row r="868" spans="1:20">
      <c r="A868" s="14">
        <v>45701</v>
      </c>
      <c r="B868" s="10">
        <v>1616.904296875</v>
      </c>
      <c r="C868" s="10">
        <v>595.9024047851562</v>
      </c>
      <c r="D868" s="10">
        <v>1597.585815429688</v>
      </c>
      <c r="E868" s="10">
        <v>23031.400390625</v>
      </c>
      <c r="F868" s="10">
        <v>846.1500244140625</v>
      </c>
      <c r="I868" s="15">
        <f>LN(B868/B867)</f>
        <v>-0.007097003239795387</v>
      </c>
      <c r="J868" s="15">
        <f>LN(C868/C867)</f>
        <v>0.029979726470546492</v>
      </c>
      <c r="K868" s="15">
        <f>LN(D868/D867)</f>
        <v>6.250470888673429e-05</v>
      </c>
      <c r="L868" s="15">
        <f>LN(E868/E867)</f>
        <v>-0.0006011552347958088</v>
      </c>
      <c r="M868" s="15">
        <f>LN(F868/F867)</f>
        <v>0.00806892402565383</v>
      </c>
      <c r="O868" s="14">
        <v>45719</v>
      </c>
      <c r="P868" s="15">
        <f>I879</f>
        <v>0.014611551139685142</v>
      </c>
      <c r="Q868" s="15">
        <f>J879</f>
        <v>-0.028352760459579407</v>
      </c>
      <c r="R868" s="15">
        <f>K879</f>
        <v>0.0002260892022739508</v>
      </c>
      <c r="S868" s="15">
        <f>L879</f>
        <v>-0.0002440302652016664</v>
      </c>
      <c r="T868" s="15">
        <f>M879</f>
        <v>0.012516883614771268</v>
      </c>
    </row>
    <row r="869" spans="1:20">
      <c r="A869" s="14">
        <v>45702</v>
      </c>
      <c r="B869" s="10">
        <v>1559.322509765625</v>
      </c>
      <c r="C869" s="10">
        <v>553.8721313476562</v>
      </c>
      <c r="D869" s="10">
        <v>1567.084716796875</v>
      </c>
      <c r="E869" s="10">
        <v>22929.25</v>
      </c>
      <c r="F869" s="10">
        <v>831.4500122070312</v>
      </c>
      <c r="I869" s="15">
        <f>LN(B869/B868)</f>
        <v>-0.03626195491831656</v>
      </c>
      <c r="J869" s="15">
        <f>LN(C869/C868)</f>
        <v>-0.07314305303150237</v>
      </c>
      <c r="K869" s="15">
        <f>LN(D869/D868)</f>
        <v>-0.01927659944464534</v>
      </c>
      <c r="L869" s="15">
        <f>LN(E869/E868)</f>
        <v>-0.00444513112662715</v>
      </c>
      <c r="M869" s="15">
        <f>LN(F869/F868)</f>
        <v>-0.017525498491667284</v>
      </c>
      <c r="O869" s="14">
        <v>45720</v>
      </c>
      <c r="P869" s="15">
        <f>I880</f>
        <v>0.005726034618862695</v>
      </c>
      <c r="Q869" s="15">
        <f>J880</f>
        <v>-0.00033315060547333157</v>
      </c>
      <c r="R869" s="15">
        <f>K880</f>
        <v>0.002225626228080842</v>
      </c>
      <c r="S869" s="15">
        <f>L880</f>
        <v>-0.001658315891150207</v>
      </c>
      <c r="T869" s="15">
        <f>M880</f>
        <v>0.0009896552882066255</v>
      </c>
    </row>
    <row r="870" spans="1:20">
      <c r="A870" s="14">
        <v>45705</v>
      </c>
      <c r="B870" s="10">
        <v>1578.781127929688</v>
      </c>
      <c r="C870" s="10">
        <v>517.5755004882812</v>
      </c>
      <c r="D870" s="10">
        <v>1542.574096679688</v>
      </c>
      <c r="E870" s="10">
        <v>22959.5</v>
      </c>
      <c r="F870" s="10">
        <v>831.5499877929688</v>
      </c>
      <c r="I870" s="15">
        <f>LN(B870/B869)</f>
        <v>0.012401672989205685</v>
      </c>
      <c r="J870" s="15">
        <f>LN(C870/C869)</f>
        <v>-0.06777844110353903</v>
      </c>
      <c r="K870" s="15">
        <f>LN(D870/D869)</f>
        <v>-0.01576451257193174</v>
      </c>
      <c r="L870" s="15">
        <f>LN(E870/E869)</f>
        <v>0.001318406118349223</v>
      </c>
      <c r="M870" s="15">
        <f>LN(F870/F869)</f>
        <v>0.0001202352207551189</v>
      </c>
      <c r="O870" s="14">
        <v>45721</v>
      </c>
      <c r="P870" s="15">
        <f>I881</f>
        <v>0.035245911657071125</v>
      </c>
      <c r="Q870" s="15">
        <f>J881</f>
        <v>0.028793921177678868</v>
      </c>
      <c r="R870" s="15">
        <f>K881</f>
        <v>0.01702672014787071</v>
      </c>
      <c r="S870" s="15">
        <f>L881</f>
        <v>0.01146571185468711</v>
      </c>
      <c r="T870" s="15">
        <f>M881</f>
        <v>0.022979667820630937</v>
      </c>
    </row>
    <row r="871" spans="1:20">
      <c r="A871" s="14">
        <v>45706</v>
      </c>
      <c r="B871" s="10">
        <v>1579.078735351562</v>
      </c>
      <c r="C871" s="10">
        <v>509.1495361328125</v>
      </c>
      <c r="D871" s="10">
        <v>1597.585815429688</v>
      </c>
      <c r="E871" s="10">
        <v>22945.30078125</v>
      </c>
      <c r="F871" s="10">
        <v>832.0499877929688</v>
      </c>
      <c r="I871" s="15">
        <f>LN(B871/B870)</f>
        <v>0.00018848678259380868</v>
      </c>
      <c r="J871" s="15">
        <f>LN(C871/C870)</f>
        <v>-0.016413651605960252</v>
      </c>
      <c r="K871" s="15">
        <f>LN(D871/D870)</f>
        <v>0.03504111201657716</v>
      </c>
      <c r="L871" s="15">
        <f>LN(E871/E870)</f>
        <v>-0.0006186376571162799</v>
      </c>
      <c r="M871" s="15">
        <f>LN(F871/F870)</f>
        <v>0.0006011060620258126</v>
      </c>
      <c r="O871" s="14">
        <v>45722</v>
      </c>
      <c r="P871" s="15">
        <f>I882</f>
        <v>-0.0027436269310197542</v>
      </c>
      <c r="Q871" s="15">
        <f>J882</f>
        <v>0.0019406733837833117</v>
      </c>
      <c r="R871" s="15">
        <f>K882</f>
        <v>-0.0018388394176295376</v>
      </c>
      <c r="S871" s="15">
        <f>L882</f>
        <v>0.00924200854408832</v>
      </c>
      <c r="T871" s="15">
        <f>M882</f>
        <v>-0.0016931289871319783</v>
      </c>
    </row>
    <row r="872" spans="1:20">
      <c r="A872" s="14">
        <v>45707</v>
      </c>
      <c r="B872" s="10">
        <v>1590.595336914062</v>
      </c>
      <c r="C872" s="10">
        <v>538.71533203125</v>
      </c>
      <c r="D872" s="10">
        <v>1551.809326171875</v>
      </c>
      <c r="E872" s="10">
        <v>22932.900390625</v>
      </c>
      <c r="F872" s="10">
        <v>845.9500122070312</v>
      </c>
      <c r="I872" s="15">
        <f>LN(B872/B871)</f>
        <v>0.007266773793578075</v>
      </c>
      <c r="J872" s="15">
        <f>LN(C872/C871)</f>
        <v>0.0564455328942486</v>
      </c>
      <c r="K872" s="15">
        <f>LN(D872/D871)</f>
        <v>-0.02907206704010816</v>
      </c>
      <c r="L872" s="15">
        <f>LN(E872/E871)</f>
        <v>-0.0005405787764224007</v>
      </c>
      <c r="M872" s="15">
        <f>LN(F872/F871)</f>
        <v>0.016567750136450708</v>
      </c>
      <c r="O872" s="14">
        <v>45723</v>
      </c>
      <c r="P872" s="15">
        <f>I883</f>
        <v>-0.014091916562712272</v>
      </c>
      <c r="Q872" s="15">
        <f>J883</f>
        <v>0.07668973581136791</v>
      </c>
      <c r="R872" s="15">
        <f>K883</f>
        <v>-0.009885951971052973</v>
      </c>
      <c r="S872" s="15">
        <f>L883</f>
        <v>0.00034595413741610534</v>
      </c>
      <c r="T872" s="15">
        <f>M883</f>
        <v>-0.011933229982803013</v>
      </c>
    </row>
    <row r="873" spans="1:20">
      <c r="A873" s="14">
        <v>45708</v>
      </c>
      <c r="B873" s="10">
        <v>1605.189208984375</v>
      </c>
      <c r="C873" s="10">
        <v>541.4574584960938</v>
      </c>
      <c r="D873" s="10">
        <v>1595.1396484375</v>
      </c>
      <c r="E873" s="10">
        <v>22913.150390625</v>
      </c>
      <c r="F873" s="10">
        <v>855.4000244140625</v>
      </c>
      <c r="I873" s="15">
        <f>LN(B873/B872)</f>
        <v>0.009133264967073326</v>
      </c>
      <c r="J873" s="15">
        <f>LN(C873/C872)</f>
        <v>0.00507721057121345</v>
      </c>
      <c r="K873" s="15">
        <f>LN(D873/D872)</f>
        <v>0.02753972891801343</v>
      </c>
      <c r="L873" s="15">
        <f>LN(E873/E872)</f>
        <v>-0.0008615791713867465</v>
      </c>
      <c r="M873" s="15">
        <f>LN(F873/F872)</f>
        <v>0.011108953699141309</v>
      </c>
      <c r="O873" s="14">
        <v>45726</v>
      </c>
      <c r="P873" s="15">
        <f>I884</f>
        <v>-0.012454535643740345</v>
      </c>
      <c r="Q873" s="15">
        <f>J884</f>
        <v>-0.030488036946043934</v>
      </c>
      <c r="R873" s="15">
        <f>K884</f>
        <v>-0.0054309079028406395</v>
      </c>
      <c r="S873" s="15">
        <f>L884</f>
        <v>-0.004096583464717347</v>
      </c>
      <c r="T873" s="15">
        <f>M884</f>
        <v>-0.020606482063448815</v>
      </c>
    </row>
    <row r="874" spans="1:20">
      <c r="A874" s="14">
        <v>45709</v>
      </c>
      <c r="B874" s="10">
        <v>1570.39208984375</v>
      </c>
      <c r="C874" s="10">
        <v>515.0825805664062</v>
      </c>
      <c r="D874" s="10">
        <v>1584.856201171875</v>
      </c>
      <c r="E874" s="10">
        <v>22795.900390625</v>
      </c>
      <c r="F874" s="10">
        <v>844.5</v>
      </c>
      <c r="I874" s="15">
        <f>LN(B874/B873)</f>
        <v>-0.02191630991684035</v>
      </c>
      <c r="J874" s="15">
        <f>LN(C874/C873)</f>
        <v>-0.04993726259744827</v>
      </c>
      <c r="K874" s="15">
        <f>LN(D874/D873)</f>
        <v>-0.006467607882699075</v>
      </c>
      <c r="L874" s="15">
        <f>LN(E874/E873)</f>
        <v>-0.005130286241460248</v>
      </c>
      <c r="M874" s="15">
        <f>LN(F874/F873)</f>
        <v>-0.012824488086059597</v>
      </c>
      <c r="O874" s="14">
        <v>45727</v>
      </c>
      <c r="P874" s="15">
        <f>I885</f>
        <v>0.0370656096908648</v>
      </c>
      <c r="Q874" s="15">
        <f>J885</f>
        <v>0.05336865818232301</v>
      </c>
      <c r="R874" s="15">
        <f>K885</f>
        <v>0.06556714856156752</v>
      </c>
      <c r="S874" s="15">
        <f>L885</f>
        <v>0.0016726478000064651</v>
      </c>
      <c r="T874" s="15">
        <f>M885</f>
        <v>0.03562154998297753</v>
      </c>
    </row>
    <row r="875" spans="1:20">
      <c r="A875" s="14">
        <v>45712</v>
      </c>
      <c r="B875" s="10">
        <v>1572.129516601562</v>
      </c>
      <c r="C875" s="10">
        <v>512.9387817382812</v>
      </c>
      <c r="D875" s="10">
        <v>1570.828735351562</v>
      </c>
      <c r="E875" s="10">
        <v>22553.349609375</v>
      </c>
      <c r="F875" s="10">
        <v>837.6500244140625</v>
      </c>
      <c r="I875" s="15">
        <f>LN(B875/B874)</f>
        <v>0.0011057533741546395</v>
      </c>
      <c r="J875" s="15">
        <f>LN(C875/C874)</f>
        <v>-0.004170734216918046</v>
      </c>
      <c r="K875" s="15">
        <f>LN(D875/D874)</f>
        <v>-0.008890341396215093</v>
      </c>
      <c r="L875" s="15">
        <f>LN(E875/E874)</f>
        <v>-0.010697116011174177</v>
      </c>
      <c r="M875" s="15">
        <f>LN(F875/F874)</f>
        <v>-0.008144354962414564</v>
      </c>
      <c r="O875" s="14">
        <v>45728</v>
      </c>
      <c r="P875" s="15">
        <f>I886</f>
        <v>-0.006851908410643088</v>
      </c>
      <c r="Q875" s="15">
        <f>J886</f>
        <v>-0.03049133248191628</v>
      </c>
      <c r="R875" s="15">
        <f>K886</f>
        <v>-0.03397755006543763</v>
      </c>
      <c r="S875" s="15">
        <f>L886</f>
        <v>-0.001218651042867137</v>
      </c>
      <c r="T875" s="15">
        <f>M886</f>
        <v>-0.016608776510069815</v>
      </c>
    </row>
    <row r="876" spans="1:20">
      <c r="A876" s="14">
        <v>45713</v>
      </c>
      <c r="B876" s="10">
        <v>1532.219482421875</v>
      </c>
      <c r="C876" s="10">
        <v>507.5042419433594</v>
      </c>
      <c r="D876" s="10">
        <v>1559.946166992188</v>
      </c>
      <c r="E876" s="10">
        <v>22547.55078125</v>
      </c>
      <c r="F876" s="10">
        <v>826.6500244140625</v>
      </c>
      <c r="I876" s="15">
        <f>LN(B876/B875)</f>
        <v>-0.025713753963482355</v>
      </c>
      <c r="J876" s="15">
        <f>LN(C876/C875)</f>
        <v>-0.01065143481632077</v>
      </c>
      <c r="K876" s="15">
        <f>LN(D876/D875)</f>
        <v>-0.006952024676909023</v>
      </c>
      <c r="L876" s="15">
        <f>LN(E876/E875)</f>
        <v>-0.00025714910818764225</v>
      </c>
      <c r="M876" s="15">
        <f>LN(F876/F875)</f>
        <v>-0.013218962754350999</v>
      </c>
      <c r="O876" s="14">
        <v>45729</v>
      </c>
      <c r="P876" s="15">
        <f>I887</f>
        <v>-0.024032349190000003</v>
      </c>
      <c r="Q876" s="15">
        <f>J887</f>
        <v>-0.013867310054576193</v>
      </c>
      <c r="R876" s="15">
        <f>K887</f>
        <v>-0.023374384420257178</v>
      </c>
      <c r="S876" s="15">
        <f>L887</f>
        <v>-0.00326742167482874</v>
      </c>
      <c r="T876" s="15">
        <f>M887</f>
        <v>-0.01845020547140916</v>
      </c>
    </row>
    <row r="877" spans="1:20">
      <c r="A877" s="14">
        <v>45715</v>
      </c>
      <c r="B877" s="10">
        <v>1496.8759765625</v>
      </c>
      <c r="C877" s="10">
        <v>481.5281982421875</v>
      </c>
      <c r="D877" s="10">
        <v>1509.42724609375</v>
      </c>
      <c r="E877" s="10">
        <v>22545.05078125</v>
      </c>
      <c r="F877" s="10">
        <v>809.3499755859375</v>
      </c>
      <c r="I877" s="15">
        <f>LN(B877/B876)</f>
        <v>-0.02333707232757305</v>
      </c>
      <c r="J877" s="15">
        <f>LN(C877/C876)</f>
        <v>-0.052540276539185</v>
      </c>
      <c r="K877" s="15">
        <f>LN(D877/D876)</f>
        <v>-0.03292104067870769</v>
      </c>
      <c r="L877" s="15">
        <f>LN(E877/E876)</f>
        <v>-0.00011088293493540093</v>
      </c>
      <c r="M877" s="15">
        <f>LN(F877/F876)</f>
        <v>-0.02114999231614451</v>
      </c>
      <c r="O877" s="14">
        <v>45733</v>
      </c>
      <c r="P877" s="15">
        <f>I888</f>
        <v>-0.008546474881066383</v>
      </c>
      <c r="Q877" s="15">
        <f>J888</f>
        <v>0.0005094567709387815</v>
      </c>
      <c r="R877" s="15">
        <f>K888</f>
        <v>-0.0026561039179699548</v>
      </c>
      <c r="S877" s="15">
        <f>L888</f>
        <v>0.004968206335327962</v>
      </c>
      <c r="T877" s="15">
        <f>M888</f>
        <v>-0.003819129798585683</v>
      </c>
    </row>
    <row r="878" spans="1:20">
      <c r="A878" s="14">
        <v>45716</v>
      </c>
      <c r="B878" s="10">
        <v>1473.793579101562</v>
      </c>
      <c r="C878" s="10">
        <v>461.9340209960938</v>
      </c>
      <c r="D878" s="10">
        <v>1545.619140625</v>
      </c>
      <c r="E878" s="10">
        <v>22124.69921875</v>
      </c>
      <c r="F878" s="10">
        <v>797.9000244140625</v>
      </c>
      <c r="I878" s="15">
        <f>LN(B878/B877)</f>
        <v>-0.015540511372407414</v>
      </c>
      <c r="J878" s="15">
        <f>LN(C878/C877)</f>
        <v>-0.04154272366449698</v>
      </c>
      <c r="K878" s="15">
        <f>LN(D878/D877)</f>
        <v>0.02369429669521229</v>
      </c>
      <c r="L878" s="15">
        <f>LN(E878/E877)</f>
        <v>-0.01882096814125905</v>
      </c>
      <c r="M878" s="15">
        <f>LN(F878/F877)</f>
        <v>-0.014248119302812251</v>
      </c>
      <c r="O878" s="14">
        <v>45734</v>
      </c>
      <c r="P878" s="15">
        <f>I889</f>
        <v>0.0</v>
      </c>
      <c r="Q878" s="15">
        <f>J889</f>
        <v>0.0</v>
      </c>
      <c r="R878" s="15">
        <f>K889</f>
        <v>0.0</v>
      </c>
      <c r="S878" s="15">
        <f>L889</f>
        <v>0.014359703182661372</v>
      </c>
      <c r="T878" s="15">
        <f>M889</f>
        <v>0.03112516632659443</v>
      </c>
    </row>
    <row r="879" spans="1:20">
      <c r="A879" s="14">
        <v>45719</v>
      </c>
      <c r="B879" s="10">
        <v>1495.486083984375</v>
      </c>
      <c r="C879" s="10">
        <v>449.0208435058594</v>
      </c>
      <c r="D879" s="10">
        <v>1545.968627929688</v>
      </c>
      <c r="E879" s="10">
        <v>22119.30078125</v>
      </c>
      <c r="F879" s="10">
        <v>807.9500122070312</v>
      </c>
      <c r="I879" s="15">
        <f>LN(B879/B878)</f>
        <v>0.014611551139685142</v>
      </c>
      <c r="J879" s="15">
        <f>LN(C879/C878)</f>
        <v>-0.028352760459579407</v>
      </c>
      <c r="K879" s="15">
        <f>LN(D879/D878)</f>
        <v>0.0002260892022739508</v>
      </c>
      <c r="L879" s="15">
        <f>LN(E879/E878)</f>
        <v>-0.0002440302652016664</v>
      </c>
      <c r="M879" s="15">
        <f>LN(F879/F878)</f>
        <v>0.012516883614771268</v>
      </c>
      <c r="O879" s="14">
        <v>45735</v>
      </c>
      <c r="P879" s="15">
        <f>I890</f>
        <v>0.05986428421371941</v>
      </c>
      <c r="Q879" s="15">
        <f>J890</f>
        <v>0.06488236531957725</v>
      </c>
      <c r="R879" s="15">
        <f>K890</f>
        <v>-0.0030167137991686187</v>
      </c>
      <c r="S879" s="15">
        <f>L890</f>
        <v>0.0032048904937790478</v>
      </c>
      <c r="T879" s="15">
        <f>M890</f>
        <v>0.02764543677069101</v>
      </c>
    </row>
    <row r="880" spans="1:20">
      <c r="A880" s="14">
        <v>45720</v>
      </c>
      <c r="B880" s="10">
        <v>1504.073852539062</v>
      </c>
      <c r="C880" s="10">
        <v>448.8712768554687</v>
      </c>
      <c r="D880" s="10">
        <v>1549.413208007812</v>
      </c>
      <c r="E880" s="10">
        <v>22082.650390625</v>
      </c>
      <c r="F880" s="10">
        <v>808.75</v>
      </c>
      <c r="I880" s="15">
        <f>LN(B880/B879)</f>
        <v>0.005726034618862695</v>
      </c>
      <c r="J880" s="15">
        <f>LN(C880/C879)</f>
        <v>-0.00033315060547333157</v>
      </c>
      <c r="K880" s="15">
        <f>LN(D880/D879)</f>
        <v>0.002225626228080842</v>
      </c>
      <c r="L880" s="15">
        <f>LN(E880/E879)</f>
        <v>-0.001658315891150207</v>
      </c>
      <c r="M880" s="15">
        <f>LN(F880/F879)</f>
        <v>0.0009896552882066255</v>
      </c>
      <c r="O880" s="14">
        <v>45736</v>
      </c>
      <c r="P880" s="15">
        <f>I891</f>
        <v>0.0174402708815991</v>
      </c>
      <c r="Q880" s="15">
        <f>J891</f>
        <v>-0.0058409411152814126</v>
      </c>
      <c r="R880" s="15">
        <f>K891</f>
        <v>0.04299878189849765</v>
      </c>
      <c r="S880" s="15">
        <f>L891</f>
        <v>0.012280480863664548</v>
      </c>
      <c r="T880" s="15">
        <f>M891</f>
        <v>0.010648782877885739</v>
      </c>
    </row>
    <row r="881" spans="1:20">
      <c r="A881" s="14">
        <v>45721</v>
      </c>
      <c r="B881" s="10">
        <v>1558.031616210938</v>
      </c>
      <c r="C881" s="10">
        <v>461.9839172363281</v>
      </c>
      <c r="D881" s="10">
        <v>1576.0205078125</v>
      </c>
      <c r="E881" s="10">
        <v>22337.30078125</v>
      </c>
      <c r="F881" s="10">
        <v>827.5499877929688</v>
      </c>
      <c r="I881" s="15">
        <f>LN(B881/B880)</f>
        <v>0.035245911657071125</v>
      </c>
      <c r="J881" s="15">
        <f>LN(C881/C880)</f>
        <v>0.028793921177678868</v>
      </c>
      <c r="K881" s="15">
        <f>LN(D881/D880)</f>
        <v>0.01702672014787071</v>
      </c>
      <c r="L881" s="15">
        <f>LN(E881/E880)</f>
        <v>0.01146571185468711</v>
      </c>
      <c r="M881" s="15">
        <f>LN(F881/F880)</f>
        <v>0.022979667820630937</v>
      </c>
      <c r="O881" s="14">
        <v>45737</v>
      </c>
      <c r="P881" s="15">
        <f>I892</f>
        <v>0.005978408343992595</v>
      </c>
      <c r="Q881" s="15">
        <f>J892</f>
        <v>0.03713894015420236</v>
      </c>
      <c r="R881" s="15">
        <f>K892</f>
        <v>0.025623372313894176</v>
      </c>
      <c r="S881" s="15">
        <f>L892</f>
        <v>0.0068649342763162065</v>
      </c>
      <c r="T881" s="15">
        <f>M892</f>
        <v>0.009725465197671484</v>
      </c>
    </row>
    <row r="882" spans="1:20">
      <c r="A882" s="14">
        <v>45722</v>
      </c>
      <c r="B882" s="10">
        <v>1553.762817382812</v>
      </c>
      <c r="C882" s="10">
        <v>462.88134765625</v>
      </c>
      <c r="D882" s="10">
        <v>1573.125122070312</v>
      </c>
      <c r="E882" s="10">
        <v>22544.69921875</v>
      </c>
      <c r="F882" s="10">
        <v>826.1500244140625</v>
      </c>
      <c r="I882" s="15">
        <f>LN(B882/B881)</f>
        <v>-0.0027436269310197542</v>
      </c>
      <c r="J882" s="15">
        <f>LN(C882/C881)</f>
        <v>0.0019406733837833117</v>
      </c>
      <c r="K882" s="15">
        <f>LN(D882/D881)</f>
        <v>-0.0018388394176295376</v>
      </c>
      <c r="L882" s="15">
        <f>LN(E882/E881)</f>
        <v>0.00924200854408832</v>
      </c>
      <c r="M882" s="15">
        <f>LN(F882/F881)</f>
        <v>-0.0016931289871319783</v>
      </c>
      <c r="O882" s="14">
        <v>45740</v>
      </c>
      <c r="P882" s="15">
        <f>I893</f>
        <v>0.013553847551542764</v>
      </c>
      <c r="Q882" s="15">
        <f>J893</f>
        <v>-0.0012962715198039144</v>
      </c>
      <c r="R882" s="15">
        <f>K893</f>
        <v>0.009259840104600838</v>
      </c>
      <c r="S882" s="15">
        <f>L893</f>
        <v>0.013101970335000056</v>
      </c>
      <c r="T882" s="15">
        <f>M893</f>
        <v>0.015184063639480798</v>
      </c>
    </row>
    <row r="883" spans="1:20">
      <c r="A883" s="14">
        <v>45723</v>
      </c>
      <c r="B883" s="10">
        <v>1532.020874023438</v>
      </c>
      <c r="C883" s="10">
        <v>499.7762451171875</v>
      </c>
      <c r="D883" s="10">
        <v>1557.64990234375</v>
      </c>
      <c r="E883" s="10">
        <v>22552.5</v>
      </c>
      <c r="F883" s="10">
        <v>816.3499755859375</v>
      </c>
      <c r="I883" s="15">
        <f>LN(B883/B882)</f>
        <v>-0.014091916562712272</v>
      </c>
      <c r="J883" s="15">
        <f>LN(C883/C882)</f>
        <v>0.07668973581136791</v>
      </c>
      <c r="K883" s="15">
        <f>LN(D883/D882)</f>
        <v>-0.009885951971052973</v>
      </c>
      <c r="L883" s="15">
        <f>LN(E883/E882)</f>
        <v>0.00034595413741610534</v>
      </c>
      <c r="M883" s="15">
        <f>LN(F883/F882)</f>
        <v>-0.011933229982803013</v>
      </c>
      <c r="O883" s="14">
        <v>45741</v>
      </c>
      <c r="P883" s="15">
        <f>I894</f>
        <v>-0.026527113070942333</v>
      </c>
      <c r="Q883" s="15">
        <f>J894</f>
        <v>-0.03220016385191765</v>
      </c>
      <c r="R883" s="15">
        <f>K894</f>
        <v>-0.014585641839030248</v>
      </c>
      <c r="S883" s="15">
        <f>L894</f>
        <v>0.0004353025297464832</v>
      </c>
      <c r="T883" s="15">
        <f>M894</f>
        <v>-0.014662597532066276</v>
      </c>
    </row>
    <row r="884" spans="1:20">
      <c r="A884" s="14">
        <v>45726</v>
      </c>
      <c r="B884" s="10">
        <v>1513.05859375</v>
      </c>
      <c r="C884" s="10">
        <v>484.7689819335938</v>
      </c>
      <c r="D884" s="10">
        <v>1549.21337890625</v>
      </c>
      <c r="E884" s="10">
        <v>22460.30078125</v>
      </c>
      <c r="F884" s="10">
        <v>799.7000122070312</v>
      </c>
      <c r="I884" s="15">
        <f>LN(B884/B883)</f>
        <v>-0.012454535643740345</v>
      </c>
      <c r="J884" s="15">
        <f>LN(C884/C883)</f>
        <v>-0.030488036946043934</v>
      </c>
      <c r="K884" s="15">
        <f>LN(D884/D883)</f>
        <v>-0.0054309079028406395</v>
      </c>
      <c r="L884" s="15">
        <f>LN(E884/E883)</f>
        <v>-0.004096583464717347</v>
      </c>
      <c r="M884" s="15">
        <f>LN(F884/F883)</f>
        <v>-0.020606482063448815</v>
      </c>
      <c r="O884" s="14">
        <v>45742</v>
      </c>
      <c r="P884" s="15">
        <f>I895</f>
        <v>-0.007075102291107178</v>
      </c>
      <c r="Q884" s="15">
        <f>J895</f>
        <v>-0.04761862821493568</v>
      </c>
      <c r="R884" s="15">
        <f>K895</f>
        <v>-0.009548836262423607</v>
      </c>
      <c r="S884" s="15">
        <f>L895</f>
        <v>-0.007710730752587225</v>
      </c>
      <c r="T884" s="15">
        <f>M895</f>
        <v>-0.013001231858786377</v>
      </c>
    </row>
    <row r="885" spans="1:20">
      <c r="A885" s="14">
        <v>45727</v>
      </c>
      <c r="B885" s="10">
        <v>1570.193359375</v>
      </c>
      <c r="C885" s="10">
        <v>511.34326171875</v>
      </c>
      <c r="D885" s="10">
        <v>1654.194946289062</v>
      </c>
      <c r="E885" s="10">
        <v>22497.900390625</v>
      </c>
      <c r="F885" s="10">
        <v>828.7000122070312</v>
      </c>
      <c r="I885" s="15">
        <f>LN(B885/B884)</f>
        <v>0.0370656096908648</v>
      </c>
      <c r="J885" s="15">
        <f>LN(C885/C884)</f>
        <v>0.05336865818232301</v>
      </c>
      <c r="K885" s="15">
        <f>LN(D885/D884)</f>
        <v>0.06556714856156752</v>
      </c>
      <c r="L885" s="15">
        <f>LN(E885/E884)</f>
        <v>0.0016726478000064651</v>
      </c>
      <c r="M885" s="15">
        <f>LN(F885/F884)</f>
        <v>0.03562154998297753</v>
      </c>
      <c r="O885" s="14">
        <v>45743</v>
      </c>
      <c r="P885" s="15">
        <f>I896</f>
        <v>0.014313575921417018</v>
      </c>
      <c r="Q885" s="15">
        <f>J896</f>
        <v>0.023014664063217106</v>
      </c>
      <c r="R885" s="15">
        <f>K896</f>
        <v>0.011598178372541687</v>
      </c>
      <c r="S885" s="15">
        <f>L896</f>
        <v>0.004464845602965276</v>
      </c>
      <c r="T885" s="15">
        <f>M896</f>
        <v>0.013406589427316398</v>
      </c>
    </row>
    <row r="886" spans="1:20">
      <c r="A886" s="14">
        <v>45728</v>
      </c>
      <c r="B886" s="10">
        <v>1559.471313476562</v>
      </c>
      <c r="C886" s="10">
        <v>495.9870300292969</v>
      </c>
      <c r="D886" s="10">
        <v>1598.93359375</v>
      </c>
      <c r="E886" s="10">
        <v>22470.5</v>
      </c>
      <c r="F886" s="10">
        <v>815.0499877929688</v>
      </c>
      <c r="I886" s="15">
        <f>LN(B886/B885)</f>
        <v>-0.006851908410643088</v>
      </c>
      <c r="J886" s="15">
        <f>LN(C886/C885)</f>
        <v>-0.03049133248191628</v>
      </c>
      <c r="K886" s="15">
        <f>LN(D886/D885)</f>
        <v>-0.03397755006543763</v>
      </c>
      <c r="L886" s="15">
        <f>LN(E886/E885)</f>
        <v>-0.001218651042867137</v>
      </c>
      <c r="M886" s="15">
        <f>LN(F886/F885)</f>
        <v>-0.016608776510069815</v>
      </c>
      <c r="O886" s="14">
        <v>45744</v>
      </c>
      <c r="P886" s="15">
        <f>I897</f>
        <v>-0.0034447280644638164</v>
      </c>
      <c r="Q886" s="15">
        <f>J897</f>
        <v>-0.03645123346306832</v>
      </c>
      <c r="R886" s="15">
        <f>K897</f>
        <v>-0.010532682675031328</v>
      </c>
      <c r="S886" s="15">
        <f>L897</f>
        <v>-0.003082049047667123</v>
      </c>
      <c r="T886" s="15">
        <f>M897</f>
        <v>-0.014287207103328727</v>
      </c>
    </row>
    <row r="887" spans="1:20">
      <c r="A887" s="14">
        <v>45729</v>
      </c>
      <c r="B887" s="10">
        <v>1522.440307617188</v>
      </c>
      <c r="C887" s="10">
        <v>489.156494140625</v>
      </c>
      <c r="D887" s="10">
        <v>1561.992919921875</v>
      </c>
      <c r="E887" s="10">
        <v>22397.19921875</v>
      </c>
      <c r="F887" s="10">
        <v>800.1500244140625</v>
      </c>
      <c r="I887" s="15">
        <f>LN(B887/B886)</f>
        <v>-0.024032349190000003</v>
      </c>
      <c r="J887" s="15">
        <f>LN(C887/C886)</f>
        <v>-0.013867310054576193</v>
      </c>
      <c r="K887" s="15">
        <f>LN(D887/D886)</f>
        <v>-0.023374384420257178</v>
      </c>
      <c r="L887" s="15">
        <f>LN(E887/E886)</f>
        <v>-0.00326742167482874</v>
      </c>
      <c r="M887" s="15">
        <f>LN(F887/F886)</f>
        <v>-0.01845020547140916</v>
      </c>
      <c r="O887" s="14">
        <v>45748</v>
      </c>
      <c r="P887" s="15">
        <f>I898</f>
        <v>-0.03952133410236872</v>
      </c>
      <c r="Q887" s="15">
        <f>J898</f>
        <v>-0.029415431359384438</v>
      </c>
      <c r="R887" s="15">
        <f>K898</f>
        <v>-0.02601556489896467</v>
      </c>
      <c r="S887" s="15">
        <f>L898</f>
        <v>-0.015150767296533939</v>
      </c>
      <c r="T887" s="15">
        <f>M898</f>
        <v>-0.0315630565269803</v>
      </c>
    </row>
    <row r="888" spans="1:20">
      <c r="A888" s="14">
        <v>45733</v>
      </c>
      <c r="B888" s="10">
        <v>1509.484252929688</v>
      </c>
      <c r="C888" s="10">
        <v>489.40576171875</v>
      </c>
      <c r="D888" s="10">
        <v>1557.849609375</v>
      </c>
      <c r="E888" s="10">
        <v>22508.75</v>
      </c>
      <c r="F888" s="10">
        <v>797.0999755859375</v>
      </c>
      <c r="I888" s="15">
        <f>LN(B888/B887)</f>
        <v>-0.008546474881066383</v>
      </c>
      <c r="J888" s="15">
        <f>LN(C888/C887)</f>
        <v>0.0005094567709387815</v>
      </c>
      <c r="K888" s="15">
        <f>LN(D888/D887)</f>
        <v>-0.0026561039179699548</v>
      </c>
      <c r="L888" s="15">
        <f>LN(E888/E887)</f>
        <v>0.004968206335327962</v>
      </c>
      <c r="M888" s="15">
        <f>LN(F888/F887)</f>
        <v>-0.003819129798585683</v>
      </c>
      <c r="O888" s="14">
        <v>45749</v>
      </c>
      <c r="P888" s="15">
        <f>I899</f>
        <v>0.029578202377560762</v>
      </c>
      <c r="Q888" s="15">
        <f>J899</f>
        <v>0.019192520684123953</v>
      </c>
      <c r="R888" s="15">
        <f>K899</f>
        <v>0.028294901217643425</v>
      </c>
      <c r="S888" s="15">
        <f>L899</f>
        <v>0.007168090205371445</v>
      </c>
      <c r="T888" s="15">
        <f>M899</f>
        <v>0.03549053494468095</v>
      </c>
    </row>
    <row r="889" spans="1:20">
      <c r="A889" s="14">
        <v>45734</v>
      </c>
      <c r="B889" s="10">
        <v>1509.484252929688</v>
      </c>
      <c r="C889" s="10">
        <v>489.40576171875</v>
      </c>
      <c r="D889" s="10">
        <v>1557.849609375</v>
      </c>
      <c r="E889" s="10">
        <v>22834.30078125</v>
      </c>
      <c r="F889" s="10">
        <v>822.2999877929688</v>
      </c>
      <c r="I889" s="15">
        <f>LN(B889/B888)</f>
        <v>0.0</v>
      </c>
      <c r="J889" s="15">
        <f>LN(C889/C888)</f>
        <v>0.0</v>
      </c>
      <c r="K889" s="15">
        <f>LN(D889/D888)</f>
        <v>0.0</v>
      </c>
      <c r="L889" s="15">
        <f>LN(E889/E888)</f>
        <v>0.014359703182661372</v>
      </c>
      <c r="M889" s="15">
        <f>LN(F889/F888)</f>
        <v>0.03112516632659443</v>
      </c>
      <c r="O889" s="14">
        <v>45750</v>
      </c>
      <c r="P889" s="15">
        <f>I900</f>
        <v>-0.018803701811237757</v>
      </c>
      <c r="Q889" s="15">
        <f>J900</f>
        <v>-0.0046346719605491055</v>
      </c>
      <c r="R889" s="15">
        <f>K900</f>
        <v>-0.009853814922920586</v>
      </c>
      <c r="S889" s="15">
        <f>L900</f>
        <v>-0.003531376595912815</v>
      </c>
      <c r="T889" s="15">
        <f>M900</f>
        <v>-0.0009950969418637918</v>
      </c>
    </row>
    <row r="890" spans="1:20">
      <c r="A890" s="14">
        <v>45735</v>
      </c>
      <c r="B890" s="10">
        <v>1602.608032226562</v>
      </c>
      <c r="C890" s="10">
        <v>522.2123413085938</v>
      </c>
      <c r="D890" s="10">
        <v>1553.157104492188</v>
      </c>
      <c r="E890" s="10">
        <v>22907.599609375</v>
      </c>
      <c r="F890" s="10">
        <v>845.3499755859375</v>
      </c>
      <c r="I890" s="15">
        <f>LN(B890/B889)</f>
        <v>0.05986428421371941</v>
      </c>
      <c r="J890" s="15">
        <f>LN(C890/C889)</f>
        <v>0.06488236531957725</v>
      </c>
      <c r="K890" s="15">
        <f>LN(D890/D889)</f>
        <v>-0.0030167137991686187</v>
      </c>
      <c r="L890" s="15">
        <f>LN(E890/E889)</f>
        <v>0.0032048904937790478</v>
      </c>
      <c r="M890" s="15">
        <f>LN(F890/F889)</f>
        <v>0.02764543677069101</v>
      </c>
      <c r="O890" s="14">
        <v>45751</v>
      </c>
      <c r="P890" s="15">
        <f>I901</f>
        <v>-0.025720959133091928</v>
      </c>
      <c r="Q890" s="15">
        <f>J901</f>
        <v>-0.059219123673309046</v>
      </c>
      <c r="R890" s="15">
        <f>K901</f>
        <v>-0.031517234247982834</v>
      </c>
      <c r="S890" s="15">
        <f>L901</f>
        <v>-0.014978235581472139</v>
      </c>
      <c r="T890" s="15">
        <f>M901</f>
        <v>-0.03668002268492938</v>
      </c>
    </row>
    <row r="891" spans="1:20">
      <c r="A891" s="14">
        <v>45736</v>
      </c>
      <c r="B891" s="10">
        <v>1630.803100585938</v>
      </c>
      <c r="C891" s="10">
        <v>519.1710205078125</v>
      </c>
      <c r="D891" s="10">
        <v>1621.397583007812</v>
      </c>
      <c r="E891" s="10">
        <v>23190.650390625</v>
      </c>
      <c r="F891" s="10">
        <v>854.4000244140625</v>
      </c>
      <c r="I891" s="15">
        <f>LN(B891/B890)</f>
        <v>0.0174402708815991</v>
      </c>
      <c r="J891" s="15">
        <f>LN(C891/C890)</f>
        <v>-0.0058409411152814126</v>
      </c>
      <c r="K891" s="15">
        <f>LN(D891/D890)</f>
        <v>0.04299878189849765</v>
      </c>
      <c r="L891" s="15">
        <f>LN(E891/E890)</f>
        <v>0.012280480863664548</v>
      </c>
      <c r="M891" s="15">
        <f>LN(F891/F890)</f>
        <v>0.010648782877885739</v>
      </c>
      <c r="O891" s="14">
        <v>45754</v>
      </c>
      <c r="P891" s="15">
        <f>I902</f>
        <v>-0.04440632312567986</v>
      </c>
      <c r="Q891" s="15">
        <f>J902</f>
        <v>-0.09146216129512685</v>
      </c>
      <c r="R891" s="15">
        <f>K902</f>
        <v>-0.020457152649260357</v>
      </c>
      <c r="S891" s="15">
        <f>L902</f>
        <v>-0.032970136904421674</v>
      </c>
      <c r="T891" s="15">
        <f>M902</f>
        <v>-0.05860670268017334</v>
      </c>
    </row>
    <row r="892" spans="1:20">
      <c r="A892" s="14">
        <v>45737</v>
      </c>
      <c r="B892" s="10">
        <v>1640.581909179688</v>
      </c>
      <c r="C892" s="10">
        <v>538.8150024414062</v>
      </c>
      <c r="D892" s="10">
        <v>1663.480102539062</v>
      </c>
      <c r="E892" s="10">
        <v>23350.400390625</v>
      </c>
      <c r="F892" s="10">
        <v>862.75</v>
      </c>
      <c r="I892" s="15">
        <f>LN(B892/B891)</f>
        <v>0.005978408343992595</v>
      </c>
      <c r="J892" s="15">
        <f>LN(C892/C891)</f>
        <v>0.03713894015420236</v>
      </c>
      <c r="K892" s="15">
        <f>LN(D892/D891)</f>
        <v>0.025623372313894176</v>
      </c>
      <c r="L892" s="15">
        <f>LN(E892/E891)</f>
        <v>0.0068649342763162065</v>
      </c>
      <c r="M892" s="15">
        <f>LN(F892/F891)</f>
        <v>0.009725465197671484</v>
      </c>
      <c r="O892" s="14">
        <v>45755</v>
      </c>
      <c r="P892" s="15">
        <f>I903</f>
        <v>0.02978955706369273</v>
      </c>
      <c r="Q892" s="15">
        <f>J903</f>
        <v>0.04356422177123038</v>
      </c>
      <c r="R892" s="15">
        <f>K903</f>
        <v>0.015413691128463521</v>
      </c>
      <c r="S892" s="15">
        <f>L903</f>
        <v>0.01674631338889978</v>
      </c>
      <c r="T892" s="15">
        <f>M903</f>
        <v>0.02443492880619579</v>
      </c>
    </row>
    <row r="893" spans="1:20">
      <c r="A893" s="14">
        <v>45740</v>
      </c>
      <c r="B893" s="10">
        <v>1662.969482421875</v>
      </c>
      <c r="C893" s="10">
        <v>538.1170043945312</v>
      </c>
      <c r="D893" s="10">
        <v>1678.955200195312</v>
      </c>
      <c r="E893" s="10">
        <v>23658.349609375</v>
      </c>
      <c r="F893" s="10">
        <v>875.9500122070312</v>
      </c>
      <c r="I893" s="15">
        <f>LN(B893/B892)</f>
        <v>0.013553847551542764</v>
      </c>
      <c r="J893" s="15">
        <f>LN(C893/C892)</f>
        <v>-0.0012962715198039144</v>
      </c>
      <c r="K893" s="15">
        <f>LN(D893/D892)</f>
        <v>0.009259840104600838</v>
      </c>
      <c r="L893" s="15">
        <f>LN(E893/E892)</f>
        <v>0.013101970335000056</v>
      </c>
      <c r="M893" s="15">
        <f>LN(F893/F892)</f>
        <v>0.015184063639480798</v>
      </c>
      <c r="O893" s="14">
        <v>45756</v>
      </c>
      <c r="P893" s="15">
        <f>I904</f>
        <v>-0.023103759350291832</v>
      </c>
      <c r="Q893" s="15">
        <f>J904</f>
        <v>-0.046448846583699424</v>
      </c>
      <c r="R893" s="15">
        <f>K904</f>
        <v>-0.04991007906773748</v>
      </c>
      <c r="S893" s="15">
        <f>L904</f>
        <v>-0.006084328049671031</v>
      </c>
      <c r="T893" s="15">
        <f>M904</f>
        <v>-0.019166717988966454</v>
      </c>
    </row>
    <row r="894" spans="1:20">
      <c r="A894" s="14">
        <v>45741</v>
      </c>
      <c r="B894" s="10">
        <v>1619.435668945312</v>
      </c>
      <c r="C894" s="10">
        <v>521.0655517578125</v>
      </c>
      <c r="D894" s="10">
        <v>1654.644287109375</v>
      </c>
      <c r="E894" s="10">
        <v>23668.650390625</v>
      </c>
      <c r="F894" s="10">
        <v>863.2000122070312</v>
      </c>
      <c r="I894" s="15">
        <f>LN(B894/B893)</f>
        <v>-0.026527113070942333</v>
      </c>
      <c r="J894" s="15">
        <f>LN(C894/C893)</f>
        <v>-0.03220016385191765</v>
      </c>
      <c r="K894" s="15">
        <f>LN(D894/D893)</f>
        <v>-0.014585641839030248</v>
      </c>
      <c r="L894" s="15">
        <f>LN(E894/E893)</f>
        <v>0.0004353025297464832</v>
      </c>
      <c r="M894" s="15">
        <f>LN(F894/F893)</f>
        <v>-0.014662597532066276</v>
      </c>
      <c r="O894" s="14">
        <v>45758</v>
      </c>
      <c r="P894" s="15">
        <f>I905</f>
        <v>0.03562228223898851</v>
      </c>
      <c r="Q894" s="15">
        <f>J905</f>
        <v>0.05571304880476636</v>
      </c>
      <c r="R894" s="15">
        <f>K905</f>
        <v>-0.01197136349226388</v>
      </c>
      <c r="S894" s="15">
        <f>L905</f>
        <v>0.018988950673859396</v>
      </c>
      <c r="T894" s="15">
        <f>M905</f>
        <v>0.012544386274429957</v>
      </c>
    </row>
    <row r="895" spans="1:20">
      <c r="A895" s="14">
        <v>45742</v>
      </c>
      <c r="B895" s="10">
        <v>1608.018432617188</v>
      </c>
      <c r="C895" s="10">
        <v>496.8346252441406</v>
      </c>
      <c r="D895" s="10">
        <v>1638.919555664062</v>
      </c>
      <c r="E895" s="10">
        <v>23486.849609375</v>
      </c>
      <c r="F895" s="10">
        <v>852.0499877929688</v>
      </c>
      <c r="I895" s="15">
        <f>LN(B895/B894)</f>
        <v>-0.007075102291107178</v>
      </c>
      <c r="J895" s="15">
        <f>LN(C895/C894)</f>
        <v>-0.04761862821493568</v>
      </c>
      <c r="K895" s="15">
        <f>LN(D895/D894)</f>
        <v>-0.009548836262423607</v>
      </c>
      <c r="L895" s="15">
        <f>LN(E895/E894)</f>
        <v>-0.007710730752587225</v>
      </c>
      <c r="M895" s="15">
        <f>LN(F895/F894)</f>
        <v>-0.013001231858786377</v>
      </c>
      <c r="O895" s="14">
        <v>45762</v>
      </c>
      <c r="P895" s="15">
        <f>I906</f>
        <v>0.04877953120394304</v>
      </c>
      <c r="Q895" s="15">
        <f>J906</f>
        <v>0.08140785084534936</v>
      </c>
      <c r="R895" s="15">
        <f>K906</f>
        <v>0.04646775143153806</v>
      </c>
      <c r="S895" s="15">
        <f>L906</f>
        <v>0.02166598602930882</v>
      </c>
      <c r="T895" s="15">
        <f>M906</f>
        <v>0.054909447070641694</v>
      </c>
    </row>
    <row r="896" spans="1:20">
      <c r="A896" s="14">
        <v>45743</v>
      </c>
      <c r="B896" s="10">
        <v>1631.200439453125</v>
      </c>
      <c r="C896" s="10">
        <v>508.4017028808594</v>
      </c>
      <c r="D896" s="10">
        <v>1658.038696289062</v>
      </c>
      <c r="E896" s="10">
        <v>23591.94921875</v>
      </c>
      <c r="F896" s="10">
        <v>863.5499877929688</v>
      </c>
      <c r="I896" s="15">
        <f>LN(B896/B895)</f>
        <v>0.014313575921417018</v>
      </c>
      <c r="J896" s="15">
        <f>LN(C896/C895)</f>
        <v>0.023014664063217106</v>
      </c>
      <c r="K896" s="15">
        <f>LN(D896/D895)</f>
        <v>0.011598178372541687</v>
      </c>
      <c r="L896" s="15">
        <f>LN(E896/E895)</f>
        <v>0.004464845602965276</v>
      </c>
      <c r="M896" s="15">
        <f>LN(F896/F895)</f>
        <v>0.013406589427316398</v>
      </c>
      <c r="O896" s="14">
        <v>45763</v>
      </c>
      <c r="P896" s="15">
        <f>I907</f>
        <v>0.010226297264200454</v>
      </c>
      <c r="Q896" s="15">
        <f>J907</f>
        <v>-0.013630077293347774</v>
      </c>
      <c r="R896" s="15">
        <f>K907</f>
        <v>0.032033152599050346</v>
      </c>
      <c r="S896" s="15">
        <f>L907</f>
        <v>0.004646504460063537</v>
      </c>
      <c r="T896" s="15">
        <f>M907</f>
        <v>0.007221526220624367</v>
      </c>
    </row>
    <row r="897" spans="1:20">
      <c r="A897" s="14">
        <v>45744</v>
      </c>
      <c r="B897" s="10">
        <v>1625.591064453125</v>
      </c>
      <c r="C897" s="10">
        <v>490.2035217285156</v>
      </c>
      <c r="D897" s="10">
        <v>1640.666748046875</v>
      </c>
      <c r="E897" s="10">
        <v>23519.349609375</v>
      </c>
      <c r="F897" s="10">
        <v>851.2999877929688</v>
      </c>
      <c r="I897" s="15">
        <f>LN(B897/B896)</f>
        <v>-0.0034447280644638164</v>
      </c>
      <c r="J897" s="15">
        <f>LN(C897/C896)</f>
        <v>-0.03645123346306832</v>
      </c>
      <c r="K897" s="15">
        <f>LN(D897/D896)</f>
        <v>-0.010532682675031328</v>
      </c>
      <c r="L897" s="15">
        <f>LN(E897/E896)</f>
        <v>-0.003082049047667123</v>
      </c>
      <c r="M897" s="15">
        <f>LN(F897/F896)</f>
        <v>-0.014287207103328727</v>
      </c>
      <c r="O897" s="14">
        <v>45764</v>
      </c>
      <c r="P897" s="15">
        <f>I908</f>
        <v>-0.00042647802778595305</v>
      </c>
      <c r="Q897" s="15">
        <f>J908</f>
        <v>0.003928469935214769</v>
      </c>
      <c r="R897" s="15">
        <f>K908</f>
        <v>0.009958385298513827</v>
      </c>
      <c r="S897" s="15">
        <f>L908</f>
        <v>0.017528943393621495</v>
      </c>
      <c r="T897" s="15">
        <f>M908</f>
        <v>0.005101129617085041</v>
      </c>
    </row>
    <row r="898" spans="1:20">
      <c r="A898" s="14">
        <v>45748</v>
      </c>
      <c r="B898" s="10">
        <v>1562.598510742188</v>
      </c>
      <c r="C898" s="10">
        <v>475.9939880371094</v>
      </c>
      <c r="D898" s="10">
        <v>1598.534301757812</v>
      </c>
      <c r="E898" s="10">
        <v>23165.69921875</v>
      </c>
      <c r="F898" s="10">
        <v>824.8499755859375</v>
      </c>
      <c r="I898" s="15">
        <f>LN(B898/B897)</f>
        <v>-0.03952133410236872</v>
      </c>
      <c r="J898" s="15">
        <f>LN(C898/C897)</f>
        <v>-0.029415431359384438</v>
      </c>
      <c r="K898" s="15">
        <f>LN(D898/D897)</f>
        <v>-0.02601556489896467</v>
      </c>
      <c r="L898" s="15">
        <f>LN(E898/E897)</f>
        <v>-0.015150767296533939</v>
      </c>
      <c r="M898" s="15">
        <f>LN(F898/F897)</f>
        <v>-0.0315630565269803</v>
      </c>
      <c r="O898" s="14">
        <v>45768</v>
      </c>
      <c r="P898" s="15">
        <f>I909</f>
        <v>0.009402897810032434</v>
      </c>
      <c r="Q898" s="15">
        <f>J909</f>
        <v>0.04506430536621596</v>
      </c>
      <c r="R898" s="15">
        <f>K909</f>
        <v>-0.0032876644693572935</v>
      </c>
      <c r="S898" s="15">
        <f>L909</f>
        <v>0.011418063566753105</v>
      </c>
      <c r="T898" s="15">
        <f>M909</f>
        <v>0.02223353993213327</v>
      </c>
    </row>
    <row r="899" spans="1:20">
      <c r="A899" s="14">
        <v>45749</v>
      </c>
      <c r="B899" s="10">
        <v>1609.507690429688</v>
      </c>
      <c r="C899" s="10">
        <v>485.2177429199219</v>
      </c>
      <c r="D899" s="10">
        <v>1644.41064453125</v>
      </c>
      <c r="E899" s="10">
        <v>23332.349609375</v>
      </c>
      <c r="F899" s="10">
        <v>854.6500244140625</v>
      </c>
      <c r="I899" s="15">
        <f>LN(B899/B898)</f>
        <v>0.029578202377560762</v>
      </c>
      <c r="J899" s="15">
        <f>LN(C899/C898)</f>
        <v>0.019192520684123953</v>
      </c>
      <c r="K899" s="15">
        <f>LN(D899/D898)</f>
        <v>0.028294901217643425</v>
      </c>
      <c r="L899" s="15">
        <f>LN(E899/E898)</f>
        <v>0.007168090205371445</v>
      </c>
      <c r="M899" s="15">
        <f>LN(F899/F898)</f>
        <v>0.03549053494468095</v>
      </c>
      <c r="O899" s="14">
        <v>45769</v>
      </c>
      <c r="P899" s="15">
        <f>I910</f>
        <v>0.025925799253588157</v>
      </c>
      <c r="Q899" s="15">
        <f>J910</f>
        <v>0.024218105541721283</v>
      </c>
      <c r="R899" s="15">
        <f>K910</f>
        <v>0.04430047819683411</v>
      </c>
      <c r="S899" s="15">
        <f>L910</f>
        <v>0.0017269335569158489</v>
      </c>
      <c r="T899" s="15">
        <f>M910</f>
        <v>0.023899170414322945</v>
      </c>
    </row>
    <row r="900" spans="1:20">
      <c r="A900" s="14">
        <v>45750</v>
      </c>
      <c r="B900" s="10">
        <v>1579.525756835938</v>
      </c>
      <c r="C900" s="10">
        <v>482.97412109375</v>
      </c>
      <c r="D900" s="10">
        <v>1628.286499023438</v>
      </c>
      <c r="E900" s="10">
        <v>23250.099609375</v>
      </c>
      <c r="F900" s="10">
        <v>853.7999877929688</v>
      </c>
      <c r="I900" s="15">
        <f>LN(B900/B899)</f>
        <v>-0.018803701811237757</v>
      </c>
      <c r="J900" s="15">
        <f>LN(C900/C899)</f>
        <v>-0.0046346719605491055</v>
      </c>
      <c r="K900" s="15">
        <f>LN(D900/D899)</f>
        <v>-0.009853814922920586</v>
      </c>
      <c r="L900" s="15">
        <f>LN(E900/E899)</f>
        <v>-0.003531376595912815</v>
      </c>
      <c r="M900" s="15">
        <f>LN(F900/F899)</f>
        <v>-0.0009950969418637918</v>
      </c>
      <c r="O900" s="14">
        <v>45770</v>
      </c>
      <c r="P900" s="15">
        <f>I911</f>
        <v>0.0036998006084814363</v>
      </c>
      <c r="Q900" s="15">
        <f>J911</f>
        <v>-0.017152377916753146</v>
      </c>
      <c r="R900" s="15">
        <f>K911</f>
        <v>-0.0049459585558427315</v>
      </c>
      <c r="S900" s="15">
        <f>L911</f>
        <v>0.006668556323176313</v>
      </c>
      <c r="T900" s="15">
        <f>M911</f>
        <v>0.013189471404462435</v>
      </c>
    </row>
    <row r="901" spans="1:20">
      <c r="A901" s="14">
        <v>45751</v>
      </c>
      <c r="B901" s="10">
        <v>1539.416870117188</v>
      </c>
      <c r="C901" s="10">
        <v>455.2032165527344</v>
      </c>
      <c r="D901" s="10">
        <v>1577.767700195312</v>
      </c>
      <c r="E901" s="10">
        <v>22904.44921875</v>
      </c>
      <c r="F901" s="10">
        <v>823.0499877929688</v>
      </c>
      <c r="I901" s="15">
        <f>LN(B901/B900)</f>
        <v>-0.025720959133091928</v>
      </c>
      <c r="J901" s="15">
        <f>LN(C901/C900)</f>
        <v>-0.059219123673309046</v>
      </c>
      <c r="K901" s="15">
        <f>LN(D901/D900)</f>
        <v>-0.031517234247982834</v>
      </c>
      <c r="L901" s="15">
        <f>LN(E901/E900)</f>
        <v>-0.014978235581472139</v>
      </c>
      <c r="M901" s="15">
        <f>LN(F901/F900)</f>
        <v>-0.03668002268492938</v>
      </c>
      <c r="O901" s="14">
        <v>45771</v>
      </c>
      <c r="P901" s="15">
        <f>I912</f>
        <v>-0.016012624110355728</v>
      </c>
      <c r="Q901" s="15">
        <f>J912</f>
        <v>-0.018270894617335033</v>
      </c>
      <c r="R901" s="15">
        <f>K912</f>
        <v>-0.0027517052044290133</v>
      </c>
      <c r="S901" s="15">
        <f>L912</f>
        <v>-0.0033864737270896763</v>
      </c>
      <c r="T901" s="15">
        <f>M912</f>
        <v>-0.014150357298373691</v>
      </c>
    </row>
    <row r="902" spans="1:20">
      <c r="A902" s="14">
        <v>45754</v>
      </c>
      <c r="B902" s="10">
        <v>1472.552612304688</v>
      </c>
      <c r="C902" s="10">
        <v>415.4165649414062</v>
      </c>
      <c r="D902" s="10">
        <v>1545.818969726562</v>
      </c>
      <c r="E902" s="10">
        <v>22161.599609375</v>
      </c>
      <c r="F902" s="10">
        <v>776.2000122070312</v>
      </c>
      <c r="I902" s="15">
        <f>LN(B902/B901)</f>
        <v>-0.04440632312567986</v>
      </c>
      <c r="J902" s="15">
        <f>LN(C902/C901)</f>
        <v>-0.09146216129512685</v>
      </c>
      <c r="K902" s="15">
        <f>LN(D902/D901)</f>
        <v>-0.020457152649260357</v>
      </c>
      <c r="L902" s="15">
        <f>LN(E902/E901)</f>
        <v>-0.032970136904421674</v>
      </c>
      <c r="M902" s="15">
        <f>LN(F902/F901)</f>
        <v>-0.05860670268017334</v>
      </c>
      <c r="O902" s="14">
        <v>45772</v>
      </c>
      <c r="P902" s="15">
        <f>I913</f>
        <v>-0.0442677356999016</v>
      </c>
      <c r="Q902" s="15">
        <f>J913</f>
        <v>-0.06234192898285266</v>
      </c>
      <c r="R902" s="15">
        <f>K913</f>
        <v>-0.024497991719083068</v>
      </c>
      <c r="S902" s="15">
        <f>L913</f>
        <v>-0.008588438645809417</v>
      </c>
      <c r="T902" s="15">
        <f>M913</f>
        <v>-0.028450498001239447</v>
      </c>
    </row>
    <row r="903" spans="1:20">
      <c r="A903" s="14">
        <v>45755</v>
      </c>
      <c r="B903" s="10">
        <v>1517.079223632812</v>
      </c>
      <c r="C903" s="10">
        <v>433.9138488769531</v>
      </c>
      <c r="D903" s="10">
        <v>1569.830322265625</v>
      </c>
      <c r="E903" s="10">
        <v>22535.849609375</v>
      </c>
      <c r="F903" s="10">
        <v>795.4000244140625</v>
      </c>
      <c r="I903" s="15">
        <f>LN(B903/B902)</f>
        <v>0.02978955706369273</v>
      </c>
      <c r="J903" s="15">
        <f>LN(C903/C902)</f>
        <v>0.04356422177123038</v>
      </c>
      <c r="K903" s="15">
        <f>LN(D903/D902)</f>
        <v>0.015413691128463521</v>
      </c>
      <c r="L903" s="15">
        <f>LN(E903/E902)</f>
        <v>0.01674631338889978</v>
      </c>
      <c r="M903" s="15">
        <f>LN(F903/F902)</f>
        <v>0.02443492880619579</v>
      </c>
      <c r="O903" s="14">
        <v>45775</v>
      </c>
      <c r="P903" s="15">
        <f>I914</f>
        <v>0.03101698786461461</v>
      </c>
      <c r="Q903" s="15">
        <f>J914</f>
        <v>-0.013390607652522998</v>
      </c>
      <c r="R903" s="15">
        <f>K914</f>
        <v>0.00355418351768522</v>
      </c>
      <c r="S903" s="15">
        <f>L914</f>
        <v>0.011956447831200931</v>
      </c>
      <c r="T903" s="15">
        <f>M914</f>
        <v>0.014039603847296783</v>
      </c>
    </row>
    <row r="904" spans="1:20">
      <c r="A904" s="14">
        <v>45756</v>
      </c>
      <c r="B904" s="10">
        <v>1482.430786132812</v>
      </c>
      <c r="C904" s="10">
        <v>414.219970703125</v>
      </c>
      <c r="D904" s="10">
        <v>1493.403076171875</v>
      </c>
      <c r="E904" s="10">
        <v>22399.150390625</v>
      </c>
      <c r="F904" s="10">
        <v>780.2999877929688</v>
      </c>
      <c r="I904" s="15">
        <f>LN(B904/B903)</f>
        <v>-0.023103759350291832</v>
      </c>
      <c r="J904" s="15">
        <f>LN(C904/C903)</f>
        <v>-0.046448846583699424</v>
      </c>
      <c r="K904" s="15">
        <f>LN(D904/D903)</f>
        <v>-0.04991007906773748</v>
      </c>
      <c r="L904" s="15">
        <f>LN(E904/E903)</f>
        <v>-0.006084328049671031</v>
      </c>
      <c r="M904" s="15">
        <f>LN(F904/F903)</f>
        <v>-0.019166717988966454</v>
      </c>
      <c r="O904" s="14">
        <v>45776</v>
      </c>
      <c r="P904" s="15">
        <f>I915</f>
        <v>-0.022153365102323005</v>
      </c>
      <c r="Q904" s="15">
        <f>J915</f>
        <v>0.029290527360042663</v>
      </c>
      <c r="R904" s="15">
        <f>K915</f>
        <v>-0.0014691261119056005</v>
      </c>
      <c r="S904" s="15">
        <f>L915</f>
        <v>0.00030614622903455367</v>
      </c>
      <c r="T904" s="15">
        <f>M915</f>
        <v>-0.0025850940721048456</v>
      </c>
    </row>
    <row r="905" spans="1:20">
      <c r="A905" s="14">
        <v>45758</v>
      </c>
      <c r="B905" s="10">
        <v>1536.190185546875</v>
      </c>
      <c r="C905" s="10">
        <v>437.952392578125</v>
      </c>
      <c r="D905" s="10">
        <v>1475.631591796875</v>
      </c>
      <c r="E905" s="10">
        <v>22828.55078125</v>
      </c>
      <c r="F905" s="10">
        <v>790.1500244140625</v>
      </c>
      <c r="I905" s="15">
        <f>LN(B905/B904)</f>
        <v>0.03562228223898851</v>
      </c>
      <c r="J905" s="15">
        <f>LN(C905/C904)</f>
        <v>0.05571304880476636</v>
      </c>
      <c r="K905" s="15">
        <f>LN(D905/D904)</f>
        <v>-0.01197136349226388</v>
      </c>
      <c r="L905" s="15">
        <f>LN(E905/E904)</f>
        <v>0.018988950673859396</v>
      </c>
      <c r="M905" s="15">
        <f>LN(F905/F904)</f>
        <v>0.012544386274429957</v>
      </c>
      <c r="O905" s="14">
        <v>45777</v>
      </c>
      <c r="P905" s="15">
        <f>I916</f>
        <v>0.012936588369563323</v>
      </c>
      <c r="Q905" s="15">
        <f>J916</f>
        <v>-0.030617377450285446</v>
      </c>
      <c r="R905" s="15">
        <f>K916</f>
        <v>0.01947339341968924</v>
      </c>
      <c r="S905" s="15">
        <f>L916</f>
        <v>-7.191266338548166e-05</v>
      </c>
      <c r="T905" s="15">
        <f>M916</f>
        <v>0.018916837598434006</v>
      </c>
    </row>
    <row r="906" spans="1:20">
      <c r="A906" s="14">
        <v>45762</v>
      </c>
      <c r="B906" s="10">
        <v>1612.982543945312</v>
      </c>
      <c r="C906" s="10">
        <v>475.0965576171875</v>
      </c>
      <c r="D906" s="10">
        <v>1545.818969726562</v>
      </c>
      <c r="E906" s="10">
        <v>23328.55078125</v>
      </c>
      <c r="F906" s="10">
        <v>834.75</v>
      </c>
      <c r="I906" s="15">
        <f>LN(B906/B905)</f>
        <v>0.04877953120394304</v>
      </c>
      <c r="J906" s="15">
        <f>LN(C906/C905)</f>
        <v>0.08140785084534936</v>
      </c>
      <c r="K906" s="15">
        <f>LN(D906/D905)</f>
        <v>0.04646775143153806</v>
      </c>
      <c r="L906" s="15">
        <f>LN(E906/E905)</f>
        <v>0.02166598602930882</v>
      </c>
      <c r="M906" s="15">
        <f>LN(F906/F905)</f>
        <v>0.054909447070641694</v>
      </c>
      <c r="O906" s="14">
        <v>45779</v>
      </c>
      <c r="P906" s="15">
        <f>I917</f>
        <v>-0.02335786962127288</v>
      </c>
      <c r="Q906" s="15">
        <f>J917</f>
        <v>-0.002548043839015269</v>
      </c>
      <c r="R906" s="15">
        <f>K917</f>
        <v>-0.07969229576980484</v>
      </c>
      <c r="S906" s="15">
        <f>L917</f>
        <v>0.0005135484625769229</v>
      </c>
      <c r="T906" s="15">
        <f>M917</f>
        <v>-0.004865900606872172</v>
      </c>
    </row>
    <row r="907" spans="1:20">
      <c r="A907" s="14">
        <v>45763</v>
      </c>
      <c r="B907" s="10">
        <v>1629.56201171875</v>
      </c>
      <c r="C907" s="10">
        <v>468.6648864746094</v>
      </c>
      <c r="D907" s="10">
        <v>1596.138061523438</v>
      </c>
      <c r="E907" s="10">
        <v>23437.19921875</v>
      </c>
      <c r="F907" s="10">
        <v>840.7999877929688</v>
      </c>
      <c r="I907" s="15">
        <f>LN(B907/B906)</f>
        <v>0.010226297264200454</v>
      </c>
      <c r="J907" s="15">
        <f>LN(C907/C906)</f>
        <v>-0.013630077293347774</v>
      </c>
      <c r="K907" s="15">
        <f>LN(D907/D906)</f>
        <v>0.032033152599050346</v>
      </c>
      <c r="L907" s="15">
        <f>LN(E907/E906)</f>
        <v>0.004646504460063537</v>
      </c>
      <c r="M907" s="15">
        <f>LN(F907/F906)</f>
        <v>0.007221526220624367</v>
      </c>
      <c r="O907" s="14">
        <v>45782</v>
      </c>
      <c r="P907" s="15">
        <f>I918</f>
        <v>0.014503791913373377</v>
      </c>
      <c r="Q907" s="15">
        <f>J918</f>
        <v>0.023027291318770588</v>
      </c>
      <c r="R907" s="15">
        <f>K918</f>
        <v>0.011900341394089452</v>
      </c>
      <c r="S907" s="15">
        <f>L918</f>
        <v>0.004689876016656186</v>
      </c>
      <c r="T907" s="15">
        <f>M918</f>
        <v>0.006557757587587957</v>
      </c>
    </row>
    <row r="908" spans="1:20">
      <c r="A908" s="14">
        <v>45764</v>
      </c>
      <c r="B908" s="10">
        <v>1628.8671875</v>
      </c>
      <c r="C908" s="10">
        <v>470.5096435546875</v>
      </c>
      <c r="D908" s="10">
        <v>1612.112426757812</v>
      </c>
      <c r="E908" s="10">
        <v>23851.650390625</v>
      </c>
      <c r="F908" s="10">
        <v>845.0999755859375</v>
      </c>
      <c r="I908" s="15">
        <f>LN(B908/B907)</f>
        <v>-0.00042647802778595305</v>
      </c>
      <c r="J908" s="15">
        <f>LN(C908/C907)</f>
        <v>0.003928469935214769</v>
      </c>
      <c r="K908" s="15">
        <f>LN(D908/D907)</f>
        <v>0.009958385298513827</v>
      </c>
      <c r="L908" s="15">
        <f>LN(E908/E907)</f>
        <v>0.017528943393621495</v>
      </c>
      <c r="M908" s="15">
        <f>LN(F908/F907)</f>
        <v>0.005101129617085041</v>
      </c>
      <c r="O908" s="14">
        <v>45783</v>
      </c>
      <c r="P908" s="15">
        <f>I919</f>
        <v>-0.041396593833052726</v>
      </c>
      <c r="Q908" s="15">
        <f>J919</f>
        <v>-0.040370410331891475</v>
      </c>
      <c r="R908" s="15">
        <f>K919</f>
        <v>-0.03746847944760149</v>
      </c>
      <c r="S908" s="15">
        <f>L919</f>
        <v>-0.0033394596535795407</v>
      </c>
      <c r="T908" s="15">
        <f>M919</f>
        <v>-0.03643651679330525</v>
      </c>
    </row>
    <row r="909" spans="1:20">
      <c r="A909" s="14">
        <v>45768</v>
      </c>
      <c r="B909" s="10">
        <v>1644.255493164062</v>
      </c>
      <c r="C909" s="10">
        <v>492.1978454589844</v>
      </c>
      <c r="D909" s="10">
        <v>1606.821044921875</v>
      </c>
      <c r="E909" s="10">
        <v>24125.55078125</v>
      </c>
      <c r="F909" s="10">
        <v>864.0999755859375</v>
      </c>
      <c r="I909" s="15">
        <f>LN(B909/B908)</f>
        <v>0.009402897810032434</v>
      </c>
      <c r="J909" s="15">
        <f>LN(C909/C908)</f>
        <v>0.04506430536621596</v>
      </c>
      <c r="K909" s="15">
        <f>LN(D909/D908)</f>
        <v>-0.0032876644693572935</v>
      </c>
      <c r="L909" s="15">
        <f>LN(E909/E908)</f>
        <v>0.011418063566753105</v>
      </c>
      <c r="M909" s="15">
        <f>LN(F909/F908)</f>
        <v>0.02223353993213327</v>
      </c>
      <c r="O909" s="14">
        <v>45784</v>
      </c>
      <c r="P909" s="15">
        <f>I920</f>
        <v>0.01420100821882003</v>
      </c>
      <c r="Q909" s="15">
        <f>J920</f>
        <v>0.01334176975621717</v>
      </c>
      <c r="R909" s="15">
        <f>K920</f>
        <v>0.018778735806485335</v>
      </c>
      <c r="S909" s="15">
        <f>L920</f>
        <v>0.001426437150093386</v>
      </c>
      <c r="T909" s="15">
        <f>M920</f>
        <v>0.011099981848297826</v>
      </c>
    </row>
    <row r="910" spans="1:20">
      <c r="A910" s="14">
        <v>45769</v>
      </c>
      <c r="B910" s="10">
        <v>1687.441528320312</v>
      </c>
      <c r="C910" s="10">
        <v>504.2634582519531</v>
      </c>
      <c r="D910" s="10">
        <v>1679.604248046875</v>
      </c>
      <c r="E910" s="10">
        <v>24167.25</v>
      </c>
      <c r="F910" s="10">
        <v>885</v>
      </c>
      <c r="I910" s="15">
        <f>LN(B910/B909)</f>
        <v>0.025925799253588157</v>
      </c>
      <c r="J910" s="15">
        <f>LN(C910/C909)</f>
        <v>0.024218105541721283</v>
      </c>
      <c r="K910" s="15">
        <f>LN(D910/D909)</f>
        <v>0.04430047819683411</v>
      </c>
      <c r="L910" s="15">
        <f>LN(E910/E909)</f>
        <v>0.0017269335569158489</v>
      </c>
      <c r="M910" s="15">
        <f>LN(F910/F909)</f>
        <v>0.023899170414322945</v>
      </c>
      <c r="O910" s="14">
        <v>45785</v>
      </c>
      <c r="P910" s="15">
        <f>I921</f>
        <v>-0.017091131893762306</v>
      </c>
      <c r="Q910" s="15">
        <f>J921</f>
        <v>-0.024122026246454303</v>
      </c>
      <c r="R910" s="15">
        <f>K921</f>
        <v>-0.019446355081281327</v>
      </c>
      <c r="S910" s="15">
        <f>L921</f>
        <v>-0.005775526588332327</v>
      </c>
      <c r="T910" s="15">
        <f>M921</f>
        <v>-0.02498744529861023</v>
      </c>
    </row>
    <row r="911" spans="1:20">
      <c r="A911" s="14">
        <v>45770</v>
      </c>
      <c r="B911" s="10">
        <v>1693.6962890625</v>
      </c>
      <c r="C911" s="10">
        <v>495.6878967285156</v>
      </c>
      <c r="D911" s="10">
        <v>1671.317504882812</v>
      </c>
      <c r="E911" s="10">
        <v>24328.94921875</v>
      </c>
      <c r="F911" s="10">
        <v>896.75</v>
      </c>
      <c r="I911" s="15">
        <f>LN(B911/B910)</f>
        <v>0.0036998006084814363</v>
      </c>
      <c r="J911" s="15">
        <f>LN(C911/C910)</f>
        <v>-0.017152377916753146</v>
      </c>
      <c r="K911" s="15">
        <f>LN(D911/D910)</f>
        <v>-0.0049459585558427315</v>
      </c>
      <c r="L911" s="15">
        <f>LN(E911/E910)</f>
        <v>0.006668556323176313</v>
      </c>
      <c r="M911" s="15">
        <f>LN(F911/F910)</f>
        <v>0.013189471404462435</v>
      </c>
      <c r="O911" s="14">
        <v>45786</v>
      </c>
      <c r="P911" s="15">
        <f>I922</f>
        <v>-0.013273686258613209</v>
      </c>
      <c r="Q911" s="15">
        <f>J922</f>
        <v>-0.021915475114394862</v>
      </c>
      <c r="R911" s="15">
        <f>K922</f>
        <v>-0.01229809844296827</v>
      </c>
      <c r="S911" s="15">
        <f>L922</f>
        <v>-0.011010503428714508</v>
      </c>
      <c r="T911" s="15">
        <f>M922</f>
        <v>-0.024048399406785922</v>
      </c>
    </row>
    <row r="912" spans="1:20">
      <c r="A912" s="14">
        <v>45771</v>
      </c>
      <c r="B912" s="10">
        <v>1666.791748046875</v>
      </c>
      <c r="C912" s="10">
        <v>486.7134704589844</v>
      </c>
      <c r="D912" s="10">
        <v>1666.724853515625</v>
      </c>
      <c r="E912" s="10">
        <v>24246.69921875</v>
      </c>
      <c r="F912" s="10">
        <v>884.1500244140625</v>
      </c>
      <c r="I912" s="15">
        <f>LN(B912/B911)</f>
        <v>-0.016012624110355728</v>
      </c>
      <c r="J912" s="15">
        <f>LN(C912/C911)</f>
        <v>-0.018270894617335033</v>
      </c>
      <c r="K912" s="15">
        <f>LN(D912/D911)</f>
        <v>-0.0027517052044290133</v>
      </c>
      <c r="L912" s="15">
        <f>LN(E912/E911)</f>
        <v>-0.0033864737270896763</v>
      </c>
      <c r="M912" s="15">
        <f>LN(F912/F911)</f>
        <v>-0.014150357298373691</v>
      </c>
      <c r="O912" s="14">
        <v>45789</v>
      </c>
      <c r="P912" s="15">
        <f>I923</f>
        <v>0.052996419762958914</v>
      </c>
      <c r="Q912" s="15">
        <f>J923</f>
        <v>0.050815017949954785</v>
      </c>
      <c r="R912" s="15">
        <f>K923</f>
        <v>0.029908615637007367</v>
      </c>
      <c r="S912" s="15">
        <f>L923</f>
        <v>0.03747214018466671</v>
      </c>
      <c r="T912" s="15">
        <f>M923</f>
        <v>0.057610146894265135</v>
      </c>
    </row>
    <row r="913" spans="1:20">
      <c r="A913" s="14">
        <v>45772</v>
      </c>
      <c r="B913" s="10">
        <v>1594.615966796875</v>
      </c>
      <c r="C913" s="10">
        <v>457.2972717285156</v>
      </c>
      <c r="D913" s="10">
        <v>1626.389526367188</v>
      </c>
      <c r="E913" s="10">
        <v>24039.349609375</v>
      </c>
      <c r="F913" s="10">
        <v>859.3499755859375</v>
      </c>
      <c r="I913" s="15">
        <f>LN(B913/B912)</f>
        <v>-0.0442677356999016</v>
      </c>
      <c r="J913" s="15">
        <f>LN(C913/C912)</f>
        <v>-0.06234192898285266</v>
      </c>
      <c r="K913" s="15">
        <f>LN(D913/D912)</f>
        <v>-0.024497991719083068</v>
      </c>
      <c r="L913" s="15">
        <f>LN(E913/E912)</f>
        <v>-0.008588438645809417</v>
      </c>
      <c r="M913" s="15">
        <f>LN(F913/F912)</f>
        <v>-0.028450498001239447</v>
      </c>
      <c r="O913" s="14">
        <v>45790</v>
      </c>
      <c r="P913" s="15">
        <f>I924</f>
        <v>-0.0196641814836919</v>
      </c>
      <c r="Q913" s="15">
        <f>J924</f>
        <v>0.019646101153684502</v>
      </c>
      <c r="R913" s="15">
        <f>K924</f>
        <v>0.009600666823596626</v>
      </c>
      <c r="S913" s="15">
        <f>L924</f>
        <v>-0.013993290077199355</v>
      </c>
      <c r="T913" s="15">
        <f>M924</f>
        <v>-0.007245977905885127</v>
      </c>
    </row>
    <row r="914" spans="1:20">
      <c r="A914" s="14">
        <v>45775</v>
      </c>
      <c r="B914" s="10">
        <v>1644.851196289062</v>
      </c>
      <c r="C914" s="10">
        <v>451.214599609375</v>
      </c>
      <c r="D914" s="10">
        <v>1632.180297851562</v>
      </c>
      <c r="E914" s="10">
        <v>24328.5</v>
      </c>
      <c r="F914" s="10">
        <v>871.5</v>
      </c>
      <c r="I914" s="15">
        <f>LN(B914/B913)</f>
        <v>0.03101698786461461</v>
      </c>
      <c r="J914" s="15">
        <f>LN(C914/C913)</f>
        <v>-0.013390607652522998</v>
      </c>
      <c r="K914" s="15">
        <f>LN(D914/D913)</f>
        <v>0.00355418351768522</v>
      </c>
      <c r="L914" s="15">
        <f>LN(E914/E913)</f>
        <v>0.011956447831200931</v>
      </c>
      <c r="M914" s="15">
        <f>LN(F914/F913)</f>
        <v>0.014039603847296783</v>
      </c>
      <c r="O914" s="14">
        <v>45791</v>
      </c>
      <c r="P914" s="15">
        <f>I925</f>
        <v>0.016940604867979745</v>
      </c>
      <c r="Q914" s="15">
        <f>J925</f>
        <v>-0.001413909275311255</v>
      </c>
      <c r="R914" s="15">
        <f>K925</f>
        <v>0.0012991435486481779</v>
      </c>
      <c r="S914" s="15">
        <f>L925</f>
        <v>0.003596321541244558</v>
      </c>
      <c r="T914" s="15">
        <f>M925</f>
        <v>0.016826371131082547</v>
      </c>
    </row>
    <row r="915" spans="1:20">
      <c r="A915" s="14">
        <v>45776</v>
      </c>
      <c r="B915" s="10">
        <v>1608.812866210938</v>
      </c>
      <c r="C915" s="10">
        <v>464.6263732910156</v>
      </c>
      <c r="D915" s="10">
        <v>1629.7841796875</v>
      </c>
      <c r="E915" s="10">
        <v>24335.94921875</v>
      </c>
      <c r="F915" s="10">
        <v>869.25</v>
      </c>
      <c r="I915" s="15">
        <f>LN(B915/B914)</f>
        <v>-0.022153365102323005</v>
      </c>
      <c r="J915" s="15">
        <f>LN(C915/C914)</f>
        <v>0.029290527360042663</v>
      </c>
      <c r="K915" s="15">
        <f>LN(D915/D914)</f>
        <v>-0.0014691261119056005</v>
      </c>
      <c r="L915" s="15">
        <f>LN(E915/E914)</f>
        <v>0.00030614622903455367</v>
      </c>
      <c r="M915" s="15">
        <f>LN(F915/F914)</f>
        <v>-0.0025850940721048456</v>
      </c>
      <c r="O915" s="14">
        <v>45792</v>
      </c>
      <c r="P915" s="15">
        <f>I926</f>
        <v>0.012443098390045204</v>
      </c>
      <c r="Q915" s="15">
        <f>J926</f>
        <v>0.030441871214497453</v>
      </c>
      <c r="R915" s="15">
        <f>K926</f>
        <v>0.009432849539237464</v>
      </c>
      <c r="S915" s="15">
        <f>L926</f>
        <v>0.015894449466611917</v>
      </c>
      <c r="T915" s="15">
        <f>M926</f>
        <v>0.019056775122898845</v>
      </c>
    </row>
    <row r="916" spans="1:20">
      <c r="A916" s="14">
        <v>45777</v>
      </c>
      <c r="B916" s="10">
        <v>1629.760620117188</v>
      </c>
      <c r="C916" s="10">
        <v>450.6163024902344</v>
      </c>
      <c r="D916" s="10">
        <v>1661.832641601562</v>
      </c>
      <c r="E916" s="10">
        <v>24334.19921875</v>
      </c>
      <c r="F916" s="10">
        <v>885.8499755859375</v>
      </c>
      <c r="I916" s="15">
        <f>LN(B916/B915)</f>
        <v>0.012936588369563323</v>
      </c>
      <c r="J916" s="15">
        <f>LN(C916/C915)</f>
        <v>-0.030617377450285446</v>
      </c>
      <c r="K916" s="15">
        <f>LN(D916/D915)</f>
        <v>0.01947339341968924</v>
      </c>
      <c r="L916" s="15">
        <f>LN(E916/E915)</f>
        <v>-7.191266338548166e-05</v>
      </c>
      <c r="M916" s="15">
        <f>LN(F916/F915)</f>
        <v>0.018916837598434006</v>
      </c>
      <c r="O916" s="14">
        <v>45793</v>
      </c>
      <c r="P916" s="15">
        <f>I927</f>
        <v>0.025804429578917026</v>
      </c>
      <c r="Q916" s="15">
        <f>J927</f>
        <v>0.0820546461444201</v>
      </c>
      <c r="R916" s="15">
        <f>K927</f>
        <v>-0.0027044237299530373</v>
      </c>
      <c r="S916" s="15">
        <f>L927</f>
        <v>-0.0016891866264205442</v>
      </c>
      <c r="T916" s="15">
        <f>M927</f>
        <v>0.01612846404011585</v>
      </c>
    </row>
    <row r="917" spans="1:20">
      <c r="A917" s="14">
        <v>45779</v>
      </c>
      <c r="B917" s="10">
        <v>1592.134033203125</v>
      </c>
      <c r="C917" s="10">
        <v>449.4695739746094</v>
      </c>
      <c r="D917" s="10">
        <v>1534.536987304688</v>
      </c>
      <c r="E917" s="10">
        <v>24346.69921875</v>
      </c>
      <c r="F917" s="10">
        <v>881.5499877929688</v>
      </c>
      <c r="I917" s="15">
        <f>LN(B917/B916)</f>
        <v>-0.02335786962127288</v>
      </c>
      <c r="J917" s="15">
        <f>LN(C917/C916)</f>
        <v>-0.002548043839015269</v>
      </c>
      <c r="K917" s="15">
        <f>LN(D917/D916)</f>
        <v>-0.07969229576980484</v>
      </c>
      <c r="L917" s="15">
        <f>LN(E917/E916)</f>
        <v>0.0005135484625769229</v>
      </c>
      <c r="M917" s="15">
        <f>LN(F917/F916)</f>
        <v>-0.004865900606872172</v>
      </c>
      <c r="O917" s="14">
        <v>45796</v>
      </c>
      <c r="P917" s="15">
        <f>I928</f>
        <v>0.03424754556369488</v>
      </c>
      <c r="Q917" s="15">
        <f>J928</f>
        <v>0.012180067140774502</v>
      </c>
      <c r="R917" s="15">
        <f>K928</f>
        <v>0.035222466575633715</v>
      </c>
      <c r="S917" s="15">
        <f>L928</f>
        <v>-0.002976133107706799</v>
      </c>
      <c r="T917" s="15">
        <f>M928</f>
        <v>0.022376688128911644</v>
      </c>
    </row>
    <row r="918" spans="1:20">
      <c r="A918" s="14">
        <v>45782</v>
      </c>
      <c r="B918" s="10">
        <v>1615.394287109375</v>
      </c>
      <c r="C918" s="10">
        <v>459.9397277832031</v>
      </c>
      <c r="D918" s="10">
        <v>1552.907592773438</v>
      </c>
      <c r="E918" s="10">
        <v>24461.150390625</v>
      </c>
      <c r="F918" s="10">
        <v>887.3499755859375</v>
      </c>
      <c r="I918" s="15">
        <f>LN(B918/B917)</f>
        <v>0.014503791913373377</v>
      </c>
      <c r="J918" s="15">
        <f>LN(C918/C917)</f>
        <v>0.023027291318770588</v>
      </c>
      <c r="K918" s="15">
        <f>LN(D918/D917)</f>
        <v>0.011900341394089452</v>
      </c>
      <c r="L918" s="15">
        <f>LN(E918/E917)</f>
        <v>0.004689876016656186</v>
      </c>
      <c r="M918" s="15">
        <f>LN(F918/F917)</f>
        <v>0.006557757587587957</v>
      </c>
      <c r="O918" s="14">
        <v>45797</v>
      </c>
      <c r="P918" s="15">
        <f>I929</f>
        <v>-0.020619371273672565</v>
      </c>
      <c r="Q918" s="15">
        <f>J929</f>
        <v>-0.02382114165590572</v>
      </c>
      <c r="R918" s="15">
        <f>K929</f>
        <v>-0.017012836633652436</v>
      </c>
      <c r="S918" s="15">
        <f>L929</f>
        <v>-0.010540184450815589</v>
      </c>
      <c r="T918" s="15">
        <f>M929</f>
        <v>-0.011207040156759374</v>
      </c>
    </row>
    <row r="919" spans="1:20">
      <c r="A919" s="14">
        <v>45783</v>
      </c>
      <c r="B919" s="10">
        <v>1549.8876953125</v>
      </c>
      <c r="C919" s="10">
        <v>441.7415771484375</v>
      </c>
      <c r="D919" s="10">
        <v>1495.799072265625</v>
      </c>
      <c r="E919" s="10">
        <v>24379.599609375</v>
      </c>
      <c r="F919" s="10">
        <v>855.5999755859375</v>
      </c>
      <c r="I919" s="15">
        <f>LN(B919/B918)</f>
        <v>-0.041396593833052726</v>
      </c>
      <c r="J919" s="15">
        <f>LN(C919/C918)</f>
        <v>-0.040370410331891475</v>
      </c>
      <c r="K919" s="15">
        <f>LN(D919/D918)</f>
        <v>-0.03746847944760149</v>
      </c>
      <c r="L919" s="15">
        <f>LN(E919/E918)</f>
        <v>-0.0033394596535795407</v>
      </c>
      <c r="M919" s="15">
        <f>LN(F919/F918)</f>
        <v>-0.03643651679330525</v>
      </c>
      <c r="O919" s="14">
        <v>45798</v>
      </c>
      <c r="P919" s="15">
        <f>I930</f>
        <v>0.019061483294985027</v>
      </c>
      <c r="Q919" s="15">
        <f>J930</f>
        <v>0.014457530178723492</v>
      </c>
      <c r="R919" s="15">
        <f>K930</f>
        <v>0.024022118893850582</v>
      </c>
      <c r="S919" s="15">
        <f>L930</f>
        <v>0.0052345883147392296</v>
      </c>
      <c r="T919" s="15">
        <f>M930</f>
        <v>0.01708343927578788</v>
      </c>
    </row>
    <row r="920" spans="1:20">
      <c r="A920" s="14">
        <v>45784</v>
      </c>
      <c r="B920" s="10">
        <v>1572.0546875</v>
      </c>
      <c r="C920" s="10">
        <v>447.6746826171875</v>
      </c>
      <c r="D920" s="10">
        <v>1524.153686523438</v>
      </c>
      <c r="E920" s="10">
        <v>24414.400390625</v>
      </c>
      <c r="F920" s="10">
        <v>865.1500244140625</v>
      </c>
      <c r="I920" s="15">
        <f>LN(B920/B919)</f>
        <v>0.01420100821882003</v>
      </c>
      <c r="J920" s="15">
        <f>LN(C920/C919)</f>
        <v>0.01334176975621717</v>
      </c>
      <c r="K920" s="15">
        <f>LN(D920/D919)</f>
        <v>0.018778735806485335</v>
      </c>
      <c r="L920" s="15">
        <f>LN(E920/E919)</f>
        <v>0.001426437150093386</v>
      </c>
      <c r="M920" s="15">
        <f>LN(F920/F919)</f>
        <v>0.011099981848297826</v>
      </c>
      <c r="O920" s="14">
        <v>45799</v>
      </c>
      <c r="P920" s="15">
        <f>I931</f>
        <v>-0.002254260184919481</v>
      </c>
      <c r="Q920" s="15">
        <f>J931</f>
        <v>0.008306008752048311</v>
      </c>
      <c r="R920" s="15">
        <f>K931</f>
        <v>-0.015510952938739695</v>
      </c>
      <c r="S920" s="15">
        <f>L931</f>
        <v>-0.008245170966734258</v>
      </c>
      <c r="T920" s="15">
        <f>M931</f>
        <v>-0.004591314145108464</v>
      </c>
    </row>
    <row r="921" spans="1:20">
      <c r="A921" s="14">
        <v>45785</v>
      </c>
      <c r="B921" s="10">
        <v>1545.414794921875</v>
      </c>
      <c r="C921" s="10">
        <v>437.0050659179687</v>
      </c>
      <c r="D921" s="10">
        <v>1494.80078125</v>
      </c>
      <c r="E921" s="10">
        <v>24273.80078125</v>
      </c>
      <c r="F921" s="10">
        <v>843.7999877929688</v>
      </c>
      <c r="I921" s="15">
        <f>LN(B921/B920)</f>
        <v>-0.017091131893762306</v>
      </c>
      <c r="J921" s="15">
        <f>LN(C921/C920)</f>
        <v>-0.024122026246454303</v>
      </c>
      <c r="K921" s="15">
        <f>LN(D921/D920)</f>
        <v>-0.019446355081281327</v>
      </c>
      <c r="L921" s="15">
        <f>LN(E921/E920)</f>
        <v>-0.005775526588332327</v>
      </c>
      <c r="M921" s="15">
        <f>LN(F921/F920)</f>
        <v>-0.02498744529861023</v>
      </c>
      <c r="O921" s="14">
        <v>45800</v>
      </c>
      <c r="P921" s="15">
        <f>I932</f>
        <v>0.005942977152677031</v>
      </c>
      <c r="Q921" s="15">
        <f>J932</f>
        <v>-0.01423956054903884</v>
      </c>
      <c r="R921" s="15">
        <f>K932</f>
        <v>0.003509459217981005</v>
      </c>
      <c r="S921" s="15">
        <f>L932</f>
        <v>0.009843878373448323</v>
      </c>
      <c r="T921" s="15">
        <f>M932</f>
        <v>0.002618519782760862</v>
      </c>
    </row>
    <row r="922" spans="1:20">
      <c r="A922" s="14">
        <v>45786</v>
      </c>
      <c r="B922" s="10">
        <v>1525.036987304688</v>
      </c>
      <c r="C922" s="10">
        <v>427.5320739746094</v>
      </c>
      <c r="D922" s="10">
        <v>1476.530151367188</v>
      </c>
      <c r="E922" s="10">
        <v>24008</v>
      </c>
      <c r="F922" s="10">
        <v>823.75</v>
      </c>
      <c r="I922" s="15">
        <f>LN(B922/B921)</f>
        <v>-0.013273686258613209</v>
      </c>
      <c r="J922" s="15">
        <f>LN(C922/C921)</f>
        <v>-0.021915475114394862</v>
      </c>
      <c r="K922" s="15">
        <f>LN(D922/D921)</f>
        <v>-0.01229809844296827</v>
      </c>
      <c r="L922" s="15">
        <f>LN(E922/E921)</f>
        <v>-0.011010503428714508</v>
      </c>
      <c r="M922" s="15">
        <f>LN(F922/F921)</f>
        <v>-0.024048399406785922</v>
      </c>
      <c r="O922" s="14">
        <v>45803</v>
      </c>
      <c r="P922" s="15">
        <f>I933</f>
        <v>0.0017817962694455165</v>
      </c>
      <c r="Q922" s="15">
        <f>J933</f>
        <v>0.018845664668645228</v>
      </c>
      <c r="R922" s="15">
        <f>K933</f>
        <v>-0.001001424622723657</v>
      </c>
      <c r="S922" s="15">
        <f>L933</f>
        <v>0.0059373186446142635</v>
      </c>
      <c r="T922" s="15">
        <f>M933</f>
        <v>0.0076030081607140485</v>
      </c>
    </row>
    <row r="923" spans="1:20">
      <c r="A923" s="14">
        <v>45789</v>
      </c>
      <c r="B923" s="10">
        <v>1608.038452148438</v>
      </c>
      <c r="C923" s="10">
        <v>449.8185729980469</v>
      </c>
      <c r="D923" s="10">
        <v>1521.358154296875</v>
      </c>
      <c r="E923" s="10">
        <v>24924.69921875</v>
      </c>
      <c r="F923" s="10">
        <v>872.5999755859375</v>
      </c>
      <c r="I923" s="15">
        <f>LN(B923/B922)</f>
        <v>0.052996419762958914</v>
      </c>
      <c r="J923" s="15">
        <f>LN(C923/C922)</f>
        <v>0.050815017949954785</v>
      </c>
      <c r="K923" s="15">
        <f>LN(D923/D922)</f>
        <v>0.029908615637007367</v>
      </c>
      <c r="L923" s="15">
        <f>LN(E923/E922)</f>
        <v>0.03747214018466671</v>
      </c>
      <c r="M923" s="15">
        <f>LN(F923/F922)</f>
        <v>0.057610146894265135</v>
      </c>
      <c r="O923" s="14">
        <v>45804</v>
      </c>
      <c r="P923" s="15">
        <f>I934</f>
        <v>0.00561173001928435</v>
      </c>
      <c r="Q923" s="15">
        <f>J934</f>
        <v>-0.0023002825652785478</v>
      </c>
      <c r="R923" s="15">
        <f>K934</f>
        <v>0.010465348535982754</v>
      </c>
      <c r="S923" s="15">
        <f>L934</f>
        <v>-0.00702232377173064</v>
      </c>
      <c r="T923" s="15">
        <f>M934</f>
        <v>0.002433464468938587</v>
      </c>
    </row>
    <row r="924" spans="1:20">
      <c r="A924" s="14">
        <v>45790</v>
      </c>
      <c r="B924" s="10">
        <v>1576.7265625</v>
      </c>
      <c r="C924" s="10">
        <v>458.7431335449219</v>
      </c>
      <c r="D924" s="10">
        <v>1536.034545898438</v>
      </c>
      <c r="E924" s="10">
        <v>24578.349609375</v>
      </c>
      <c r="F924" s="10">
        <v>866.2999877929688</v>
      </c>
      <c r="I924" s="15">
        <f>LN(B924/B923)</f>
        <v>-0.0196641814836919</v>
      </c>
      <c r="J924" s="15">
        <f>LN(C924/C923)</f>
        <v>0.019646101153684502</v>
      </c>
      <c r="K924" s="15">
        <f>LN(D924/D923)</f>
        <v>0.009600666823596626</v>
      </c>
      <c r="L924" s="15">
        <f>LN(E924/E923)</f>
        <v>-0.013993290077199355</v>
      </c>
      <c r="M924" s="15">
        <f>LN(F924/F923)</f>
        <v>-0.007245977905885127</v>
      </c>
      <c r="O924" s="14">
        <v>45805</v>
      </c>
      <c r="P924" s="15">
        <f>I935</f>
        <v>-0.014552558920679881</v>
      </c>
      <c r="Q924" s="15">
        <f>J935</f>
        <v>-0.008383695938487421</v>
      </c>
      <c r="R924" s="15">
        <f>K935</f>
        <v>-0.01473274218626218</v>
      </c>
      <c r="S924" s="15">
        <f>L935</f>
        <v>-0.002975073210803887</v>
      </c>
      <c r="T924" s="15">
        <f>M935</f>
        <v>-0.0014805029881384854</v>
      </c>
    </row>
    <row r="925" spans="1:20">
      <c r="A925" s="14">
        <v>45791</v>
      </c>
      <c r="B925" s="10">
        <v>1603.664794921875</v>
      </c>
      <c r="C925" s="10">
        <v>458.094970703125</v>
      </c>
      <c r="D925" s="10">
        <v>1538.031372070312</v>
      </c>
      <c r="E925" s="10">
        <v>24666.900390625</v>
      </c>
      <c r="F925" s="10">
        <v>881</v>
      </c>
      <c r="I925" s="15">
        <f>LN(B925/B924)</f>
        <v>0.016940604867979745</v>
      </c>
      <c r="J925" s="15">
        <f>LN(C925/C924)</f>
        <v>-0.001413909275311255</v>
      </c>
      <c r="K925" s="15">
        <f>LN(D925/D924)</f>
        <v>0.0012991435486481779</v>
      </c>
      <c r="L925" s="15">
        <f>LN(E925/E924)</f>
        <v>0.003596321541244558</v>
      </c>
      <c r="M925" s="15">
        <f>LN(F925/F924)</f>
        <v>0.016826371131082547</v>
      </c>
      <c r="O925" s="14">
        <v>45806</v>
      </c>
      <c r="P925" s="15">
        <f>I936</f>
        <v>0.00865348866982573</v>
      </c>
      <c r="Q925" s="15">
        <f>J936</f>
        <v>0.0530481580950787</v>
      </c>
      <c r="R925" s="15">
        <f>K936</f>
        <v>-0.007321884531107532</v>
      </c>
      <c r="S925" s="15">
        <f>L936</f>
        <v>0.003273116733106363</v>
      </c>
      <c r="T925" s="15">
        <f>M936</f>
        <v>0.011364941418702661</v>
      </c>
    </row>
    <row r="926" spans="1:20">
      <c r="A926" s="14">
        <v>45792</v>
      </c>
      <c r="B926" s="10">
        <v>1623.744018554688</v>
      </c>
      <c r="C926" s="10">
        <v>472.2546691894531</v>
      </c>
      <c r="D926" s="10">
        <v>1552.608032226562</v>
      </c>
      <c r="E926" s="10">
        <v>25062.099609375</v>
      </c>
      <c r="F926" s="10">
        <v>897.9500122070312</v>
      </c>
      <c r="I926" s="15">
        <f>LN(B926/B925)</f>
        <v>0.012443098390045204</v>
      </c>
      <c r="J926" s="15">
        <f>LN(C926/C925)</f>
        <v>0.030441871214497453</v>
      </c>
      <c r="K926" s="15">
        <f>LN(D926/D925)</f>
        <v>0.009432849539237464</v>
      </c>
      <c r="L926" s="15">
        <f>LN(E926/E925)</f>
        <v>0.015894449466611917</v>
      </c>
      <c r="M926" s="15">
        <f>LN(F926/F925)</f>
        <v>0.019056775122898845</v>
      </c>
      <c r="O926" s="14">
        <v>45807</v>
      </c>
      <c r="P926" s="15">
        <f>I937</f>
        <v>0.0030971416752729377</v>
      </c>
      <c r="Q926" s="15">
        <f>J937</f>
        <v>0.02956688204050094</v>
      </c>
      <c r="R926" s="15">
        <f>K937</f>
        <v>-0.026577479697240256</v>
      </c>
      <c r="S926" s="15">
        <f>L937</f>
        <v>-0.0033438193068198903</v>
      </c>
      <c r="T926" s="15">
        <f>M937</f>
        <v>-0.006666554872188166</v>
      </c>
    </row>
    <row r="927" spans="1:20">
      <c r="A927" s="14">
        <v>45793</v>
      </c>
      <c r="B927" s="10">
        <v>1666.189086914062</v>
      </c>
      <c r="C927" s="10">
        <v>512.6395874023438</v>
      </c>
      <c r="D927" s="10">
        <v>1548.414794921875</v>
      </c>
      <c r="E927" s="10">
        <v>25019.80078125</v>
      </c>
      <c r="F927" s="10">
        <v>912.5499877929688</v>
      </c>
      <c r="I927" s="15">
        <f>LN(B927/B926)</f>
        <v>0.025804429578917026</v>
      </c>
      <c r="J927" s="15">
        <f>LN(C927/C926)</f>
        <v>0.0820546461444201</v>
      </c>
      <c r="K927" s="15">
        <f>LN(D927/D926)</f>
        <v>-0.0027044237299530373</v>
      </c>
      <c r="L927" s="15">
        <f>LN(E927/E926)</f>
        <v>-0.0016891866264205442</v>
      </c>
      <c r="M927" s="15">
        <f>LN(F927/F926)</f>
        <v>0.01612846404011585</v>
      </c>
      <c r="O927" s="14">
        <v>45810</v>
      </c>
      <c r="P927" s="15">
        <f>I938</f>
        <v>0.012406258063810276</v>
      </c>
      <c r="Q927" s="15">
        <f>J938</f>
        <v>0.03277838115993528</v>
      </c>
      <c r="R927" s="15">
        <f>K938</f>
        <v>0.02847624405153488</v>
      </c>
      <c r="S927" s="15">
        <f>L938</f>
        <v>-0.001378673005562118</v>
      </c>
      <c r="T927" s="15">
        <f>M938</f>
        <v>0.022806387509042146</v>
      </c>
    </row>
    <row r="928" spans="1:20">
      <c r="A928" s="14">
        <v>45796</v>
      </c>
      <c r="B928" s="10">
        <v>1724.240356445312</v>
      </c>
      <c r="C928" s="10">
        <v>518.9217529296875</v>
      </c>
      <c r="D928" s="10">
        <v>1603.925659179688</v>
      </c>
      <c r="E928" s="10">
        <v>24945.44921875</v>
      </c>
      <c r="F928" s="10">
        <v>933.2000122070312</v>
      </c>
      <c r="I928" s="15">
        <f>LN(B928/B927)</f>
        <v>0.03424754556369488</v>
      </c>
      <c r="J928" s="15">
        <f>LN(C928/C927)</f>
        <v>0.012180067140774502</v>
      </c>
      <c r="K928" s="15">
        <f>LN(D928/D927)</f>
        <v>0.035222466575633715</v>
      </c>
      <c r="L928" s="15">
        <f>LN(E928/E927)</f>
        <v>-0.002976133107706799</v>
      </c>
      <c r="M928" s="15">
        <f>LN(F928/F927)</f>
        <v>0.022376688128911644</v>
      </c>
      <c r="O928" s="14">
        <v>45811</v>
      </c>
      <c r="P928" s="15">
        <f>I939</f>
        <v>0.016380030446603307</v>
      </c>
      <c r="Q928" s="15">
        <f>J939</f>
        <v>0.002153137327302206</v>
      </c>
      <c r="R928" s="15">
        <f>K939</f>
        <v>0.02195138219236712</v>
      </c>
      <c r="S928" s="15">
        <f>L939</f>
        <v>-0.007068758288164619</v>
      </c>
      <c r="T928" s="15">
        <f>M939</f>
        <v>0.011923508729532222</v>
      </c>
    </row>
    <row r="929" spans="1:20">
      <c r="A929" s="14">
        <v>45797</v>
      </c>
      <c r="B929" s="10">
        <v>1689.051635742188</v>
      </c>
      <c r="C929" s="10">
        <v>506.7065124511719</v>
      </c>
      <c r="D929" s="10">
        <v>1576.869140625</v>
      </c>
      <c r="E929" s="10">
        <v>24683.900390625</v>
      </c>
      <c r="F929" s="10">
        <v>922.7999877929688</v>
      </c>
      <c r="I929" s="15">
        <f>LN(B929/B928)</f>
        <v>-0.020619371273672565</v>
      </c>
      <c r="J929" s="15">
        <f>LN(C929/C928)</f>
        <v>-0.02382114165590572</v>
      </c>
      <c r="K929" s="15">
        <f>LN(D929/D928)</f>
        <v>-0.017012836633652436</v>
      </c>
      <c r="L929" s="15">
        <f>LN(E929/E928)</f>
        <v>-0.010540184450815589</v>
      </c>
      <c r="M929" s="15">
        <f>LN(F929/F928)</f>
        <v>-0.011207040156759374</v>
      </c>
      <c r="O929" s="14">
        <v>45812</v>
      </c>
      <c r="P929" s="15">
        <f>I940</f>
        <v>-0.011190215076175434</v>
      </c>
      <c r="Q929" s="15">
        <f>J940</f>
        <v>-0.01779484153421498</v>
      </c>
      <c r="R929" s="15">
        <f>K940</f>
        <v>-0.017597942682037026</v>
      </c>
      <c r="S929" s="15">
        <f>L940</f>
        <v>0.0031609038835467354</v>
      </c>
      <c r="T929" s="15">
        <f>M940</f>
        <v>-0.007044823998296803</v>
      </c>
    </row>
    <row r="930" spans="1:20">
      <c r="A930" s="14">
        <v>45798</v>
      </c>
      <c r="B930" s="10">
        <v>1721.556274414062</v>
      </c>
      <c r="C930" s="10">
        <v>514.08544921875</v>
      </c>
      <c r="D930" s="10">
        <v>1615.20751953125</v>
      </c>
      <c r="E930" s="10">
        <v>24813.44921875</v>
      </c>
      <c r="F930" s="10">
        <v>938.7000122070312</v>
      </c>
      <c r="I930" s="15">
        <f>LN(B930/B929)</f>
        <v>0.019061483294985027</v>
      </c>
      <c r="J930" s="15">
        <f>LN(C930/C929)</f>
        <v>0.014457530178723492</v>
      </c>
      <c r="K930" s="15">
        <f>LN(D930/D929)</f>
        <v>0.024022118893850582</v>
      </c>
      <c r="L930" s="15">
        <f>LN(E930/E929)</f>
        <v>0.0052345883147392296</v>
      </c>
      <c r="M930" s="15">
        <f>LN(F930/F929)</f>
        <v>0.01708343927578788</v>
      </c>
      <c r="O930" s="14">
        <v>45813</v>
      </c>
      <c r="P930" s="15">
        <f>I941</f>
        <v>0.013135703199408464</v>
      </c>
      <c r="Q930" s="15">
        <f>J941</f>
        <v>-0.0006132432414758032</v>
      </c>
      <c r="R930" s="15">
        <f>K941</f>
        <v>-0.016888139181200443</v>
      </c>
      <c r="S930" s="15">
        <f>L941</f>
        <v>0.005294655304090157</v>
      </c>
      <c r="T930" s="15">
        <f>M941</f>
        <v>0.017368752912530157</v>
      </c>
    </row>
    <row r="931" spans="1:20">
      <c r="A931" s="14">
        <v>45799</v>
      </c>
      <c r="B931" s="10">
        <v>1717.679809570312</v>
      </c>
      <c r="C931" s="10">
        <v>518.3732299804688</v>
      </c>
      <c r="D931" s="10">
        <v>1590.347412109375</v>
      </c>
      <c r="E931" s="10">
        <v>24609.69921875</v>
      </c>
      <c r="F931" s="10">
        <v>934.4000244140624</v>
      </c>
      <c r="I931" s="15">
        <f>LN(B931/B930)</f>
        <v>-0.002254260184919481</v>
      </c>
      <c r="J931" s="15">
        <f>LN(C931/C930)</f>
        <v>0.008306008752048311</v>
      </c>
      <c r="K931" s="15">
        <f>LN(D931/D930)</f>
        <v>-0.015510952938739695</v>
      </c>
      <c r="L931" s="15">
        <f>LN(E931/E930)</f>
        <v>-0.008245170966734258</v>
      </c>
      <c r="M931" s="15">
        <f>LN(F931/F930)</f>
        <v>-0.004591314145108464</v>
      </c>
      <c r="O931" s="14">
        <v>45814</v>
      </c>
      <c r="P931" s="15">
        <f>I942</f>
        <v>0.05792929972425943</v>
      </c>
      <c r="Q931" s="15">
        <f>J942</f>
        <v>0.009159500391624734</v>
      </c>
      <c r="R931" s="15">
        <f>K942</f>
        <v>0.022976337712993136</v>
      </c>
      <c r="S931" s="15">
        <f>L942</f>
        <v>0.010135980900817266</v>
      </c>
      <c r="T931" s="15">
        <f>M942</f>
        <v>0.0457599399576197</v>
      </c>
    </row>
    <row r="932" spans="1:20">
      <c r="A932" s="14">
        <v>45800</v>
      </c>
      <c r="B932" s="10">
        <v>1727.918334960938</v>
      </c>
      <c r="C932" s="10">
        <v>511.0441284179687</v>
      </c>
      <c r="D932" s="10">
        <v>1595.9384765625</v>
      </c>
      <c r="E932" s="10">
        <v>24853.150390625</v>
      </c>
      <c r="F932" s="10">
        <v>936.8499755859376</v>
      </c>
      <c r="I932" s="15">
        <f>LN(B932/B931)</f>
        <v>0.005942977152677031</v>
      </c>
      <c r="J932" s="15">
        <f>LN(C932/C931)</f>
        <v>-0.01423956054903884</v>
      </c>
      <c r="K932" s="15">
        <f>LN(D932/D931)</f>
        <v>0.003509459217981005</v>
      </c>
      <c r="L932" s="15">
        <f>LN(E932/E931)</f>
        <v>0.009843878373448323</v>
      </c>
      <c r="M932" s="15">
        <f>LN(F932/F931)</f>
        <v>0.002618519782760862</v>
      </c>
      <c r="O932" s="14">
        <v>45817</v>
      </c>
      <c r="P932" s="15">
        <f>I943</f>
        <v>-0.002676210049996671</v>
      </c>
      <c r="Q932" s="15">
        <f>J943</f>
        <v>0.017217996186708488</v>
      </c>
      <c r="R932" s="15">
        <f>K943</f>
        <v>0.011014838970237355</v>
      </c>
      <c r="S932" s="15">
        <f>L943</f>
        <v>0.003997448256890138</v>
      </c>
      <c r="T932" s="15">
        <f>M943</f>
        <v>-0.0013956938103676661</v>
      </c>
    </row>
    <row r="933" spans="1:20">
      <c r="A933" s="14">
        <v>45803</v>
      </c>
      <c r="B933" s="10">
        <v>1730.999877929688</v>
      </c>
      <c r="C933" s="10">
        <v>520.7664184570312</v>
      </c>
      <c r="D933" s="10">
        <v>1594.341064453125</v>
      </c>
      <c r="E933" s="10">
        <v>25001.150390625</v>
      </c>
      <c r="F933" s="10">
        <v>944</v>
      </c>
      <c r="I933" s="15">
        <f>LN(B933/B932)</f>
        <v>0.0017817962694455165</v>
      </c>
      <c r="J933" s="15">
        <f>LN(C933/C932)</f>
        <v>0.018845664668645228</v>
      </c>
      <c r="K933" s="15">
        <f>LN(D933/D932)</f>
        <v>-0.001001424622723657</v>
      </c>
      <c r="L933" s="15">
        <f>LN(E933/E932)</f>
        <v>0.0059373186446142635</v>
      </c>
      <c r="M933" s="15">
        <f>LN(F933/F932)</f>
        <v>0.0076030081607140485</v>
      </c>
      <c r="O933" s="14">
        <v>45818</v>
      </c>
      <c r="P933" s="15">
        <f>I944</f>
        <v>0.0076423589506170835</v>
      </c>
      <c r="Q933" s="15">
        <f>J944</f>
        <v>-0.014702853315896257</v>
      </c>
      <c r="R933" s="15">
        <f>K944</f>
        <v>0.006969004046988507</v>
      </c>
      <c r="S933" s="15">
        <f>L944</f>
        <v>4.18575835460567e-05</v>
      </c>
      <c r="T933" s="15">
        <f>M944</f>
        <v>-0.011480157244353464</v>
      </c>
    </row>
    <row r="934" spans="1:20">
      <c r="A934" s="14">
        <v>45804</v>
      </c>
      <c r="B934" s="10">
        <v>1740.741088867188</v>
      </c>
      <c r="C934" s="10">
        <v>519.5698852539062</v>
      </c>
      <c r="D934" s="10">
        <v>1611.114013671875</v>
      </c>
      <c r="E934" s="10">
        <v>24826.19921875</v>
      </c>
      <c r="F934" s="10">
        <v>946.2999877929688</v>
      </c>
      <c r="I934" s="15">
        <f>LN(B934/B933)</f>
        <v>0.00561173001928435</v>
      </c>
      <c r="J934" s="15">
        <f>LN(C934/C933)</f>
        <v>-0.0023002825652785478</v>
      </c>
      <c r="K934" s="15">
        <f>LN(D934/D933)</f>
        <v>0.010465348535982754</v>
      </c>
      <c r="L934" s="15">
        <f>LN(E934/E933)</f>
        <v>-0.00702232377173064</v>
      </c>
      <c r="M934" s="15">
        <f>LN(F934/F933)</f>
        <v>0.002433464468938587</v>
      </c>
      <c r="O934" s="14">
        <v>45819</v>
      </c>
      <c r="P934" s="15">
        <f>I945</f>
        <v>-0.008746530703576767</v>
      </c>
      <c r="Q934" s="15">
        <f>J945</f>
        <v>-0.005733098294935693</v>
      </c>
      <c r="R934" s="15">
        <f>K945</f>
        <v>0.013976059957275978</v>
      </c>
      <c r="S934" s="15">
        <f>L945</f>
        <v>0.001478750781646587</v>
      </c>
      <c r="T934" s="15">
        <f>M945</f>
        <v>0.0009251795349979247</v>
      </c>
    </row>
    <row r="935" spans="1:20">
      <c r="A935" s="14">
        <v>45805</v>
      </c>
      <c r="B935" s="10">
        <v>1715.59228515625</v>
      </c>
      <c r="C935" s="10">
        <v>515.232177734375</v>
      </c>
      <c r="D935" s="10">
        <v>1587.551879882812</v>
      </c>
      <c r="E935" s="10">
        <v>24752.44921875</v>
      </c>
      <c r="F935" s="10">
        <v>944.9000244140624</v>
      </c>
      <c r="I935" s="15">
        <f>LN(B935/B934)</f>
        <v>-0.014552558920679881</v>
      </c>
      <c r="J935" s="15">
        <f>LN(C935/C934)</f>
        <v>-0.008383695938487421</v>
      </c>
      <c r="K935" s="15">
        <f>LN(D935/D934)</f>
        <v>-0.01473274218626218</v>
      </c>
      <c r="L935" s="15">
        <f>LN(E935/E934)</f>
        <v>-0.002975073210803887</v>
      </c>
      <c r="M935" s="15">
        <f>LN(F935/F934)</f>
        <v>-0.0014805029881384854</v>
      </c>
      <c r="O935" s="14">
        <v>45820</v>
      </c>
      <c r="P935" s="15">
        <f>I946</f>
        <v>-0.005697407234491558</v>
      </c>
      <c r="Q935" s="15">
        <f>J946</f>
        <v>-0.030426054562873627</v>
      </c>
      <c r="R935" s="15">
        <f>K946</f>
        <v>-0.02758927478759216</v>
      </c>
      <c r="S935" s="15">
        <f>L946</f>
        <v>-0.010122141121121413</v>
      </c>
      <c r="T935" s="15">
        <f>M946</f>
        <v>-0.020456028887677967</v>
      </c>
    </row>
    <row r="936" spans="1:20">
      <c r="A936" s="14">
        <v>45806</v>
      </c>
      <c r="B936" s="10">
        <v>1730.502563476562</v>
      </c>
      <c r="C936" s="10">
        <v>543.30224609375</v>
      </c>
      <c r="D936" s="10">
        <v>1575.970458984375</v>
      </c>
      <c r="E936" s="10">
        <v>24833.599609375</v>
      </c>
      <c r="F936" s="10">
        <v>955.7000122070312</v>
      </c>
      <c r="I936" s="15">
        <f>LN(B936/B935)</f>
        <v>0.00865348866982573</v>
      </c>
      <c r="J936" s="15">
        <f>LN(C936/C935)</f>
        <v>0.0530481580950787</v>
      </c>
      <c r="K936" s="15">
        <f>LN(D936/D935)</f>
        <v>-0.007321884531107532</v>
      </c>
      <c r="L936" s="15">
        <f>LN(E936/E935)</f>
        <v>0.003273116733106363</v>
      </c>
      <c r="M936" s="15">
        <f>LN(F936/F935)</f>
        <v>0.011364941418702661</v>
      </c>
      <c r="O936" s="14">
        <v>45821</v>
      </c>
      <c r="P936" s="15">
        <f>I947</f>
        <v>0.006801578987451389</v>
      </c>
      <c r="Q936" s="15">
        <f>J947</f>
        <v>-0.021789388317004593</v>
      </c>
      <c r="R936" s="15">
        <f>K947</f>
        <v>-0.005748171587526656</v>
      </c>
      <c r="S936" s="15">
        <f>L947</f>
        <v>-0.006837783295332098</v>
      </c>
      <c r="T936" s="15">
        <f>M947</f>
        <v>0.0005959529214748325</v>
      </c>
    </row>
    <row r="937" spans="1:20">
      <c r="A937" s="14">
        <v>45807</v>
      </c>
      <c r="B937" s="10">
        <v>1735.870483398438</v>
      </c>
      <c r="C937" s="10">
        <v>559.6058349609375</v>
      </c>
      <c r="D937" s="10">
        <v>1534.636840820312</v>
      </c>
      <c r="E937" s="10">
        <v>24750.69921875</v>
      </c>
      <c r="F937" s="10">
        <v>949.3499755859376</v>
      </c>
      <c r="I937" s="15">
        <f>LN(B937/B936)</f>
        <v>0.0030971416752729377</v>
      </c>
      <c r="J937" s="15">
        <f>LN(C937/C936)</f>
        <v>0.02956688204050094</v>
      </c>
      <c r="K937" s="15">
        <f>LN(D937/D936)</f>
        <v>-0.026577479697240256</v>
      </c>
      <c r="L937" s="15">
        <f>LN(E937/E936)</f>
        <v>-0.0033438193068198903</v>
      </c>
      <c r="M937" s="15">
        <f>LN(F937/F936)</f>
        <v>-0.006666554872188166</v>
      </c>
      <c r="O937" s="14">
        <v>45824</v>
      </c>
      <c r="P937" s="15">
        <f>I948</f>
        <v>0.013465736270530066</v>
      </c>
      <c r="Q937" s="15">
        <f>J948</f>
        <v>0.014216934501752768</v>
      </c>
      <c r="R937" s="15">
        <f>K948</f>
        <v>0.012887287550861399</v>
      </c>
      <c r="S937" s="15">
        <f>L948</f>
        <v>0.00917755091754434</v>
      </c>
      <c r="T937" s="15">
        <f>M948</f>
        <v>0.013071436919784593</v>
      </c>
    </row>
    <row r="938" spans="1:20">
      <c r="A938" s="14">
        <v>45810</v>
      </c>
      <c r="B938" s="10">
        <v>1757.540283203125</v>
      </c>
      <c r="C938" s="10">
        <v>578.2527465820312</v>
      </c>
      <c r="D938" s="10">
        <v>1578.965698242188</v>
      </c>
      <c r="E938" s="10">
        <v>24716.599609375</v>
      </c>
      <c r="F938" s="10">
        <v>971.25</v>
      </c>
      <c r="I938" s="15">
        <f>LN(B938/B937)</f>
        <v>0.012406258063810276</v>
      </c>
      <c r="J938" s="15">
        <f>LN(C938/C937)</f>
        <v>0.03277838115993528</v>
      </c>
      <c r="K938" s="15">
        <f>LN(D938/D937)</f>
        <v>0.02847624405153488</v>
      </c>
      <c r="L938" s="15">
        <f>LN(E938/E937)</f>
        <v>-0.001378673005562118</v>
      </c>
      <c r="M938" s="15">
        <f>LN(F938/F937)</f>
        <v>0.022806387509042146</v>
      </c>
      <c r="O938" s="14">
        <v>45825</v>
      </c>
      <c r="P938" s="15">
        <f>I949</f>
        <v>-0.00921854855597446</v>
      </c>
      <c r="Q938" s="15">
        <f>J949</f>
        <v>-0.03377347277242387</v>
      </c>
      <c r="R938" s="15">
        <f>K949</f>
        <v>-0.0019194076004659093</v>
      </c>
      <c r="S938" s="15">
        <f>L949</f>
        <v>-0.0037389519699400583</v>
      </c>
      <c r="T938" s="15">
        <f>M949</f>
        <v>-0.006489674286691575</v>
      </c>
    </row>
    <row r="939" spans="1:20">
      <c r="A939" s="14">
        <v>45811</v>
      </c>
      <c r="B939" s="10">
        <v>1786.56591796875</v>
      </c>
      <c r="C939" s="10">
        <v>579.4991455078125</v>
      </c>
      <c r="D939" s="10">
        <v>1614.009399414062</v>
      </c>
      <c r="E939" s="10">
        <v>24542.5</v>
      </c>
      <c r="F939" s="10">
        <v>982.9000244140624</v>
      </c>
      <c r="I939" s="15">
        <f>LN(B939/B938)</f>
        <v>0.016380030446603307</v>
      </c>
      <c r="J939" s="15">
        <f>LN(C939/C938)</f>
        <v>0.002153137327302206</v>
      </c>
      <c r="K939" s="15">
        <f>LN(D939/D938)</f>
        <v>0.02195138219236712</v>
      </c>
      <c r="L939" s="15">
        <f>LN(E939/E938)</f>
        <v>-0.007068758288164619</v>
      </c>
      <c r="M939" s="15">
        <f>LN(F939/F938)</f>
        <v>0.011923508729532222</v>
      </c>
      <c r="O939" s="14">
        <v>45826</v>
      </c>
      <c r="P939" s="15">
        <f>I950</f>
        <v>-0.00787955543630449</v>
      </c>
      <c r="Q939" s="15">
        <f>J950</f>
        <v>-0.012811058519478549</v>
      </c>
      <c r="R939" s="15">
        <f>K950</f>
        <v>-0.004908206864495447</v>
      </c>
      <c r="S939" s="15">
        <f>L950</f>
        <v>-0.0016651260767121068</v>
      </c>
      <c r="T939" s="15">
        <f>M950</f>
        <v>-0.004746362817381675</v>
      </c>
    </row>
    <row r="940" spans="1:20">
      <c r="A940" s="14">
        <v>45812</v>
      </c>
      <c r="B940" s="10">
        <v>1766.685302734375</v>
      </c>
      <c r="C940" s="10">
        <v>569.2782592773438</v>
      </c>
      <c r="D940" s="10">
        <v>1585.854614257812</v>
      </c>
      <c r="E940" s="10">
        <v>24620.19921875</v>
      </c>
      <c r="F940" s="10">
        <v>976</v>
      </c>
      <c r="I940" s="15">
        <f>LN(B940/B939)</f>
        <v>-0.011190215076175434</v>
      </c>
      <c r="J940" s="15">
        <f>LN(C940/C939)</f>
        <v>-0.01779484153421498</v>
      </c>
      <c r="K940" s="15">
        <f>LN(D940/D939)</f>
        <v>-0.017597942682037026</v>
      </c>
      <c r="L940" s="15">
        <f>LN(E940/E939)</f>
        <v>0.0031609038835467354</v>
      </c>
      <c r="M940" s="15">
        <f>LN(F940/F939)</f>
        <v>-0.007044823998296803</v>
      </c>
      <c r="O940" s="14">
        <v>45827</v>
      </c>
      <c r="P940" s="15">
        <f>I951</f>
        <v>-0.008420422863506893</v>
      </c>
      <c r="Q940" s="15">
        <f>J951</f>
        <v>-0.02369533556607263</v>
      </c>
      <c r="R940" s="15">
        <f>K951</f>
        <v>-0.02478139205487614</v>
      </c>
      <c r="S940" s="15">
        <f>L951</f>
        <v>-0.0007580150449296773</v>
      </c>
      <c r="T940" s="15">
        <f>M951</f>
        <v>-0.016137061601666513</v>
      </c>
    </row>
    <row r="941" spans="1:20">
      <c r="A941" s="14">
        <v>45813</v>
      </c>
      <c r="B941" s="10">
        <v>1790.045043945312</v>
      </c>
      <c r="C941" s="10">
        <v>568.9292602539062</v>
      </c>
      <c r="D941" s="10">
        <v>1559.29736328125</v>
      </c>
      <c r="E941" s="10">
        <v>24750.900390625</v>
      </c>
      <c r="F941" s="10">
        <v>993.0999755859376</v>
      </c>
      <c r="I941" s="15">
        <f>LN(B941/B940)</f>
        <v>0.013135703199408464</v>
      </c>
      <c r="J941" s="15">
        <f>LN(C941/C940)</f>
        <v>-0.0006132432414758032</v>
      </c>
      <c r="K941" s="15">
        <f>LN(D941/D940)</f>
        <v>-0.016888139181200443</v>
      </c>
      <c r="L941" s="15">
        <f>LN(E941/E940)</f>
        <v>0.005294655304090157</v>
      </c>
      <c r="M941" s="15">
        <f>LN(F941/F940)</f>
        <v>0.017368752912530157</v>
      </c>
      <c r="O941" s="14">
        <v>45828</v>
      </c>
      <c r="P941" s="15">
        <f>I952</f>
        <v>0.01614299154552735</v>
      </c>
      <c r="Q941" s="15">
        <f>J952</f>
        <v>-0.006037004800508195</v>
      </c>
      <c r="R941" s="15">
        <f>K952</f>
        <v>0.0312997005726044</v>
      </c>
      <c r="S941" s="15">
        <f>L952</f>
        <v>0.012790324902965947</v>
      </c>
      <c r="T941" s="15">
        <f>M952</f>
        <v>0.020834110988139677</v>
      </c>
    </row>
    <row r="942" spans="1:20">
      <c r="A942" s="14">
        <v>45814</v>
      </c>
      <c r="B942" s="10">
        <v>1896.803466796875</v>
      </c>
      <c r="C942" s="10">
        <v>574.164306640625</v>
      </c>
      <c r="D942" s="10">
        <v>1595.5390625</v>
      </c>
      <c r="E942" s="10">
        <v>25003.05078125</v>
      </c>
      <c r="F942" s="10">
        <v>1039.599975585938</v>
      </c>
      <c r="I942" s="15">
        <f>LN(B942/B941)</f>
        <v>0.05792929972425943</v>
      </c>
      <c r="J942" s="15">
        <f>LN(C942/C941)</f>
        <v>0.009159500391624734</v>
      </c>
      <c r="K942" s="15">
        <f>LN(D942/D941)</f>
        <v>0.022976337712993136</v>
      </c>
      <c r="L942" s="15">
        <f>LN(E942/E941)</f>
        <v>0.010135980900817266</v>
      </c>
      <c r="M942" s="15">
        <f>LN(F942/F941)</f>
        <v>0.0457599399576197</v>
      </c>
      <c r="O942" s="14">
        <v>45831</v>
      </c>
      <c r="P942" s="15">
        <f>I953</f>
        <v>0.013049706292363612</v>
      </c>
      <c r="Q942" s="15">
        <f>J953</f>
        <v>0.01329141853568467</v>
      </c>
      <c r="R942" s="15">
        <f>K953</f>
        <v>0.003274132332594242</v>
      </c>
      <c r="S942" s="15">
        <f>L953</f>
        <v>-0.005610555258512813</v>
      </c>
      <c r="T942" s="15">
        <f>M953</f>
        <v>-0.0009870207344292291</v>
      </c>
    </row>
    <row r="943" spans="1:20">
      <c r="A943" s="14">
        <v>45817</v>
      </c>
      <c r="B943" s="10">
        <v>1891.734008789062</v>
      </c>
      <c r="C943" s="10">
        <v>584.1358642578125</v>
      </c>
      <c r="D943" s="10">
        <v>1613.210815429688</v>
      </c>
      <c r="E943" s="10">
        <v>25103.19921875</v>
      </c>
      <c r="F943" s="10">
        <v>1038.150024414062</v>
      </c>
      <c r="I943" s="15">
        <f>LN(B943/B942)</f>
        <v>-0.002676210049996671</v>
      </c>
      <c r="J943" s="15">
        <f>LN(C943/C942)</f>
        <v>0.017217996186708488</v>
      </c>
      <c r="K943" s="15">
        <f>LN(D943/D942)</f>
        <v>0.011014838970237355</v>
      </c>
      <c r="L943" s="15">
        <f>LN(E943/E942)</f>
        <v>0.003997448256890138</v>
      </c>
      <c r="M943" s="15">
        <f>LN(F943/F942)</f>
        <v>-0.0013956938103676661</v>
      </c>
      <c r="O943" s="14">
        <v>45832</v>
      </c>
      <c r="P943" s="15">
        <f>I954</f>
        <v>0.02650494057156162</v>
      </c>
      <c r="Q943" s="15">
        <f>J954</f>
        <v>0.039680179031032055</v>
      </c>
      <c r="R943" s="15">
        <f>K954</f>
        <v>-0.01216198410217931</v>
      </c>
      <c r="S943" s="15">
        <f>L954</f>
        <v>0.0028970292423300638</v>
      </c>
      <c r="T943" s="15">
        <f>M954</f>
        <v>0.0015787418214852442</v>
      </c>
    </row>
    <row r="944" spans="1:20">
      <c r="A944" s="14">
        <v>45818</v>
      </c>
      <c r="B944" s="10">
        <v>1906.246704101562</v>
      </c>
      <c r="C944" s="10">
        <v>575.6102294921875</v>
      </c>
      <c r="D944" s="10">
        <v>1624.492553710938</v>
      </c>
      <c r="E944" s="10">
        <v>25104.25</v>
      </c>
      <c r="F944" s="10">
        <v>1026.300048828125</v>
      </c>
      <c r="I944" s="15">
        <f>LN(B944/B943)</f>
        <v>0.0076423589506170835</v>
      </c>
      <c r="J944" s="15">
        <f>LN(C944/C943)</f>
        <v>-0.014702853315896257</v>
      </c>
      <c r="K944" s="15">
        <f>LN(D944/D943)</f>
        <v>0.006969004046988507</v>
      </c>
      <c r="L944" s="15">
        <f>LN(E944/E943)</f>
        <v>4.18575835460567e-05</v>
      </c>
      <c r="M944" s="15">
        <f>LN(F944/F943)</f>
        <v>-0.011480157244353464</v>
      </c>
      <c r="O944" s="14">
        <v>45833</v>
      </c>
      <c r="P944" s="15">
        <f>I955</f>
        <v>0.000502948844574716</v>
      </c>
      <c r="Q944" s="15">
        <f>J955</f>
        <v>0.047837006100784854</v>
      </c>
      <c r="R944" s="15">
        <f>K955</f>
        <v>0.010866015378987256</v>
      </c>
      <c r="S944" s="15">
        <f>L955</f>
        <v>0.00796997571939643</v>
      </c>
      <c r="T944" s="15">
        <f>M955</f>
        <v>0.005359055254822019</v>
      </c>
    </row>
    <row r="945" spans="1:20">
      <c r="A945" s="14">
        <v>45819</v>
      </c>
      <c r="B945" s="10">
        <v>1889.646362304688</v>
      </c>
      <c r="C945" s="10">
        <v>572.3196411132812</v>
      </c>
      <c r="D945" s="10">
        <v>1647.35595703125</v>
      </c>
      <c r="E945" s="10">
        <v>25141.400390625</v>
      </c>
      <c r="F945" s="10">
        <v>1027.25</v>
      </c>
      <c r="I945" s="15">
        <f>LN(B945/B944)</f>
        <v>-0.008746530703576767</v>
      </c>
      <c r="J945" s="15">
        <f>LN(C945/C944)</f>
        <v>-0.005733098294935693</v>
      </c>
      <c r="K945" s="15">
        <f>LN(D945/D944)</f>
        <v>0.013976059957275978</v>
      </c>
      <c r="L945" s="15">
        <f>LN(E945/E944)</f>
        <v>0.001478750781646587</v>
      </c>
      <c r="M945" s="15">
        <f>LN(F945/F944)</f>
        <v>0.0009251795349979247</v>
      </c>
      <c r="O945" s="14">
        <v>45834</v>
      </c>
      <c r="P945" s="15">
        <f>I956</f>
        <v>-0.003374176286733081</v>
      </c>
      <c r="Q945" s="15">
        <f>J956</f>
        <v>-0.0035381619602426486</v>
      </c>
      <c r="R945" s="15">
        <f>K956</f>
        <v>0.004989626740913156</v>
      </c>
      <c r="S945" s="15">
        <f>L956</f>
        <v>0.011979963629751521</v>
      </c>
      <c r="T945" s="15">
        <f>M956</f>
        <v>-0.010003803436552326</v>
      </c>
    </row>
    <row r="946" spans="1:20">
      <c r="A946" s="14">
        <v>45820</v>
      </c>
      <c r="B946" s="10">
        <v>1878.910888671875</v>
      </c>
      <c r="C946" s="10">
        <v>555.16845703125</v>
      </c>
      <c r="D946" s="10">
        <v>1602.52783203125</v>
      </c>
      <c r="E946" s="10">
        <v>24888.19921875</v>
      </c>
      <c r="F946" s="10">
        <v>1006.450012207031</v>
      </c>
      <c r="I946" s="15">
        <f>LN(B946/B945)</f>
        <v>-0.005697407234491558</v>
      </c>
      <c r="J946" s="15">
        <f>LN(C946/C945)</f>
        <v>-0.030426054562873627</v>
      </c>
      <c r="K946" s="15">
        <f>LN(D946/D945)</f>
        <v>-0.02758927478759216</v>
      </c>
      <c r="L946" s="15">
        <f>LN(E946/E945)</f>
        <v>-0.010122141121121413</v>
      </c>
      <c r="M946" s="15">
        <f>LN(F946/F945)</f>
        <v>-0.020456028887677967</v>
      </c>
      <c r="O946" s="14">
        <v>45835</v>
      </c>
      <c r="P946" s="15">
        <f>I957</f>
        <v>-0.03255765449149036</v>
      </c>
      <c r="Q946" s="15">
        <f>J957</f>
        <v>-0.0183327344330325</v>
      </c>
      <c r="R946" s="15">
        <f>K957</f>
        <v>-0.03552594088071384</v>
      </c>
      <c r="S946" s="15">
        <f>L957</f>
        <v>0.00346967847107354</v>
      </c>
      <c r="T946" s="15">
        <f>M957</f>
        <v>-0.015573038042962626</v>
      </c>
    </row>
    <row r="947" spans="1:20">
      <c r="A947" s="14">
        <v>45821</v>
      </c>
      <c r="B947" s="10">
        <v>1891.734008789062</v>
      </c>
      <c r="C947" s="10">
        <v>543.2025146484375</v>
      </c>
      <c r="D947" s="10">
        <v>1593.342651367188</v>
      </c>
      <c r="E947" s="10">
        <v>24718.599609375</v>
      </c>
      <c r="F947" s="10">
        <v>1007.049987792969</v>
      </c>
      <c r="I947" s="15">
        <f>LN(B947/B946)</f>
        <v>0.006801578987451389</v>
      </c>
      <c r="J947" s="15">
        <f>LN(C947/C946)</f>
        <v>-0.021789388317004593</v>
      </c>
      <c r="K947" s="15">
        <f>LN(D947/D946)</f>
        <v>-0.005748171587526656</v>
      </c>
      <c r="L947" s="15">
        <f>LN(E947/E946)</f>
        <v>-0.006837783295332098</v>
      </c>
      <c r="M947" s="15">
        <f>LN(F947/F946)</f>
        <v>0.0005959529214748325</v>
      </c>
      <c r="O947" s="14">
        <v>45838</v>
      </c>
      <c r="P947" s="15">
        <f>I958</f>
        <v>-0.006903290473682047</v>
      </c>
      <c r="Q947" s="15">
        <f>J958</f>
        <v>0.02222408987445316</v>
      </c>
      <c r="R947" s="15">
        <f>K958</f>
        <v>-0.005682743233449247</v>
      </c>
      <c r="S947" s="15">
        <f>L958</f>
        <v>-0.004720968611190444</v>
      </c>
      <c r="T947" s="15">
        <f>M958</f>
        <v>-0.007472919819848127</v>
      </c>
    </row>
    <row r="948" spans="1:20">
      <c r="A948" s="14">
        <v>45824</v>
      </c>
      <c r="B948" s="10">
        <v>1917.3798828125</v>
      </c>
      <c r="C948" s="10">
        <v>550.9803466796875</v>
      </c>
      <c r="D948" s="10">
        <v>1614.009399414062</v>
      </c>
      <c r="E948" s="10">
        <v>24946.5</v>
      </c>
      <c r="F948" s="10">
        <v>1020.299987792969</v>
      </c>
      <c r="I948" s="15">
        <f>LN(B948/B947)</f>
        <v>0.013465736270530066</v>
      </c>
      <c r="J948" s="15">
        <f>LN(C948/C947)</f>
        <v>0.014216934501752768</v>
      </c>
      <c r="K948" s="15">
        <f>LN(D948/D947)</f>
        <v>0.012887287550861399</v>
      </c>
      <c r="L948" s="15">
        <f>LN(E948/E947)</f>
        <v>0.00917755091754434</v>
      </c>
      <c r="M948" s="15">
        <f>LN(F948/F947)</f>
        <v>0.013071436919784593</v>
      </c>
      <c r="O948" s="14">
        <v>45839</v>
      </c>
      <c r="P948" s="15">
        <f>I959</f>
        <v>0.0040848463203031335</v>
      </c>
      <c r="Q948" s="15">
        <f>J959</f>
        <v>-0.0026515634280131926</v>
      </c>
      <c r="R948" s="15">
        <f>K959</f>
        <v>-0.00990994082712003</v>
      </c>
      <c r="S948" s="15">
        <f>L959</f>
        <v>0.0009694695897414579</v>
      </c>
      <c r="T948" s="15">
        <f>M959</f>
        <v>-0.0023848552071390936</v>
      </c>
    </row>
    <row r="949" spans="1:20">
      <c r="A949" s="14">
        <v>45825</v>
      </c>
      <c r="B949" s="10">
        <v>1899.78564453125</v>
      </c>
      <c r="C949" s="10">
        <v>532.6825561523438</v>
      </c>
      <c r="D949" s="10">
        <v>1610.914428710938</v>
      </c>
      <c r="E949" s="10">
        <v>24853.400390625</v>
      </c>
      <c r="F949" s="10">
        <v>1013.700012207031</v>
      </c>
      <c r="I949" s="15">
        <f>LN(B949/B948)</f>
        <v>-0.00921854855597446</v>
      </c>
      <c r="J949" s="15">
        <f>LN(C949/C948)</f>
        <v>-0.03377347277242387</v>
      </c>
      <c r="K949" s="15">
        <f>LN(D949/D948)</f>
        <v>-0.0019194076004659093</v>
      </c>
      <c r="L949" s="15">
        <f>LN(E949/E948)</f>
        <v>-0.0037389519699400583</v>
      </c>
      <c r="M949" s="15">
        <f>LN(F949/F948)</f>
        <v>-0.006489674286691575</v>
      </c>
      <c r="O949" s="14">
        <v>45840</v>
      </c>
      <c r="P949" s="15">
        <f>I960</f>
        <v>-0.008133711051938644</v>
      </c>
      <c r="Q949" s="15">
        <f>J960</f>
        <v>-0.02038514677598179</v>
      </c>
      <c r="R949" s="15">
        <f>K960</f>
        <v>-0.03373884118624612</v>
      </c>
      <c r="S949" s="15">
        <f>L960</f>
        <v>-0.0034670116851196766</v>
      </c>
      <c r="T949" s="15">
        <f>M960</f>
        <v>-0.014481536858084629</v>
      </c>
    </row>
    <row r="950" spans="1:20">
      <c r="A950" s="14">
        <v>45826</v>
      </c>
      <c r="B950" s="10">
        <v>1884.875</v>
      </c>
      <c r="C950" s="10">
        <v>525.90185546875</v>
      </c>
      <c r="D950" s="10">
        <v>1603.027099609375</v>
      </c>
      <c r="E950" s="10">
        <v>24812.05078125</v>
      </c>
      <c r="F950" s="10">
        <v>1008.900024414062</v>
      </c>
      <c r="I950" s="15">
        <f>LN(B950/B949)</f>
        <v>-0.00787955543630449</v>
      </c>
      <c r="J950" s="15">
        <f>LN(C950/C949)</f>
        <v>-0.012811058519478549</v>
      </c>
      <c r="K950" s="15">
        <f>LN(D950/D949)</f>
        <v>-0.004908206864495447</v>
      </c>
      <c r="L950" s="15">
        <f>LN(E950/E949)</f>
        <v>-0.0016651260767121068</v>
      </c>
      <c r="M950" s="15">
        <f>LN(F950/F949)</f>
        <v>-0.004746362817381675</v>
      </c>
      <c r="O950" s="14">
        <v>45841</v>
      </c>
      <c r="P950" s="15">
        <f>I961</f>
        <v>-0.014274919275529069</v>
      </c>
      <c r="Q950" s="15">
        <f>J961</f>
        <v>-0.015015976966771325</v>
      </c>
      <c r="R950" s="15">
        <f>K961</f>
        <v>0.011637763559074709</v>
      </c>
      <c r="S950" s="15">
        <f>L961</f>
        <v>-0.0018915002785163046</v>
      </c>
      <c r="T950" s="15">
        <f>M961</f>
        <v>-0.007138415720483624</v>
      </c>
    </row>
    <row r="951" spans="1:20">
      <c r="A951" s="14">
        <v>45827</v>
      </c>
      <c r="B951" s="10">
        <v>1869.070190429688</v>
      </c>
      <c r="C951" s="10">
        <v>513.5869140625</v>
      </c>
      <c r="D951" s="10">
        <v>1563.7900390625</v>
      </c>
      <c r="E951" s="10">
        <v>24793.25</v>
      </c>
      <c r="F951" s="10">
        <v>992.75</v>
      </c>
      <c r="I951" s="15">
        <f>LN(B951/B950)</f>
        <v>-0.008420422863506893</v>
      </c>
      <c r="J951" s="15">
        <f>LN(C951/C950)</f>
        <v>-0.02369533556607263</v>
      </c>
      <c r="K951" s="15">
        <f>LN(D951/D950)</f>
        <v>-0.02478139205487614</v>
      </c>
      <c r="L951" s="15">
        <f>LN(E951/E950)</f>
        <v>-0.0007580150449296773</v>
      </c>
      <c r="M951" s="15">
        <f>LN(F951/F950)</f>
        <v>-0.016137061601666513</v>
      </c>
      <c r="O951" s="14">
        <v>45842</v>
      </c>
      <c r="P951" s="15">
        <f>I962</f>
        <v>-0.0008020573808052099</v>
      </c>
      <c r="Q951" s="15">
        <f>J962</f>
        <v>0.0030213103261721745</v>
      </c>
      <c r="R951" s="15">
        <f>K962</f>
        <v>0.019446016268053142</v>
      </c>
      <c r="S951" s="15">
        <f>L962</f>
        <v>0.0021900252291445488</v>
      </c>
      <c r="T951" s="15">
        <f>M962</f>
        <v>0.009095187111133874</v>
      </c>
    </row>
    <row r="952" spans="1:20">
      <c r="A952" s="14">
        <v>45828</v>
      </c>
      <c r="B952" s="10">
        <v>1899.487426757812</v>
      </c>
      <c r="C952" s="10">
        <v>510.4957275390625</v>
      </c>
      <c r="D952" s="10">
        <v>1613.51025390625</v>
      </c>
      <c r="E952" s="10">
        <v>25112.400390625</v>
      </c>
      <c r="F952" s="10">
        <v>1013.650024414062</v>
      </c>
      <c r="I952" s="15">
        <f>LN(B952/B951)</f>
        <v>0.01614299154552735</v>
      </c>
      <c r="J952" s="15">
        <f>LN(C952/C951)</f>
        <v>-0.006037004800508195</v>
      </c>
      <c r="K952" s="15">
        <f>LN(D952/D951)</f>
        <v>0.0312997005726044</v>
      </c>
      <c r="L952" s="15">
        <f>LN(E952/E951)</f>
        <v>0.012790324902965947</v>
      </c>
      <c r="M952" s="15">
        <f>LN(F952/F951)</f>
        <v>0.020834110988139677</v>
      </c>
      <c r="O952" s="14">
        <v>45845</v>
      </c>
      <c r="P952" s="15">
        <f>I963</f>
        <v>-0.013571182638526734</v>
      </c>
      <c r="Q952" s="15">
        <f>J963</f>
        <v>-0.005867823063623108</v>
      </c>
      <c r="R952" s="15">
        <f>K963</f>
        <v>0.004722348100019196</v>
      </c>
      <c r="S952" s="15">
        <f>L963</f>
        <v>1.181334092876479e-05</v>
      </c>
      <c r="T952" s="15">
        <f>M963</f>
        <v>0.0008227364972210509</v>
      </c>
    </row>
    <row r="953" spans="1:20">
      <c r="A953" s="14">
        <v>45831</v>
      </c>
      <c r="B953" s="10">
        <v>1924.437622070312</v>
      </c>
      <c r="C953" s="10">
        <v>517.3262329101562</v>
      </c>
      <c r="D953" s="10">
        <v>1618.8017578125</v>
      </c>
      <c r="E953" s="10">
        <v>24971.900390625</v>
      </c>
      <c r="F953" s="10">
        <v>1012.650024414062</v>
      </c>
      <c r="I953" s="15">
        <f>LN(B953/B952)</f>
        <v>0.013049706292363612</v>
      </c>
      <c r="J953" s="15">
        <f>LN(C953/C952)</f>
        <v>0.01329141853568467</v>
      </c>
      <c r="K953" s="15">
        <f>LN(D953/D952)</f>
        <v>0.003274132332594242</v>
      </c>
      <c r="L953" s="15">
        <f>LN(E953/E952)</f>
        <v>-0.005610555258512813</v>
      </c>
      <c r="M953" s="15">
        <f>LN(F953/F952)</f>
        <v>-0.0009870207344292291</v>
      </c>
      <c r="O953" s="14">
        <v>45846</v>
      </c>
      <c r="P953" s="15">
        <f>I964</f>
        <v>0.007131657475311089</v>
      </c>
      <c r="Q953" s="15">
        <f>J964</f>
        <v>0.01215580449285888</v>
      </c>
      <c r="R953" s="15">
        <f>K964</f>
        <v>0.016132434044101095</v>
      </c>
      <c r="S953" s="15">
        <f>L964</f>
        <v>0.0024007330644550996</v>
      </c>
      <c r="T953" s="15">
        <f>M964</f>
        <v>0.009820523614796234</v>
      </c>
    </row>
    <row r="954" spans="1:20">
      <c r="A954" s="14">
        <v>45832</v>
      </c>
      <c r="B954" s="10">
        <v>1976.126708984375</v>
      </c>
      <c r="C954" s="10">
        <v>538.2665405273438</v>
      </c>
      <c r="D954" s="10">
        <v>1599.233154296875</v>
      </c>
      <c r="E954" s="10">
        <v>25044.349609375</v>
      </c>
      <c r="F954" s="10">
        <v>1014.25</v>
      </c>
      <c r="I954" s="15">
        <f>LN(B954/B953)</f>
        <v>0.02650494057156162</v>
      </c>
      <c r="J954" s="15">
        <f>LN(C954/C953)</f>
        <v>0.039680179031032055</v>
      </c>
      <c r="K954" s="15">
        <f>LN(D954/D953)</f>
        <v>-0.01216198410217931</v>
      </c>
      <c r="L954" s="15">
        <f>LN(E954/E953)</f>
        <v>0.0028970292423300638</v>
      </c>
      <c r="M954" s="15">
        <f>LN(F954/F953)</f>
        <v>0.0015787418214852442</v>
      </c>
      <c r="O954" s="14">
        <v>45847</v>
      </c>
      <c r="P954" s="15">
        <f>I965</f>
        <v>-0.014314675165644565</v>
      </c>
      <c r="Q954" s="15">
        <f>J965</f>
        <v>-0.004917690707752572</v>
      </c>
      <c r="R954" s="15">
        <f>K965</f>
        <v>-0.036210084966378245</v>
      </c>
      <c r="S954" s="15">
        <f>L965</f>
        <v>-0.0018196736296237606</v>
      </c>
      <c r="T954" s="15">
        <f>M965</f>
        <v>-0.01497384602170173</v>
      </c>
    </row>
    <row r="955" spans="1:20">
      <c r="A955" s="14">
        <v>45833</v>
      </c>
      <c r="B955" s="10">
        <v>1977.120849609375</v>
      </c>
      <c r="C955" s="10">
        <v>564.6414184570312</v>
      </c>
      <c r="D955" s="10">
        <v>1616.705200195312</v>
      </c>
      <c r="E955" s="10">
        <v>25244.75</v>
      </c>
      <c r="F955" s="10">
        <v>1019.700012207031</v>
      </c>
      <c r="I955" s="15">
        <f>LN(B955/B954)</f>
        <v>0.000502948844574716</v>
      </c>
      <c r="J955" s="15">
        <f>LN(C955/C954)</f>
        <v>0.047837006100784854</v>
      </c>
      <c r="K955" s="15">
        <f>LN(D955/D954)</f>
        <v>0.010866015378987256</v>
      </c>
      <c r="L955" s="15">
        <f>LN(E955/E954)</f>
        <v>0.00796997571939643</v>
      </c>
      <c r="M955" s="15">
        <f>LN(F955/F954)</f>
        <v>0.005359055254822019</v>
      </c>
      <c r="O955" s="14">
        <v>45848</v>
      </c>
      <c r="P955" s="15">
        <f>I966</f>
        <v>0.006532131851190065</v>
      </c>
      <c r="Q955" s="15">
        <f>J966</f>
        <v>0.01215875921052295</v>
      </c>
      <c r="R955" s="15">
        <f>K966</f>
        <v>-0.006009931090789734</v>
      </c>
      <c r="S955" s="15">
        <f>L966</f>
        <v>-0.004754933244868607</v>
      </c>
      <c r="T955" s="15">
        <f>M966</f>
        <v>0.007155954409292338</v>
      </c>
    </row>
    <row r="956" spans="1:20">
      <c r="A956" s="14">
        <v>45834</v>
      </c>
      <c r="B956" s="10">
        <v>1970.4609375</v>
      </c>
      <c r="C956" s="10">
        <v>562.6471557617188</v>
      </c>
      <c r="D956" s="10">
        <v>1624.792114257812</v>
      </c>
      <c r="E956" s="10">
        <v>25549</v>
      </c>
      <c r="F956" s="10">
        <v>1009.549987792969</v>
      </c>
      <c r="I956" s="15">
        <f>LN(B956/B955)</f>
        <v>-0.003374176286733081</v>
      </c>
      <c r="J956" s="15">
        <f>LN(C956/C955)</f>
        <v>-0.0035381619602426486</v>
      </c>
      <c r="K956" s="15">
        <f>LN(D956/D955)</f>
        <v>0.004989626740913156</v>
      </c>
      <c r="L956" s="15">
        <f>LN(E956/E955)</f>
        <v>0.011979963629751521</v>
      </c>
      <c r="M956" s="15">
        <f>LN(F956/F955)</f>
        <v>-0.010003803436552326</v>
      </c>
      <c r="O956" s="14">
        <v>45849</v>
      </c>
      <c r="P956" s="15">
        <f>I967</f>
        <v>-0.0041320551934952085</v>
      </c>
      <c r="Q956" s="15">
        <f>J967</f>
        <v>0.01236902350171808</v>
      </c>
      <c r="R956" s="15">
        <f>K967</f>
        <v>-0.013807068449709388</v>
      </c>
      <c r="S956" s="15">
        <f>L967</f>
        <v>-0.00813389240519248</v>
      </c>
      <c r="T956" s="15">
        <f>M967</f>
        <v>-0.012180154266089288</v>
      </c>
    </row>
    <row r="957" spans="1:20">
      <c r="A957" s="14">
        <v>45835</v>
      </c>
      <c r="B957" s="10">
        <v>1907.340454101562</v>
      </c>
      <c r="C957" s="10">
        <v>552.42626953125</v>
      </c>
      <c r="D957" s="10">
        <v>1568.083129882812</v>
      </c>
      <c r="E957" s="10">
        <v>25637.80078125</v>
      </c>
      <c r="F957" s="10">
        <v>993.9500122070312</v>
      </c>
      <c r="I957" s="15">
        <f>LN(B957/B956)</f>
        <v>-0.03255765449149036</v>
      </c>
      <c r="J957" s="15">
        <f>LN(C957/C956)</f>
        <v>-0.0183327344330325</v>
      </c>
      <c r="K957" s="15">
        <f>LN(D957/D956)</f>
        <v>-0.03552594088071384</v>
      </c>
      <c r="L957" s="15">
        <f>LN(E957/E956)</f>
        <v>0.00346967847107354</v>
      </c>
      <c r="M957" s="15">
        <f>LN(F957/F956)</f>
        <v>-0.015573038042962626</v>
      </c>
      <c r="O957" s="14">
        <v>45852</v>
      </c>
      <c r="P957" s="15">
        <f>I968</f>
        <v>-0.017199629378138837</v>
      </c>
      <c r="Q957" s="15">
        <f>J968</f>
        <v>0.0180089539595552</v>
      </c>
      <c r="R957" s="15">
        <f>K968</f>
        <v>0.01466789082579531</v>
      </c>
      <c r="S957" s="15">
        <f>L968</f>
        <v>-0.0026894675348791744</v>
      </c>
      <c r="T957" s="15">
        <f>M968</f>
        <v>0.013769111552935115</v>
      </c>
    </row>
    <row r="958" spans="1:20">
      <c r="A958" s="14">
        <v>45838</v>
      </c>
      <c r="B958" s="10">
        <v>1894.218872070312</v>
      </c>
      <c r="C958" s="10">
        <v>564.8408813476562</v>
      </c>
      <c r="D958" s="10">
        <v>1559.197387695312</v>
      </c>
      <c r="E958" s="10">
        <v>25517.05078125</v>
      </c>
      <c r="F958" s="10">
        <v>986.5499877929688</v>
      </c>
      <c r="I958" s="15">
        <f>LN(B958/B957)</f>
        <v>-0.006903290473682047</v>
      </c>
      <c r="J958" s="15">
        <f>LN(C958/C957)</f>
        <v>0.02222408987445316</v>
      </c>
      <c r="K958" s="15">
        <f>LN(D958/D957)</f>
        <v>-0.005682743233449247</v>
      </c>
      <c r="L958" s="15">
        <f>LN(E958/E957)</f>
        <v>-0.004720968611190444</v>
      </c>
      <c r="M958" s="15">
        <f>LN(F958/F957)</f>
        <v>-0.007472919819848127</v>
      </c>
      <c r="O958" s="14">
        <v>45853</v>
      </c>
      <c r="P958" s="15">
        <f>I969</f>
        <v>0.008774172785612168</v>
      </c>
      <c r="Q958" s="15">
        <f>J969</f>
        <v>0.0605938199454792</v>
      </c>
      <c r="R958" s="15">
        <f>K969</f>
        <v>-0.012856192234542718</v>
      </c>
      <c r="S958" s="15">
        <f>L969</f>
        <v>0.004514895720960817</v>
      </c>
      <c r="T958" s="15">
        <f>M969</f>
        <v>0.007856394005352879</v>
      </c>
    </row>
    <row r="959" spans="1:20">
      <c r="A959" s="14">
        <v>45839</v>
      </c>
      <c r="B959" s="10">
        <v>1901.972290039062</v>
      </c>
      <c r="C959" s="10">
        <v>563.3451538085938</v>
      </c>
      <c r="D959" s="10">
        <v>1543.822143554688</v>
      </c>
      <c r="E959" s="10">
        <v>25541.80078125</v>
      </c>
      <c r="F959" s="10">
        <v>984.2000122070312</v>
      </c>
      <c r="I959" s="15">
        <f>LN(B959/B958)</f>
        <v>0.0040848463203031335</v>
      </c>
      <c r="J959" s="15">
        <f>LN(C959/C958)</f>
        <v>-0.0026515634280131926</v>
      </c>
      <c r="K959" s="15">
        <f>LN(D959/D958)</f>
        <v>-0.00990994082712003</v>
      </c>
      <c r="L959" s="15">
        <f>LN(E959/E958)</f>
        <v>0.0009694695897414579</v>
      </c>
      <c r="M959" s="15">
        <f>LN(F959/F958)</f>
        <v>-0.0023848552071390936</v>
      </c>
      <c r="O959" s="14">
        <v>45854</v>
      </c>
      <c r="P959" s="15">
        <f>I970</f>
        <v>-0.0019799350690723537</v>
      </c>
      <c r="Q959" s="15">
        <f>J970</f>
        <v>-0.0006103612256286936</v>
      </c>
      <c r="R959" s="15">
        <f>K970</f>
        <v>-0.007199281134596571</v>
      </c>
      <c r="S959" s="15">
        <f>L970</f>
        <v>0.0006447408512447503</v>
      </c>
      <c r="T959" s="15">
        <f>M970</f>
        <v>0.0049675319194365415</v>
      </c>
    </row>
    <row r="960" spans="1:20">
      <c r="A960" s="14">
        <v>45840</v>
      </c>
      <c r="B960" s="10">
        <v>1886.56494140625</v>
      </c>
      <c r="C960" s="10">
        <v>551.9775390625</v>
      </c>
      <c r="D960" s="10">
        <v>1492.604248046875</v>
      </c>
      <c r="E960" s="10">
        <v>25453.400390625</v>
      </c>
      <c r="F960" s="10">
        <v>970.0499877929688</v>
      </c>
      <c r="I960" s="15">
        <f>LN(B960/B959)</f>
        <v>-0.008133711051938644</v>
      </c>
      <c r="J960" s="15">
        <f>LN(C960/C959)</f>
        <v>-0.02038514677598179</v>
      </c>
      <c r="K960" s="15">
        <f>LN(D960/D959)</f>
        <v>-0.03373884118624612</v>
      </c>
      <c r="L960" s="15">
        <f>LN(E960/E959)</f>
        <v>-0.0034670116851196766</v>
      </c>
      <c r="M960" s="15">
        <f>LN(F960/F959)</f>
        <v>-0.014481536858084629</v>
      </c>
      <c r="O960" s="14">
        <v>45855</v>
      </c>
      <c r="P960" s="15">
        <f>I971</f>
        <v>0.012147278822440745</v>
      </c>
      <c r="Q960" s="15">
        <f>J971</f>
        <v>-0.007784669998760721</v>
      </c>
      <c r="R960" s="15">
        <f>K971</f>
        <v>0.014413755818521145</v>
      </c>
      <c r="S960" s="15">
        <f>L971</f>
        <v>-0.003998199509757984</v>
      </c>
      <c r="T960" s="15">
        <f>M971</f>
        <v>0.012312022959516167</v>
      </c>
    </row>
    <row r="961" spans="1:20">
      <c r="A961" s="14">
        <v>45841</v>
      </c>
      <c r="B961" s="10">
        <v>1859.82568359375</v>
      </c>
      <c r="C961" s="10">
        <v>543.7509765625</v>
      </c>
      <c r="D961" s="10">
        <v>1510.076293945312</v>
      </c>
      <c r="E961" s="10">
        <v>25405.30078125</v>
      </c>
      <c r="F961" s="10">
        <v>963.1500244140624</v>
      </c>
      <c r="I961" s="15">
        <f>LN(B961/B960)</f>
        <v>-0.014274919275529069</v>
      </c>
      <c r="J961" s="15">
        <f>LN(C961/C960)</f>
        <v>-0.015015976966771325</v>
      </c>
      <c r="K961" s="15">
        <f>LN(D961/D960)</f>
        <v>0.011637763559074709</v>
      </c>
      <c r="L961" s="15">
        <f>LN(E961/E960)</f>
        <v>-0.0018915002785163046</v>
      </c>
      <c r="M961" s="15">
        <f>LN(F961/F960)</f>
        <v>-0.007138415720483624</v>
      </c>
      <c r="O961" s="14">
        <v>45856</v>
      </c>
      <c r="P961" s="15">
        <f>I972</f>
        <v>-0.0020142936773579084</v>
      </c>
      <c r="Q961" s="15">
        <f>J972</f>
        <v>-0.020494595800215256</v>
      </c>
      <c r="R961" s="15">
        <f>K972</f>
        <v>-0.0107067437232334</v>
      </c>
      <c r="S961" s="15">
        <f>L972</f>
        <v>-0.005712845317742711</v>
      </c>
      <c r="T961" s="15">
        <f>M972</f>
        <v>-0.0011993516398938898</v>
      </c>
    </row>
    <row r="962" spans="1:20">
      <c r="A962" s="14">
        <v>45842</v>
      </c>
      <c r="B962" s="10">
        <v>1858.334594726562</v>
      </c>
      <c r="C962" s="10">
        <v>545.3963012695312</v>
      </c>
      <c r="D962" s="10">
        <v>1539.728637695312</v>
      </c>
      <c r="E962" s="10">
        <v>25461</v>
      </c>
      <c r="F962" s="10">
        <v>971.9500122070312</v>
      </c>
      <c r="I962" s="15">
        <f>LN(B962/B961)</f>
        <v>-0.0008020573808052099</v>
      </c>
      <c r="J962" s="15">
        <f>LN(C962/C961)</f>
        <v>0.0030213103261721745</v>
      </c>
      <c r="K962" s="15">
        <f>LN(D962/D961)</f>
        <v>0.019446016268053142</v>
      </c>
      <c r="L962" s="15">
        <f>LN(E962/E961)</f>
        <v>0.0021900252291445488</v>
      </c>
      <c r="M962" s="15">
        <f>LN(F962/F961)</f>
        <v>0.009095187111133874</v>
      </c>
      <c r="O962" s="14">
        <v>45859</v>
      </c>
      <c r="P962" s="15">
        <f>I973</f>
        <v>-0.00021799204117534592</v>
      </c>
      <c r="Q962" s="15">
        <f>J973</f>
        <v>-0.01066426309997662</v>
      </c>
      <c r="R962" s="15">
        <f>K973</f>
        <v>0.004899193178393869</v>
      </c>
      <c r="S962" s="15">
        <f>L973</f>
        <v>0.004886187422514114</v>
      </c>
      <c r="T962" s="15">
        <f>M973</f>
        <v>0.006330530334465719</v>
      </c>
    </row>
    <row r="963" spans="1:20">
      <c r="A963" s="14">
        <v>45845</v>
      </c>
      <c r="B963" s="10">
        <v>1833.28515625</v>
      </c>
      <c r="C963" s="10">
        <v>542.2053833007812</v>
      </c>
      <c r="D963" s="10">
        <v>1547.016967773438</v>
      </c>
      <c r="E963" s="10">
        <v>25461.30078125</v>
      </c>
      <c r="F963" s="10">
        <v>972.75</v>
      </c>
      <c r="I963" s="15">
        <f>LN(B963/B962)</f>
        <v>-0.013571182638526734</v>
      </c>
      <c r="J963" s="15">
        <f>LN(C963/C962)</f>
        <v>-0.005867823063623108</v>
      </c>
      <c r="K963" s="15">
        <f>LN(D963/D962)</f>
        <v>0.004722348100019196</v>
      </c>
      <c r="L963" s="15">
        <f>LN(E963/E962)</f>
        <v>1.181334092876479e-05</v>
      </c>
      <c r="M963" s="15">
        <f>LN(F963/F962)</f>
        <v>0.0008227364972210509</v>
      </c>
      <c r="O963" s="14">
        <v>45860</v>
      </c>
      <c r="P963" s="15">
        <f>I974</f>
        <v>-0.004589248000072936</v>
      </c>
      <c r="Q963" s="15">
        <f>J974</f>
        <v>-0.022815978993167504</v>
      </c>
      <c r="R963" s="15">
        <f>K974</f>
        <v>-0.013547931640467768</v>
      </c>
      <c r="S963" s="15">
        <f>L974</f>
        <v>-0.0011883501967580668</v>
      </c>
      <c r="T963" s="15">
        <f>M974</f>
        <v>-0.01018838386042056</v>
      </c>
    </row>
    <row r="964" spans="1:20">
      <c r="A964" s="14">
        <v>45846</v>
      </c>
      <c r="B964" s="10">
        <v>1846.40625</v>
      </c>
      <c r="C964" s="10">
        <v>548.8365478515625</v>
      </c>
      <c r="D964" s="10">
        <v>1572.176513671875</v>
      </c>
      <c r="E964" s="10">
        <v>25522.5</v>
      </c>
      <c r="F964" s="10">
        <v>982.3499755859376</v>
      </c>
      <c r="I964" s="15">
        <f>LN(B964/B963)</f>
        <v>0.007131657475311089</v>
      </c>
      <c r="J964" s="15">
        <f>LN(C964/C963)</f>
        <v>0.01215580449285888</v>
      </c>
      <c r="K964" s="15">
        <f>LN(D964/D963)</f>
        <v>0.016132434044101095</v>
      </c>
      <c r="L964" s="15">
        <f>LN(E964/E963)</f>
        <v>0.0024007330644550996</v>
      </c>
      <c r="M964" s="15">
        <f>LN(F964/F963)</f>
        <v>0.009820523614796234</v>
      </c>
      <c r="O964" s="14">
        <v>45861</v>
      </c>
      <c r="P964" s="15">
        <f>I975</f>
        <v>-0.03148370585191731</v>
      </c>
      <c r="Q964" s="15">
        <f>J975</f>
        <v>-0.012449972582061793</v>
      </c>
      <c r="R964" s="15">
        <f>K975</f>
        <v>-0.013596309323665833</v>
      </c>
      <c r="S964" s="15">
        <f>L975</f>
        <v>0.006324502693684897</v>
      </c>
      <c r="T964" s="15">
        <f>M975</f>
        <v>-0.026295196479262404</v>
      </c>
    </row>
    <row r="965" spans="1:20">
      <c r="A965" s="14">
        <v>45847</v>
      </c>
      <c r="B965" s="10">
        <v>1820.163818359375</v>
      </c>
      <c r="C965" s="10">
        <v>546.1441650390625</v>
      </c>
      <c r="D965" s="10">
        <v>1516.266235351562</v>
      </c>
      <c r="E965" s="10">
        <v>25476.099609375</v>
      </c>
      <c r="F965" s="10">
        <v>967.75</v>
      </c>
      <c r="I965" s="15">
        <f>LN(B965/B964)</f>
        <v>-0.014314675165644565</v>
      </c>
      <c r="J965" s="15">
        <f>LN(C965/C964)</f>
        <v>-0.004917690707752572</v>
      </c>
      <c r="K965" s="15">
        <f>LN(D965/D964)</f>
        <v>-0.036210084966378245</v>
      </c>
      <c r="L965" s="15">
        <f>LN(E965/E964)</f>
        <v>-0.0018196736296237606</v>
      </c>
      <c r="M965" s="15">
        <f>LN(F965/F964)</f>
        <v>-0.01497384602170173</v>
      </c>
      <c r="O965" s="14">
        <v>45862</v>
      </c>
      <c r="P965" s="15">
        <f>I976</f>
        <v>-0.0118236979692046</v>
      </c>
      <c r="Q965" s="15">
        <f>J976</f>
        <v>-0.0007110643284629097</v>
      </c>
      <c r="R965" s="15">
        <f>K976</f>
        <v>-0.0038597045942218287</v>
      </c>
      <c r="S965" s="15">
        <f>L976</f>
        <v>-0.006276651657225533</v>
      </c>
      <c r="T965" s="15">
        <f>M976</f>
        <v>-0.0104648281181786</v>
      </c>
    </row>
    <row r="966" spans="1:20">
      <c r="A966" s="14">
        <v>45848</v>
      </c>
      <c r="B966" s="10">
        <v>1832.09228515625</v>
      </c>
      <c r="C966" s="10">
        <v>552.8251342773438</v>
      </c>
      <c r="D966" s="10">
        <v>1507.180908203125</v>
      </c>
      <c r="E966" s="10">
        <v>25355.25</v>
      </c>
      <c r="F966" s="10">
        <v>974.7000122070312</v>
      </c>
      <c r="I966" s="15">
        <f>LN(B966/B965)</f>
        <v>0.006532131851190065</v>
      </c>
      <c r="J966" s="15">
        <f>LN(C966/C965)</f>
        <v>0.01215875921052295</v>
      </c>
      <c r="K966" s="15">
        <f>LN(D966/D965)</f>
        <v>-0.006009931090789734</v>
      </c>
      <c r="L966" s="15">
        <f>LN(E966/E965)</f>
        <v>-0.004754933244868607</v>
      </c>
      <c r="M966" s="15">
        <f>LN(F966/F965)</f>
        <v>0.007155954409292338</v>
      </c>
      <c r="O966" s="14">
        <v>45863</v>
      </c>
      <c r="P966" s="15">
        <f>I977</f>
        <v>-0.028216710731091853</v>
      </c>
      <c r="Q966" s="15">
        <f>J977</f>
        <v>0.019546310249394957</v>
      </c>
      <c r="R966" s="15">
        <f>K977</f>
        <v>0.05233210636520276</v>
      </c>
      <c r="S966" s="15">
        <f>L977</f>
        <v>-0.009022252428611252</v>
      </c>
      <c r="T966" s="15">
        <f>M977</f>
        <v>-0.009944081777795238</v>
      </c>
    </row>
    <row r="967" spans="1:20">
      <c r="A967" s="14">
        <v>45849</v>
      </c>
      <c r="B967" s="10">
        <v>1824.53759765625</v>
      </c>
      <c r="C967" s="10">
        <v>559.7055053710938</v>
      </c>
      <c r="D967" s="10">
        <v>1486.51416015625</v>
      </c>
      <c r="E967" s="10">
        <v>25149.849609375</v>
      </c>
      <c r="F967" s="10">
        <v>962.9000244140624</v>
      </c>
      <c r="I967" s="15">
        <f>LN(B967/B966)</f>
        <v>-0.0041320551934952085</v>
      </c>
      <c r="J967" s="15">
        <f>LN(C967/C966)</f>
        <v>0.01236902350171808</v>
      </c>
      <c r="K967" s="15">
        <f>LN(D967/D966)</f>
        <v>-0.013807068449709388</v>
      </c>
      <c r="L967" s="15">
        <f>LN(E967/E966)</f>
        <v>-0.00813389240519248</v>
      </c>
      <c r="M967" s="15">
        <f>LN(F967/F966)</f>
        <v>-0.012180154266089288</v>
      </c>
      <c r="O967" s="14">
        <v>45866</v>
      </c>
      <c r="P967" s="15">
        <f>I978</f>
        <v>-0.04270810486764662</v>
      </c>
      <c r="Q967" s="15">
        <f>J978</f>
        <v>-0.018213492694787028</v>
      </c>
      <c r="R967" s="15">
        <f>K978</f>
        <v>-0.011269789317973814</v>
      </c>
      <c r="S967" s="15">
        <f>L978</f>
        <v>-0.006304795850755804</v>
      </c>
      <c r="T967" s="15">
        <f>M978</f>
        <v>-0.04156297678475601</v>
      </c>
    </row>
    <row r="968" spans="1:20">
      <c r="A968" s="14">
        <v>45852</v>
      </c>
      <c r="B968" s="10">
        <v>1793.424560546875</v>
      </c>
      <c r="C968" s="10">
        <v>569.8765258789062</v>
      </c>
      <c r="D968" s="10">
        <v>1508.478881835938</v>
      </c>
      <c r="E968" s="10">
        <v>25082.30078125</v>
      </c>
      <c r="F968" s="10">
        <v>976.25</v>
      </c>
      <c r="I968" s="15">
        <f>LN(B968/B967)</f>
        <v>-0.017199629378138837</v>
      </c>
      <c r="J968" s="15">
        <f>LN(C968/C967)</f>
        <v>0.0180089539595552</v>
      </c>
      <c r="K968" s="15">
        <f>LN(D968/D967)</f>
        <v>0.01466789082579531</v>
      </c>
      <c r="L968" s="15">
        <f>LN(E968/E967)</f>
        <v>-0.0026894675348791744</v>
      </c>
      <c r="M968" s="15">
        <f>LN(F968/F967)</f>
        <v>0.013769111552935115</v>
      </c>
      <c r="O968" s="14">
        <v>45867</v>
      </c>
      <c r="P968" s="15">
        <f>I979</f>
        <v>0.022844313069218535</v>
      </c>
      <c r="Q968" s="15">
        <f>J979</f>
        <v>0.026808440385964322</v>
      </c>
      <c r="R968" s="15">
        <f>K979</f>
        <v>-0.00033140873694610223</v>
      </c>
      <c r="S968" s="15">
        <f>L979</f>
        <v>0.005664401180259817</v>
      </c>
      <c r="T968" s="15">
        <f>M979</f>
        <v>0.015883684013054043</v>
      </c>
    </row>
    <row r="969" spans="1:20">
      <c r="A969" s="14">
        <v>45853</v>
      </c>
      <c r="B969" s="10">
        <v>1809.229614257812</v>
      </c>
      <c r="C969" s="10">
        <v>605.4751586914062</v>
      </c>
      <c r="D969" s="10">
        <v>1489.209716796875</v>
      </c>
      <c r="E969" s="10">
        <v>25195.80078125</v>
      </c>
      <c r="F969" s="10">
        <v>983.9500122070312</v>
      </c>
      <c r="I969" s="15">
        <f>LN(B969/B968)</f>
        <v>0.008774172785612168</v>
      </c>
      <c r="J969" s="15">
        <f>LN(C969/C968)</f>
        <v>0.0605938199454792</v>
      </c>
      <c r="K969" s="15">
        <f>LN(D969/D968)</f>
        <v>-0.012856192234542718</v>
      </c>
      <c r="L969" s="15">
        <f>LN(E969/E968)</f>
        <v>0.004514895720960817</v>
      </c>
      <c r="M969" s="15">
        <f>LN(F969/F968)</f>
        <v>0.007856394005352879</v>
      </c>
      <c r="O969" s="14">
        <v>45868</v>
      </c>
      <c r="P969" s="15">
        <f>I980</f>
        <v>-0.010142617867419147</v>
      </c>
      <c r="Q969" s="15">
        <f>J980</f>
        <v>0.002417548559799527</v>
      </c>
      <c r="R969" s="15">
        <f>K980</f>
        <v>-0.004318826659585379</v>
      </c>
      <c r="S969" s="15">
        <f>L980</f>
        <v>0.001366900490246142</v>
      </c>
      <c r="T969" s="15">
        <f>M980</f>
        <v>-0.009597964815951057</v>
      </c>
    </row>
    <row r="970" spans="1:20">
      <c r="A970" s="14">
        <v>45854</v>
      </c>
      <c r="B970" s="10">
        <v>1805.651000976562</v>
      </c>
      <c r="C970" s="10">
        <v>605.105712890625</v>
      </c>
      <c r="D970" s="10">
        <v>1478.526977539062</v>
      </c>
      <c r="E970" s="10">
        <v>25212.05078125</v>
      </c>
      <c r="F970" s="10">
        <v>988.8499755859376</v>
      </c>
      <c r="I970" s="15">
        <f>LN(B970/B969)</f>
        <v>-0.0019799350690723537</v>
      </c>
      <c r="J970" s="15">
        <f>LN(C970/C969)</f>
        <v>-0.0006103612256286936</v>
      </c>
      <c r="K970" s="15">
        <f>LN(D970/D969)</f>
        <v>-0.007199281134596571</v>
      </c>
      <c r="L970" s="15">
        <f>LN(E970/E969)</f>
        <v>0.0006447408512447503</v>
      </c>
      <c r="M970" s="15">
        <f>LN(F970/F969)</f>
        <v>0.0049675319194365415</v>
      </c>
      <c r="O970" s="14">
        <v>45869</v>
      </c>
      <c r="P970" s="15">
        <f>I981</f>
        <v>-0.010921075299907181</v>
      </c>
      <c r="Q970" s="15">
        <f>J981</f>
        <v>-0.02656577951644874</v>
      </c>
      <c r="R970" s="15">
        <f>K981</f>
        <v>-0.011923249391601451</v>
      </c>
      <c r="S970" s="15">
        <f>L981</f>
        <v>-0.003494369971240235</v>
      </c>
      <c r="T970" s="15">
        <f>M981</f>
        <v>-0.005792419286455243</v>
      </c>
    </row>
    <row r="971" spans="1:20">
      <c r="A971" s="14">
        <v>45855</v>
      </c>
      <c r="B971" s="10">
        <v>1827.718505859375</v>
      </c>
      <c r="C971" s="10">
        <v>600.4134521484375</v>
      </c>
      <c r="D971" s="10">
        <v>1499.992431640625</v>
      </c>
      <c r="E971" s="10">
        <v>25111.44921875</v>
      </c>
      <c r="F971" s="10">
        <v>1001.099975585938</v>
      </c>
      <c r="I971" s="15">
        <f>LN(B971/B970)</f>
        <v>0.012147278822440745</v>
      </c>
      <c r="J971" s="15">
        <f>LN(C971/C970)</f>
        <v>-0.007784669998760721</v>
      </c>
      <c r="K971" s="15">
        <f>LN(D971/D970)</f>
        <v>0.014413755818521145</v>
      </c>
      <c r="L971" s="15">
        <f>LN(E971/E970)</f>
        <v>-0.003998199509757984</v>
      </c>
      <c r="M971" s="15">
        <f>LN(F971/F970)</f>
        <v>0.012312022959516167</v>
      </c>
      <c r="O971" s="14">
        <v>45870</v>
      </c>
      <c r="P971" s="15">
        <f>I982</f>
        <v>-0.025284654620837836</v>
      </c>
      <c r="Q971" s="15">
        <f>J982</f>
        <v>-0.001329274338153853</v>
      </c>
      <c r="R971" s="15">
        <f>K982</f>
        <v>-0.021661568345913672</v>
      </c>
      <c r="S971" s="15">
        <f>L982</f>
        <v>-0.008229715141942045</v>
      </c>
      <c r="T971" s="15">
        <f>M982</f>
        <v>-0.01791582470212548</v>
      </c>
    </row>
    <row r="972" spans="1:20">
      <c r="A972" s="14">
        <v>45856</v>
      </c>
      <c r="B972" s="10">
        <v>1824.040649414062</v>
      </c>
      <c r="C972" s="10">
        <v>588.2334594726562</v>
      </c>
      <c r="D972" s="10">
        <v>1484.01806640625</v>
      </c>
      <c r="E972" s="10">
        <v>24968.400390625</v>
      </c>
      <c r="F972" s="10">
        <v>999.9000244140624</v>
      </c>
      <c r="I972" s="15">
        <f>LN(B972/B971)</f>
        <v>-0.0020142936773579084</v>
      </c>
      <c r="J972" s="15">
        <f>LN(C972/C971)</f>
        <v>-0.020494595800215256</v>
      </c>
      <c r="K972" s="15">
        <f>LN(D972/D971)</f>
        <v>-0.0107067437232334</v>
      </c>
      <c r="L972" s="15">
        <f>LN(E972/E971)</f>
        <v>-0.005712845317742711</v>
      </c>
      <c r="M972" s="15">
        <f>LN(F972/F971)</f>
        <v>-0.0011993516398938898</v>
      </c>
      <c r="O972" s="14">
        <v>45873</v>
      </c>
      <c r="P972" s="15">
        <f>I983</f>
        <v>0.012629004091960149</v>
      </c>
      <c r="Q972" s="15">
        <f>J983</f>
        <v>-0.0024859119831417906</v>
      </c>
      <c r="R972" s="15">
        <f>K983</f>
        <v>0.015035889383394589</v>
      </c>
      <c r="S972" s="15">
        <f>L983</f>
        <v>0.006386974825463857</v>
      </c>
      <c r="T972" s="15">
        <f>M983</f>
        <v>0.01758696282787186</v>
      </c>
    </row>
    <row r="973" spans="1:20">
      <c r="A973" s="14">
        <v>45859</v>
      </c>
      <c r="B973" s="10">
        <v>1823.64306640625</v>
      </c>
      <c r="C973" s="10">
        <v>581.9937133789062</v>
      </c>
      <c r="D973" s="10">
        <v>1491.306396484375</v>
      </c>
      <c r="E973" s="10">
        <v>25090.69921875</v>
      </c>
      <c r="F973" s="10">
        <v>1006.25</v>
      </c>
      <c r="I973" s="15">
        <f>LN(B973/B972)</f>
        <v>-0.00021799204117534592</v>
      </c>
      <c r="J973" s="15">
        <f>LN(C973/C972)</f>
        <v>-0.01066426309997662</v>
      </c>
      <c r="K973" s="15">
        <f>LN(D973/D972)</f>
        <v>0.004899193178393869</v>
      </c>
      <c r="L973" s="15">
        <f>LN(E973/E972)</f>
        <v>0.004886187422514114</v>
      </c>
      <c r="M973" s="15">
        <f>LN(F973/F972)</f>
        <v>0.006330530334465719</v>
      </c>
      <c r="O973" s="14">
        <v>45874</v>
      </c>
      <c r="P973" s="15">
        <f>I984</f>
        <v>-0.0006215113796643731</v>
      </c>
      <c r="Q973" s="15">
        <f>J984</f>
        <v>-0.005169389388144055</v>
      </c>
      <c r="R973" s="15">
        <f>K984</f>
        <v>0.0012880165532803641</v>
      </c>
      <c r="S973" s="15">
        <f>L984</f>
        <v>-0.0029651959185494695</v>
      </c>
      <c r="T973" s="15">
        <f>M984</f>
        <v>-0.004615659924255423</v>
      </c>
    </row>
    <row r="974" spans="1:20">
      <c r="A974" s="14">
        <v>45860</v>
      </c>
      <c r="B974" s="10">
        <v>1815.293090820312</v>
      </c>
      <c r="C974" s="10">
        <v>568.8652954101562</v>
      </c>
      <c r="D974" s="10">
        <v>1471.238525390625</v>
      </c>
      <c r="E974" s="10">
        <v>25060.900390625</v>
      </c>
      <c r="F974" s="10">
        <v>996.0499877929688</v>
      </c>
      <c r="I974" s="15">
        <f>LN(B974/B973)</f>
        <v>-0.004589248000072936</v>
      </c>
      <c r="J974" s="15">
        <f>LN(C974/C973)</f>
        <v>-0.022815978993167504</v>
      </c>
      <c r="K974" s="15">
        <f>LN(D974/D973)</f>
        <v>-0.013547931640467768</v>
      </c>
      <c r="L974" s="15">
        <f>LN(E974/E973)</f>
        <v>-0.0011883501967580668</v>
      </c>
      <c r="M974" s="15">
        <f>LN(F974/F973)</f>
        <v>-0.01018838386042056</v>
      </c>
      <c r="O974" s="14">
        <v>45875</v>
      </c>
      <c r="P974" s="15">
        <f>I985</f>
        <v>-0.002551990606559876</v>
      </c>
      <c r="Q974" s="15">
        <f>J985</f>
        <v>-0.029655317977604956</v>
      </c>
      <c r="R974" s="15">
        <f>K985</f>
        <v>-0.019082106709064395</v>
      </c>
      <c r="S974" s="15">
        <f>L985</f>
        <v>-0.003061596134311999</v>
      </c>
      <c r="T974" s="15">
        <f>M985</f>
        <v>-0.015205566186240789</v>
      </c>
    </row>
    <row r="975" spans="1:20">
      <c r="A975" s="14">
        <v>45861</v>
      </c>
      <c r="B975" s="10">
        <v>1759.03125</v>
      </c>
      <c r="C975" s="10">
        <v>561.8268432617188</v>
      </c>
      <c r="D975" s="10">
        <v>1451.370483398438</v>
      </c>
      <c r="E975" s="10">
        <v>25219.900390625</v>
      </c>
      <c r="F975" s="10">
        <v>970.2000122070312</v>
      </c>
      <c r="I975" s="15">
        <f>LN(B975/B974)</f>
        <v>-0.03148370585191731</v>
      </c>
      <c r="J975" s="15">
        <f>LN(C975/C974)</f>
        <v>-0.012449972582061793</v>
      </c>
      <c r="K975" s="15">
        <f>LN(D975/D974)</f>
        <v>-0.013596309323665833</v>
      </c>
      <c r="L975" s="15">
        <f>LN(E975/E974)</f>
        <v>0.006324502693684897</v>
      </c>
      <c r="M975" s="15">
        <f>LN(F975/F974)</f>
        <v>-0.026295196479262404</v>
      </c>
      <c r="O975" s="14">
        <v>45876</v>
      </c>
      <c r="P975" s="15">
        <f>I986</f>
        <v>0.0037324788377523397</v>
      </c>
      <c r="Q975" s="15">
        <f>J986</f>
        <v>0.006239672994050214</v>
      </c>
      <c r="R975" s="15">
        <f>K986</f>
        <v>0.00592090199149835</v>
      </c>
      <c r="S975" s="15">
        <f>L986</f>
        <v>0.0008928622028389917</v>
      </c>
      <c r="T975" s="15">
        <f>M986</f>
        <v>-0.001286992761759364</v>
      </c>
    </row>
    <row r="976" spans="1:20">
      <c r="A976" s="14">
        <v>45862</v>
      </c>
      <c r="B976" s="10">
        <v>1738.35546875</v>
      </c>
      <c r="C976" s="10">
        <v>561.427490234375</v>
      </c>
      <c r="D976" s="10">
        <v>1445.779418945312</v>
      </c>
      <c r="E976" s="10">
        <v>25062.099609375</v>
      </c>
      <c r="F976" s="10">
        <v>960.0999755859376</v>
      </c>
      <c r="I976" s="15">
        <f>LN(B976/B975)</f>
        <v>-0.0118236979692046</v>
      </c>
      <c r="J976" s="15">
        <f>LN(C976/C975)</f>
        <v>-0.0007110643284629097</v>
      </c>
      <c r="K976" s="15">
        <f>LN(D976/D975)</f>
        <v>-0.0038597045942218287</v>
      </c>
      <c r="L976" s="15">
        <f>LN(E976/E975)</f>
        <v>-0.006276651657225533</v>
      </c>
      <c r="M976" s="15">
        <f>LN(F976/F975)</f>
        <v>-0.0104648281181786</v>
      </c>
      <c r="O976" s="14">
        <v>45877</v>
      </c>
      <c r="P976" s="15">
        <f>I987</f>
        <v>-0.02464138931048054</v>
      </c>
      <c r="Q976" s="15">
        <f>J987</f>
        <v>-0.02341500364139821</v>
      </c>
      <c r="R976" s="15">
        <f>K987</f>
        <v>-0.02748864123345244</v>
      </c>
      <c r="S976" s="15">
        <f>L987</f>
        <v>-0.00951200879308063</v>
      </c>
      <c r="T976" s="15">
        <f>M987</f>
        <v>-0.021334567303924894</v>
      </c>
    </row>
    <row r="977" spans="1:20">
      <c r="A977" s="14">
        <v>45863</v>
      </c>
      <c r="B977" s="10">
        <v>1689.990356445312</v>
      </c>
      <c r="C977" s="10">
        <v>572.50927734375</v>
      </c>
      <c r="D977" s="10">
        <v>1523.454833984375</v>
      </c>
      <c r="E977" s="10">
        <v>24837</v>
      </c>
      <c r="F977" s="10">
        <v>950.5999755859376</v>
      </c>
      <c r="I977" s="15">
        <f>LN(B977/B976)</f>
        <v>-0.028216710731091853</v>
      </c>
      <c r="J977" s="15">
        <f>LN(C977/C976)</f>
        <v>0.019546310249394957</v>
      </c>
      <c r="K977" s="15">
        <f>LN(D977/D976)</f>
        <v>0.05233210636520276</v>
      </c>
      <c r="L977" s="15">
        <f>LN(E977/E976)</f>
        <v>-0.009022252428611252</v>
      </c>
      <c r="M977" s="15">
        <f>LN(F977/F976)</f>
        <v>-0.009944081777795238</v>
      </c>
      <c r="O977" s="14">
        <v>45880</v>
      </c>
      <c r="P977" s="15">
        <f>I988</f>
        <v>0.024765530121048</v>
      </c>
      <c r="Q977" s="15">
        <f>J988</f>
        <v>0.008949418016832664</v>
      </c>
      <c r="R977" s="15">
        <f>K988</f>
        <v>0.014012747164059614</v>
      </c>
      <c r="S977" s="15">
        <f>L988</f>
        <v>0.009060632685991908</v>
      </c>
      <c r="T977" s="15">
        <f>M988</f>
        <v>0.018418813807968247</v>
      </c>
    </row>
    <row r="978" spans="1:20">
      <c r="A978" s="14">
        <v>45866</v>
      </c>
      <c r="B978" s="10">
        <v>1619.333618164062</v>
      </c>
      <c r="C978" s="10">
        <v>562.17626953125</v>
      </c>
      <c r="D978" s="10">
        <v>1506.382202148438</v>
      </c>
      <c r="E978" s="10">
        <v>24680.900390625</v>
      </c>
      <c r="F978" s="10">
        <v>911.9000244140624</v>
      </c>
      <c r="I978" s="15">
        <f>LN(B978/B977)</f>
        <v>-0.04270810486764662</v>
      </c>
      <c r="J978" s="15">
        <f>LN(C978/C977)</f>
        <v>-0.018213492694787028</v>
      </c>
      <c r="K978" s="15">
        <f>LN(D978/D977)</f>
        <v>-0.011269789317973814</v>
      </c>
      <c r="L978" s="15">
        <f>LN(E978/E977)</f>
        <v>-0.006304795850755804</v>
      </c>
      <c r="M978" s="15">
        <f>LN(F978/F977)</f>
        <v>-0.04156297678475601</v>
      </c>
      <c r="O978" s="14">
        <v>45881</v>
      </c>
      <c r="P978" s="15">
        <f>I989</f>
        <v>0.0019847679731868767</v>
      </c>
      <c r="Q978" s="15">
        <f>J989</f>
        <v>-0.004278236706680716</v>
      </c>
      <c r="R978" s="15">
        <f>K989</f>
        <v>0.0013209771471670347</v>
      </c>
      <c r="S978" s="15">
        <f>L989</f>
        <v>-0.003979850901478695</v>
      </c>
      <c r="T978" s="15">
        <f>M989</f>
        <v>-0.007326865692798134</v>
      </c>
    </row>
    <row r="979" spans="1:20">
      <c r="A979" s="14">
        <v>45867</v>
      </c>
      <c r="B979" s="10">
        <v>1656.751953125</v>
      </c>
      <c r="C979" s="10">
        <v>577.451171875</v>
      </c>
      <c r="D979" s="10">
        <v>1505.883056640625</v>
      </c>
      <c r="E979" s="10">
        <v>24821.099609375</v>
      </c>
      <c r="F979" s="10">
        <v>926.5</v>
      </c>
      <c r="I979" s="15">
        <f>LN(B979/B978)</f>
        <v>0.022844313069218535</v>
      </c>
      <c r="J979" s="15">
        <f>LN(C979/C978)</f>
        <v>0.026808440385964322</v>
      </c>
      <c r="K979" s="15">
        <f>LN(D979/D978)</f>
        <v>-0.00033140873694610223</v>
      </c>
      <c r="L979" s="15">
        <f>LN(E979/E978)</f>
        <v>0.005664401180259817</v>
      </c>
      <c r="M979" s="15">
        <f>LN(F979/F978)</f>
        <v>0.015883684013054043</v>
      </c>
      <c r="O979" s="14">
        <v>45882</v>
      </c>
      <c r="P979" s="15">
        <f>I990</f>
        <v>0.007899836451889821</v>
      </c>
      <c r="Q979" s="15">
        <f>J990</f>
        <v>0.0009315552519302264</v>
      </c>
      <c r="R979" s="15">
        <f>K990</f>
        <v>-0.0015993538317526418</v>
      </c>
      <c r="S979" s="15">
        <f>L990</f>
        <v>0.0053739877432256436</v>
      </c>
      <c r="T979" s="15">
        <f>M990</f>
        <v>0.0024294069566995155</v>
      </c>
    </row>
    <row r="980" spans="1:20">
      <c r="A980" s="14">
        <v>45868</v>
      </c>
      <c r="B980" s="10">
        <v>1640.033081054688</v>
      </c>
      <c r="C980" s="10">
        <v>578.848876953125</v>
      </c>
      <c r="D980" s="10">
        <v>1499.393432617188</v>
      </c>
      <c r="E980" s="10">
        <v>24855.05078125</v>
      </c>
      <c r="F980" s="10">
        <v>917.6500244140624</v>
      </c>
      <c r="I980" s="15">
        <f>LN(B980/B979)</f>
        <v>-0.010142617867419147</v>
      </c>
      <c r="J980" s="15">
        <f>LN(C980/C979)</f>
        <v>0.002417548559799527</v>
      </c>
      <c r="K980" s="15">
        <f>LN(D980/D979)</f>
        <v>-0.004318826659585379</v>
      </c>
      <c r="L980" s="15">
        <f>LN(E980/E979)</f>
        <v>0.001366900490246142</v>
      </c>
      <c r="M980" s="15">
        <f>LN(F980/F979)</f>
        <v>-0.009597964815951057</v>
      </c>
      <c r="O980" s="14">
        <v>45883</v>
      </c>
      <c r="P980" s="15">
        <f>I991</f>
        <v>-0.004621224104304823</v>
      </c>
      <c r="Q980" s="15">
        <f>J991</f>
        <v>-0.0022372835125595305</v>
      </c>
      <c r="R980" s="15">
        <f>K991</f>
        <v>-0.004813552106634293</v>
      </c>
      <c r="S980" s="15">
        <f>L991</f>
        <v>0.00048532037708285097</v>
      </c>
      <c r="T980" s="15">
        <f>M991</f>
        <v>-0.007590398225831063</v>
      </c>
    </row>
    <row r="981" spans="1:20">
      <c r="A981" s="14">
        <v>45869</v>
      </c>
      <c r="B981" s="10">
        <v>1622.219604492188</v>
      </c>
      <c r="C981" s="10">
        <v>563.6737670898438</v>
      </c>
      <c r="D981" s="10">
        <v>1481.621948242188</v>
      </c>
      <c r="E981" s="10">
        <v>24768.349609375</v>
      </c>
      <c r="F981" s="10">
        <v>912.3499755859376</v>
      </c>
      <c r="I981" s="15">
        <f>LN(B981/B980)</f>
        <v>-0.010921075299907181</v>
      </c>
      <c r="J981" s="15">
        <f>LN(C981/C980)</f>
        <v>-0.02656577951644874</v>
      </c>
      <c r="K981" s="15">
        <f>LN(D981/D980)</f>
        <v>-0.011923249391601451</v>
      </c>
      <c r="L981" s="15">
        <f>LN(E981/E980)</f>
        <v>-0.003494369971240235</v>
      </c>
      <c r="M981" s="15">
        <f>LN(F981/F980)</f>
        <v>-0.005792419286455243</v>
      </c>
      <c r="O981" s="14">
        <v>45887</v>
      </c>
      <c r="P981" s="15">
        <f>I992</f>
        <v>0.016719663607775572</v>
      </c>
      <c r="Q981" s="15">
        <f>J992</f>
        <v>0.014178063090052708</v>
      </c>
      <c r="R981" s="15">
        <f>K992</f>
        <v>0.040833116411027486</v>
      </c>
      <c r="S981" s="15">
        <f>L992</f>
        <v>0.009923616908863717</v>
      </c>
      <c r="T981" s="15">
        <f>M992</f>
        <v>0.02148809954061749</v>
      </c>
    </row>
    <row r="982" spans="1:20">
      <c r="A982" s="14">
        <v>45870</v>
      </c>
      <c r="B982" s="10">
        <v>1581.716552734375</v>
      </c>
      <c r="C982" s="10">
        <v>562.9249877929688</v>
      </c>
      <c r="D982" s="10">
        <v>1449.872802734375</v>
      </c>
      <c r="E982" s="10">
        <v>24565.349609375</v>
      </c>
      <c r="F982" s="10">
        <v>896.1500244140625</v>
      </c>
      <c r="I982" s="15">
        <f>LN(B982/B981)</f>
        <v>-0.025284654620837836</v>
      </c>
      <c r="J982" s="15">
        <f>LN(C982/C981)</f>
        <v>-0.001329274338153853</v>
      </c>
      <c r="K982" s="15">
        <f>LN(D982/D981)</f>
        <v>-0.021661568345913672</v>
      </c>
      <c r="L982" s="15">
        <f>LN(E982/E981)</f>
        <v>-0.008229715141942045</v>
      </c>
      <c r="M982" s="15">
        <f>LN(F982/F981)</f>
        <v>-0.01791582470212548</v>
      </c>
      <c r="O982" s="14">
        <v>45888</v>
      </c>
      <c r="P982" s="15">
        <f>I993</f>
        <v>0.0017597660291231627</v>
      </c>
      <c r="Q982" s="15">
        <f>J993</f>
        <v>-0.0021185819861047244</v>
      </c>
      <c r="R982" s="15">
        <f>K993</f>
        <v>0.009155182133962707</v>
      </c>
      <c r="S982" s="15">
        <f>L993</f>
        <v>0.004159900285259885</v>
      </c>
      <c r="T982" s="15">
        <f>M993</f>
        <v>0.006490080288330912</v>
      </c>
    </row>
    <row r="983" spans="1:20">
      <c r="A983" s="14">
        <v>45873</v>
      </c>
      <c r="B983" s="10">
        <v>1601.818725585938</v>
      </c>
      <c r="C983" s="10">
        <v>561.52734375</v>
      </c>
      <c r="D983" s="10">
        <v>1471.837646484375</v>
      </c>
      <c r="E983" s="10">
        <v>24722.75</v>
      </c>
      <c r="F983" s="10">
        <v>912.0499877929688</v>
      </c>
      <c r="I983" s="15">
        <f>LN(B983/B982)</f>
        <v>0.012629004091960149</v>
      </c>
      <c r="J983" s="15">
        <f>LN(C983/C982)</f>
        <v>-0.0024859119831417906</v>
      </c>
      <c r="K983" s="15">
        <f>LN(D983/D982)</f>
        <v>0.015035889383394589</v>
      </c>
      <c r="L983" s="15">
        <f>LN(E983/E982)</f>
        <v>0.006386974825463857</v>
      </c>
      <c r="M983" s="15">
        <f>LN(F983/F982)</f>
        <v>0.01758696282787186</v>
      </c>
      <c r="O983" s="14">
        <v>45889</v>
      </c>
      <c r="P983" s="15">
        <f>I994</f>
        <v>0.004536876406203479</v>
      </c>
      <c r="Q983" s="15">
        <f>J994</f>
        <v>-0.0070325002371495375</v>
      </c>
      <c r="R983" s="15">
        <f>K994</f>
        <v>0.03926411528786768</v>
      </c>
      <c r="S983" s="15">
        <f>L994</f>
        <v>0.002794273751954044</v>
      </c>
      <c r="T983" s="15">
        <f>M994</f>
        <v>0.010505267237277445</v>
      </c>
    </row>
    <row r="984" spans="1:20">
      <c r="A984" s="14">
        <v>45874</v>
      </c>
      <c r="B984" s="10">
        <v>1600.823486328125</v>
      </c>
      <c r="C984" s="10">
        <v>558.632080078125</v>
      </c>
      <c r="D984" s="10">
        <v>1473.734619140625</v>
      </c>
      <c r="E984" s="10">
        <v>24649.55078125</v>
      </c>
      <c r="F984" s="10">
        <v>907.8499755859376</v>
      </c>
      <c r="I984" s="15">
        <f>LN(B984/B983)</f>
        <v>-0.0006215113796643731</v>
      </c>
      <c r="J984" s="15">
        <f>LN(C984/C983)</f>
        <v>-0.005169389388144055</v>
      </c>
      <c r="K984" s="15">
        <f>LN(D984/D983)</f>
        <v>0.0012880165532803641</v>
      </c>
      <c r="L984" s="15">
        <f>LN(E984/E983)</f>
        <v>-0.0029651959185494695</v>
      </c>
      <c r="M984" s="15">
        <f>LN(F984/F983)</f>
        <v>-0.004615659924255423</v>
      </c>
      <c r="O984" s="14">
        <v>45890</v>
      </c>
      <c r="P984" s="15">
        <f>I995</f>
        <v>0.0016883497512715467</v>
      </c>
      <c r="Q984" s="15">
        <f>J995</f>
        <v>0.02621119321426531</v>
      </c>
      <c r="R984" s="15">
        <f>K995</f>
        <v>0.00764582552151332</v>
      </c>
      <c r="S984" s="15">
        <f>L995</f>
        <v>0.0013244115539841486</v>
      </c>
      <c r="T984" s="15">
        <f>M995</f>
        <v>0.003822634726206474</v>
      </c>
    </row>
    <row r="985" spans="1:20">
      <c r="A985" s="14">
        <v>45875</v>
      </c>
      <c r="B985" s="10">
        <v>1596.743408203125</v>
      </c>
      <c r="C985" s="10">
        <v>542.3088989257812</v>
      </c>
      <c r="D985" s="10">
        <v>1445.879272460938</v>
      </c>
      <c r="E985" s="10">
        <v>24574.19921875</v>
      </c>
      <c r="F985" s="10">
        <v>894.1500244140625</v>
      </c>
      <c r="I985" s="15">
        <f>LN(B985/B984)</f>
        <v>-0.002551990606559876</v>
      </c>
      <c r="J985" s="15">
        <f>LN(C985/C984)</f>
        <v>-0.029655317977604956</v>
      </c>
      <c r="K985" s="15">
        <f>LN(D985/D984)</f>
        <v>-0.019082106709064395</v>
      </c>
      <c r="L985" s="15">
        <f>LN(E985/E984)</f>
        <v>-0.003061596134311999</v>
      </c>
      <c r="M985" s="15">
        <f>LN(F985/F984)</f>
        <v>-0.015205566186240789</v>
      </c>
      <c r="O985" s="14">
        <v>45891</v>
      </c>
      <c r="P985" s="15">
        <f>I996</f>
        <v>-0.0013867896752440096</v>
      </c>
      <c r="Q985" s="15">
        <f>J996</f>
        <v>-0.010274246869249971</v>
      </c>
      <c r="R985" s="15">
        <f>K996</f>
        <v>0.0015855261186596612</v>
      </c>
      <c r="S985" s="15">
        <f>L996</f>
        <v>-0.008553963109247331</v>
      </c>
      <c r="T985" s="15">
        <f>M996</f>
        <v>-0.008429115229270139</v>
      </c>
    </row>
    <row r="986" spans="1:20">
      <c r="A986" s="14">
        <v>45876</v>
      </c>
      <c r="B986" s="10">
        <v>1602.71435546875</v>
      </c>
      <c r="C986" s="10">
        <v>545.7033081054688</v>
      </c>
      <c r="D986" s="10">
        <v>1454.465576171875</v>
      </c>
      <c r="E986" s="10">
        <v>24596.150390625</v>
      </c>
      <c r="F986" s="10">
        <v>893</v>
      </c>
      <c r="I986" s="15">
        <f>LN(B986/B985)</f>
        <v>0.0037324788377523397</v>
      </c>
      <c r="J986" s="15">
        <f>LN(C986/C985)</f>
        <v>0.006239672994050214</v>
      </c>
      <c r="K986" s="15">
        <f>LN(D986/D985)</f>
        <v>0.00592090199149835</v>
      </c>
      <c r="L986" s="15">
        <f>LN(E986/E985)</f>
        <v>0.0008928622028389917</v>
      </c>
      <c r="M986" s="15">
        <f>LN(F986/F985)</f>
        <v>-0.001286992761759364</v>
      </c>
      <c r="O986" s="14">
        <v>45894</v>
      </c>
      <c r="P986" s="15">
        <f>I997</f>
        <v>0.009189001658439114</v>
      </c>
      <c r="Q986" s="15">
        <f>J997</f>
        <v>-0.014823288202590566</v>
      </c>
      <c r="R986" s="15">
        <f>K997</f>
        <v>0.006254178525072431</v>
      </c>
      <c r="S986" s="15">
        <f>L997</f>
        <v>0.003918729092601476</v>
      </c>
      <c r="T986" s="15">
        <f>M997</f>
        <v>0.007447586755991591</v>
      </c>
    </row>
    <row r="987" spans="1:20">
      <c r="A987" s="14">
        <v>45877</v>
      </c>
      <c r="B987" s="10">
        <v>1563.703857421875</v>
      </c>
      <c r="C987" s="10">
        <v>533.0740966796875</v>
      </c>
      <c r="D987" s="10">
        <v>1415.02880859375</v>
      </c>
      <c r="E987" s="10">
        <v>24363.30078125</v>
      </c>
      <c r="F987" s="10">
        <v>874.1500244140625</v>
      </c>
      <c r="I987" s="15">
        <f>LN(B987/B986)</f>
        <v>-0.02464138931048054</v>
      </c>
      <c r="J987" s="15">
        <f>LN(C987/C986)</f>
        <v>-0.02341500364139821</v>
      </c>
      <c r="K987" s="15">
        <f>LN(D987/D986)</f>
        <v>-0.02748864123345244</v>
      </c>
      <c r="L987" s="15">
        <f>LN(E987/E986)</f>
        <v>-0.00951200879308063</v>
      </c>
      <c r="M987" s="15">
        <f>LN(F987/F986)</f>
        <v>-0.021334567303924894</v>
      </c>
      <c r="O987" s="14">
        <v>45895</v>
      </c>
      <c r="P987" s="15">
        <f>I998</f>
        <v>-0.020841031130574172</v>
      </c>
      <c r="Q987" s="15">
        <f>J998</f>
        <v>-0.013634877384667387</v>
      </c>
      <c r="R987" s="15">
        <f>K998</f>
        <v>-0.018047132629669605</v>
      </c>
      <c r="S987" s="15">
        <f>L998</f>
        <v>-0.010293981565065833</v>
      </c>
      <c r="T987" s="15">
        <f>M998</f>
        <v>-0.022622902266662817</v>
      </c>
    </row>
    <row r="988" spans="1:20">
      <c r="A988" s="14">
        <v>45880</v>
      </c>
      <c r="B988" s="10">
        <v>1602.913330078125</v>
      </c>
      <c r="C988" s="10">
        <v>537.8662109375</v>
      </c>
      <c r="D988" s="10">
        <v>1434.996826171875</v>
      </c>
      <c r="E988" s="10">
        <v>24585.05078125</v>
      </c>
      <c r="F988" s="10">
        <v>890.4000244140625</v>
      </c>
      <c r="I988" s="15">
        <f>LN(B988/B987)</f>
        <v>0.024765530121048</v>
      </c>
      <c r="J988" s="15">
        <f>LN(C988/C987)</f>
        <v>0.008949418016832664</v>
      </c>
      <c r="K988" s="15">
        <f>LN(D988/D987)</f>
        <v>0.014012747164059614</v>
      </c>
      <c r="L988" s="15">
        <f>LN(E988/E987)</f>
        <v>0.009060632685991908</v>
      </c>
      <c r="M988" s="15">
        <f>LN(F988/F987)</f>
        <v>0.018418813807968247</v>
      </c>
      <c r="O988" s="14">
        <v>45897</v>
      </c>
      <c r="P988" s="15">
        <f>I999</f>
        <v>-0.01191290584577255</v>
      </c>
      <c r="Q988" s="15">
        <f>J999</f>
        <v>-0.026970795188909144</v>
      </c>
      <c r="R988" s="15">
        <f>K999</f>
        <v>-0.032454312712135135</v>
      </c>
      <c r="S988" s="15">
        <f>L999</f>
        <v>-0.00858114302373062</v>
      </c>
      <c r="T988" s="15">
        <f>M999</f>
        <v>-0.015125832663651868</v>
      </c>
    </row>
    <row r="989" spans="1:20">
      <c r="A989" s="14">
        <v>45881</v>
      </c>
      <c r="B989" s="10">
        <v>1606.097900390625</v>
      </c>
      <c r="C989" s="10">
        <v>535.5700073242188</v>
      </c>
      <c r="D989" s="10">
        <v>1436.893676757812</v>
      </c>
      <c r="E989" s="10">
        <v>24487.400390625</v>
      </c>
      <c r="F989" s="10">
        <v>883.9000244140625</v>
      </c>
      <c r="I989" s="15">
        <f>LN(B989/B988)</f>
        <v>0.0019847679731868767</v>
      </c>
      <c r="J989" s="15">
        <f>LN(C989/C988)</f>
        <v>-0.004278236706680716</v>
      </c>
      <c r="K989" s="15">
        <f>LN(D989/D988)</f>
        <v>0.0013209771471670347</v>
      </c>
      <c r="L989" s="15">
        <f>LN(E989/E988)</f>
        <v>-0.003979850901478695</v>
      </c>
      <c r="M989" s="15">
        <f>LN(F989/F988)</f>
        <v>-0.007326865692798134</v>
      </c>
      <c r="O989" s="14">
        <v>45898</v>
      </c>
      <c r="P989" s="15">
        <f>I1000</f>
        <v>-0.004954170344784958</v>
      </c>
      <c r="Q989" s="15">
        <f>J1000</f>
        <v>-0.0024178655128577337</v>
      </c>
      <c r="R989" s="15">
        <f>K1000</f>
        <v>-0.004314813148675475</v>
      </c>
      <c r="S989" s="15">
        <f>L1000</f>
        <v>-0.003026946376657732</v>
      </c>
      <c r="T989" s="15">
        <f>M1000</f>
        <v>-0.013403879561341286</v>
      </c>
    </row>
    <row r="990" spans="1:20">
      <c r="A990" s="14">
        <v>45882</v>
      </c>
      <c r="B990" s="10">
        <v>1618.836059570312</v>
      </c>
      <c r="C990" s="10">
        <v>536.0691528320312</v>
      </c>
      <c r="D990" s="10">
        <v>1434.597412109375</v>
      </c>
      <c r="E990" s="10">
        <v>24619.349609375</v>
      </c>
      <c r="F990" s="10">
        <v>886.0499877929688</v>
      </c>
      <c r="I990" s="15">
        <f>LN(B990/B989)</f>
        <v>0.007899836451889821</v>
      </c>
      <c r="J990" s="15">
        <f>LN(C990/C989)</f>
        <v>0.0009315552519302264</v>
      </c>
      <c r="K990" s="15">
        <f>LN(D990/D989)</f>
        <v>-0.0015993538317526418</v>
      </c>
      <c r="L990" s="15">
        <f>LN(E990/E989)</f>
        <v>0.0053739877432256436</v>
      </c>
      <c r="M990" s="15">
        <f>LN(F990/F989)</f>
        <v>0.0024294069566995155</v>
      </c>
      <c r="O990" s="14">
        <v>45901</v>
      </c>
      <c r="P990" s="15">
        <f>I1001</f>
        <v>0.0168670761905575</v>
      </c>
      <c r="Q990" s="15">
        <f>J1001</f>
        <v>0.009253173543844997</v>
      </c>
      <c r="R990" s="15">
        <f>K1001</f>
        <v>0.009204422346559962</v>
      </c>
      <c r="S990" s="15">
        <f>L1001</f>
        <v>0.008081328102276956</v>
      </c>
      <c r="T990" s="15">
        <f>M1001</f>
        <v>0.010339685793728851</v>
      </c>
    </row>
    <row r="991" spans="1:20">
      <c r="A991" s="14">
        <v>45883</v>
      </c>
      <c r="B991" s="10">
        <v>1611.372314453125</v>
      </c>
      <c r="C991" s="10">
        <v>534.8711547851562</v>
      </c>
      <c r="D991" s="10">
        <v>1427.70849609375</v>
      </c>
      <c r="E991" s="10">
        <v>24631.30078125</v>
      </c>
      <c r="F991" s="10">
        <v>879.3499755859375</v>
      </c>
      <c r="I991" s="15">
        <f>LN(B991/B990)</f>
        <v>-0.004621224104304823</v>
      </c>
      <c r="J991" s="15">
        <f>LN(C991/C990)</f>
        <v>-0.0022372835125595305</v>
      </c>
      <c r="K991" s="15">
        <f>LN(D991/D990)</f>
        <v>-0.004813552106634293</v>
      </c>
      <c r="L991" s="15">
        <f>LN(E991/E990)</f>
        <v>0.00048532037708285097</v>
      </c>
      <c r="M991" s="15">
        <f>LN(F991/F990)</f>
        <v>-0.007590398225831063</v>
      </c>
      <c r="O991" s="14">
        <v>45902</v>
      </c>
      <c r="P991" s="15">
        <f>I1002</f>
        <v>0.00826762817443053</v>
      </c>
      <c r="Q991" s="15">
        <f>J1002</f>
        <v>0.03219233481551666</v>
      </c>
      <c r="R991" s="15">
        <f>K1002</f>
        <v>0.03153237584715237</v>
      </c>
      <c r="S991" s="15">
        <f>L1002</f>
        <v>-0.0018474345185382894</v>
      </c>
      <c r="T991" s="15">
        <f>M1002</f>
        <v>0.007191669012019846</v>
      </c>
    </row>
    <row r="992" spans="1:20">
      <c r="A992" s="14">
        <v>45887</v>
      </c>
      <c r="B992" s="10">
        <v>1638.540405273438</v>
      </c>
      <c r="C992" s="10">
        <v>542.5086059570312</v>
      </c>
      <c r="D992" s="10">
        <v>1487.212890625</v>
      </c>
      <c r="E992" s="10">
        <v>24876.94921875</v>
      </c>
      <c r="F992" s="10">
        <v>898.4500122070312</v>
      </c>
      <c r="I992" s="15">
        <f>LN(B992/B991)</f>
        <v>0.016719663607775572</v>
      </c>
      <c r="J992" s="15">
        <f>LN(C992/C991)</f>
        <v>0.014178063090052708</v>
      </c>
      <c r="K992" s="15">
        <f>LN(D992/D991)</f>
        <v>0.040833116411027486</v>
      </c>
      <c r="L992" s="15">
        <f>LN(E992/E991)</f>
        <v>0.009923616908863717</v>
      </c>
      <c r="M992" s="15">
        <f>LN(F992/F991)</f>
        <v>0.02148809954061749</v>
      </c>
      <c r="O992" s="14">
        <v>45903</v>
      </c>
      <c r="P992" s="15">
        <f>I1003</f>
        <v>0.0029620880668539983</v>
      </c>
      <c r="Q992" s="15">
        <f>J1003</f>
        <v>0.01071897285669452</v>
      </c>
      <c r="R992" s="15">
        <f>K1003</f>
        <v>-0.034635144051668246</v>
      </c>
      <c r="S992" s="15">
        <f>L1003</f>
        <v>0.005495586709857895</v>
      </c>
      <c r="T992" s="15">
        <f>M1003</f>
        <v>0.003941890343308493</v>
      </c>
    </row>
    <row r="993" spans="1:20">
      <c r="A993" s="14">
        <v>45888</v>
      </c>
      <c r="B993" s="10">
        <v>1641.426391601562</v>
      </c>
      <c r="C993" s="10">
        <v>541.3604736328125</v>
      </c>
      <c r="D993" s="10">
        <v>1500.89111328125</v>
      </c>
      <c r="E993" s="10">
        <v>24980.650390625</v>
      </c>
      <c r="F993" s="10">
        <v>904.2999877929688</v>
      </c>
      <c r="I993" s="15">
        <f>LN(B993/B992)</f>
        <v>0.0017597660291231627</v>
      </c>
      <c r="J993" s="15">
        <f>LN(C993/C992)</f>
        <v>-0.0021185819861047244</v>
      </c>
      <c r="K993" s="15">
        <f>LN(D993/D992)</f>
        <v>0.009155182133962707</v>
      </c>
      <c r="L993" s="15">
        <f>LN(E993/E992)</f>
        <v>0.004159900285259885</v>
      </c>
      <c r="M993" s="15">
        <f>LN(F993/F992)</f>
        <v>0.006490080288330912</v>
      </c>
      <c r="O993" s="14">
        <v>45904</v>
      </c>
      <c r="P993" s="15">
        <f>I1004</f>
        <v>0.003133819474174512</v>
      </c>
      <c r="Q993" s="15">
        <f>J1004</f>
        <v>-0.018834369124709944</v>
      </c>
      <c r="R993" s="15">
        <f>K1004</f>
        <v>-0.007499680544968984</v>
      </c>
      <c r="S993" s="15">
        <f>L1004</f>
        <v>0.0007785744550393448</v>
      </c>
      <c r="T993" s="15">
        <f>M1004</f>
        <v>-0.00778611958667197</v>
      </c>
    </row>
    <row r="994" spans="1:20">
      <c r="A994" s="14">
        <v>45889</v>
      </c>
      <c r="B994" s="10">
        <v>1648.890258789062</v>
      </c>
      <c r="C994" s="10">
        <v>537.5667114257812</v>
      </c>
      <c r="D994" s="10">
        <v>1560.994506835938</v>
      </c>
      <c r="E994" s="10">
        <v>25050.55078125</v>
      </c>
      <c r="F994" s="10">
        <v>913.8499755859376</v>
      </c>
      <c r="I994" s="15">
        <f>LN(B994/B993)</f>
        <v>0.004536876406203479</v>
      </c>
      <c r="J994" s="15">
        <f>LN(C994/C993)</f>
        <v>-0.0070325002371495375</v>
      </c>
      <c r="K994" s="15">
        <f>LN(D994/D993)</f>
        <v>0.03926411528786768</v>
      </c>
      <c r="L994" s="15">
        <f>LN(E994/E993)</f>
        <v>0.002794273751954044</v>
      </c>
      <c r="M994" s="15">
        <f>LN(F994/F993)</f>
        <v>0.010505267237277445</v>
      </c>
      <c r="O994" s="14">
        <v>45905</v>
      </c>
      <c r="P994" s="15">
        <f>I1005</f>
        <v>-0.02024078749856885</v>
      </c>
      <c r="Q994" s="15">
        <f>J1005</f>
        <v>0.0026190300547668578</v>
      </c>
      <c r="R994" s="15">
        <f>K1005</f>
        <v>0.011261394227766565</v>
      </c>
      <c r="S994" s="15">
        <f>L1005</f>
        <v>0.0002708106342015157</v>
      </c>
      <c r="T994" s="15">
        <f>M1005</f>
        <v>-0.011679380731913533</v>
      </c>
    </row>
    <row r="995" spans="1:20">
      <c r="A995" s="14">
        <v>45890</v>
      </c>
      <c r="B995" s="10">
        <v>1651.676513671875</v>
      </c>
      <c r="C995" s="10">
        <v>551.84326171875</v>
      </c>
      <c r="D995" s="10">
        <v>1572.975341796875</v>
      </c>
      <c r="E995" s="10">
        <v>25083.75</v>
      </c>
      <c r="F995" s="10">
        <v>917.3499755859376</v>
      </c>
      <c r="I995" s="15">
        <f>LN(B995/B994)</f>
        <v>0.0016883497512715467</v>
      </c>
      <c r="J995" s="15">
        <f>LN(C995/C994)</f>
        <v>0.02621119321426531</v>
      </c>
      <c r="K995" s="15">
        <f>LN(D995/D994)</f>
        <v>0.00764582552151332</v>
      </c>
      <c r="L995" s="15">
        <f>LN(E995/E994)</f>
        <v>0.0013244115539841486</v>
      </c>
      <c r="M995" s="15">
        <f>LN(F995/F994)</f>
        <v>0.003822634726206474</v>
      </c>
      <c r="O995" s="14">
        <v>45908</v>
      </c>
      <c r="P995" s="15">
        <f>I1006</f>
        <v>-0.0032596577693109734</v>
      </c>
      <c r="Q995" s="15">
        <f>J1006</f>
        <v>-0.012974967504564566</v>
      </c>
      <c r="R995" s="15">
        <f>K1006</f>
        <v>0.007612091313908603</v>
      </c>
      <c r="S995" s="15">
        <f>L1006</f>
        <v>0.0012986346282709543</v>
      </c>
      <c r="T995" s="15">
        <f>M1006</f>
        <v>0.0046310797970773145</v>
      </c>
    </row>
    <row r="996" spans="1:20">
      <c r="A996" s="14">
        <v>45891</v>
      </c>
      <c r="B996" s="10">
        <v>1649.387573242188</v>
      </c>
      <c r="C996" s="10">
        <v>546.2025146484375</v>
      </c>
      <c r="D996" s="10">
        <v>1575.471313476562</v>
      </c>
      <c r="E996" s="10">
        <v>24870.099609375</v>
      </c>
      <c r="F996" s="10">
        <v>909.6500244140624</v>
      </c>
      <c r="I996" s="15">
        <f>LN(B996/B995)</f>
        <v>-0.0013867896752440096</v>
      </c>
      <c r="J996" s="15">
        <f>LN(C996/C995)</f>
        <v>-0.010274246869249971</v>
      </c>
      <c r="K996" s="15">
        <f>LN(D996/D995)</f>
        <v>0.0015855261186596612</v>
      </c>
      <c r="L996" s="15">
        <f>LN(E996/E995)</f>
        <v>-0.008553963109247331</v>
      </c>
      <c r="M996" s="15">
        <f>LN(F996/F995)</f>
        <v>-0.008429115229270139</v>
      </c>
      <c r="O996" s="14">
        <v>45909</v>
      </c>
      <c r="P996" s="15">
        <f>I1007</f>
        <v>-0.003641257441045246</v>
      </c>
      <c r="Q996" s="15">
        <f>J1007</f>
        <v>-0.018529649898888986</v>
      </c>
      <c r="R996" s="15">
        <f>K1007</f>
        <v>0.016725406992393298</v>
      </c>
      <c r="S996" s="15">
        <f>L1007</f>
        <v>0.0038455266535053208</v>
      </c>
      <c r="T996" s="15">
        <f>M1007</f>
        <v>-0.0029705541249100678</v>
      </c>
    </row>
    <row r="997" spans="1:20">
      <c r="A997" s="14">
        <v>45894</v>
      </c>
      <c r="B997" s="10">
        <v>1664.613647460938</v>
      </c>
      <c r="C997" s="10">
        <v>538.1657104492188</v>
      </c>
      <c r="D997" s="10">
        <v>1585.35546875</v>
      </c>
      <c r="E997" s="10">
        <v>24967.75</v>
      </c>
      <c r="F997" s="10">
        <v>916.4500122070312</v>
      </c>
      <c r="I997" s="15">
        <f>LN(B997/B996)</f>
        <v>0.009189001658439114</v>
      </c>
      <c r="J997" s="15">
        <f>LN(C997/C996)</f>
        <v>-0.014823288202590566</v>
      </c>
      <c r="K997" s="15">
        <f>LN(D997/D996)</f>
        <v>0.006254178525072431</v>
      </c>
      <c r="L997" s="15">
        <f>LN(E997/E996)</f>
        <v>0.003918729092601476</v>
      </c>
      <c r="M997" s="15">
        <f>LN(F997/F996)</f>
        <v>0.007447586755991591</v>
      </c>
      <c r="O997" s="14">
        <v>45910</v>
      </c>
      <c r="P997" s="15">
        <f>I1008</f>
        <v>-0.0035303486563090024</v>
      </c>
      <c r="Q997" s="15">
        <f>J1008</f>
        <v>0.027010659479088223</v>
      </c>
      <c r="R997" s="15">
        <f>K1008</f>
        <v>0.0036576741242387084</v>
      </c>
      <c r="S997" s="15">
        <f>L1008</f>
        <v>0.004193282121674665</v>
      </c>
      <c r="T997" s="15">
        <f>M1008</f>
        <v>0.011207599135906247</v>
      </c>
    </row>
    <row r="998" spans="1:20">
      <c r="A998" s="14">
        <v>45895</v>
      </c>
      <c r="B998" s="10">
        <v>1630.280395507812</v>
      </c>
      <c r="C998" s="10">
        <v>530.877685546875</v>
      </c>
      <c r="D998" s="10">
        <v>1557.0009765625</v>
      </c>
      <c r="E998" s="10">
        <v>24712.05078125</v>
      </c>
      <c r="F998" s="10">
        <v>895.9500122070312</v>
      </c>
      <c r="I998" s="15">
        <f>LN(B998/B997)</f>
        <v>-0.020841031130574172</v>
      </c>
      <c r="J998" s="15">
        <f>LN(C998/C997)</f>
        <v>-0.013634877384667387</v>
      </c>
      <c r="K998" s="15">
        <f>LN(D998/D997)</f>
        <v>-0.018047132629669605</v>
      </c>
      <c r="L998" s="15">
        <f>LN(E998/E997)</f>
        <v>-0.010293981565065833</v>
      </c>
      <c r="M998" s="15">
        <f>LN(F998/F997)</f>
        <v>-0.022622902266662817</v>
      </c>
      <c r="O998" s="14">
        <v>45911</v>
      </c>
      <c r="P998" s="15">
        <f>I1009</f>
        <v>-0.004913713744624215</v>
      </c>
      <c r="Q998" s="15">
        <f>J1009</f>
        <v>-0.0076297454826474865</v>
      </c>
      <c r="R998" s="15">
        <f>K1009</f>
        <v>-0.00591028551515135</v>
      </c>
      <c r="S998" s="15">
        <f>L1009</f>
        <v>0.0012965707489705478</v>
      </c>
      <c r="T998" s="15">
        <f>M1009</f>
        <v>0.0</v>
      </c>
    </row>
    <row r="999" spans="1:20">
      <c r="A999" s="14">
        <v>45897</v>
      </c>
      <c r="B999" s="10">
        <v>1610.974243164062</v>
      </c>
      <c r="C999" s="10">
        <v>516.7508544921875</v>
      </c>
      <c r="D999" s="10">
        <v>1507.28076171875</v>
      </c>
      <c r="E999" s="10">
        <v>24500.900390625</v>
      </c>
      <c r="F999" s="10">
        <v>882.5</v>
      </c>
      <c r="I999" s="15">
        <f>LN(B999/B998)</f>
        <v>-0.01191290584577255</v>
      </c>
      <c r="J999" s="15">
        <f>LN(C999/C998)</f>
        <v>-0.026970795188909144</v>
      </c>
      <c r="K999" s="15">
        <f>LN(D999/D998)</f>
        <v>-0.032454312712135135</v>
      </c>
      <c r="L999" s="15">
        <f>LN(E999/E998)</f>
        <v>-0.00858114302373062</v>
      </c>
      <c r="M999" s="15">
        <f>LN(F999/F998)</f>
        <v>-0.015125832663651868</v>
      </c>
      <c r="O999" s="14">
        <v>45912</v>
      </c>
      <c r="P999" s="15">
        <f>I1010</f>
        <v>-0.0011853461580054795</v>
      </c>
      <c r="Q999" s="15">
        <f>J1010</f>
        <v>0.008473938198857622</v>
      </c>
      <c r="R999" s="15">
        <f>K1010</f>
        <v>0.005205510462842538</v>
      </c>
      <c r="S999" s="15">
        <f>L1010</f>
        <v>0.004329658895022681</v>
      </c>
      <c r="T999" s="15">
        <f>M1010</f>
        <v>0.000622105389359006</v>
      </c>
    </row>
    <row r="1000" spans="1:20">
      <c r="A1000" s="14">
        <v>45898</v>
      </c>
      <c r="B1000" s="10">
        <v>1603.012939453125</v>
      </c>
      <c r="C1000" s="10">
        <v>515.5029296875</v>
      </c>
      <c r="D1000" s="10">
        <v>1500.791137695312</v>
      </c>
      <c r="E1000" s="10">
        <v>24426.849609375</v>
      </c>
      <c r="F1000" s="10">
        <v>870.75</v>
      </c>
      <c r="I1000" s="15">
        <f>LN(B1000/B999)</f>
        <v>-0.004954170344784958</v>
      </c>
      <c r="J1000" s="15">
        <f>LN(C1000/C999)</f>
        <v>-0.0024178655128577337</v>
      </c>
      <c r="K1000" s="15">
        <f>LN(D1000/D999)</f>
        <v>-0.004314813148675475</v>
      </c>
      <c r="L1000" s="15">
        <f>LN(E1000/E999)</f>
        <v>-0.003026946376657732</v>
      </c>
      <c r="M1000" s="15">
        <f>LN(F1000/F999)</f>
        <v>-0.013403879561341286</v>
      </c>
      <c r="O1000" s="14">
        <v>45915</v>
      </c>
      <c r="P1000" s="15">
        <f>I1011</f>
        <v>0.023505865328846638</v>
      </c>
      <c r="Q1000" s="15">
        <f>J1011</f>
        <v>0.10010573046958958</v>
      </c>
      <c r="R1000" s="15">
        <f>K1011</f>
        <v>0.019077267147106242</v>
      </c>
      <c r="S1000" s="15">
        <f>L1011</f>
        <v>-0.001785489719644452</v>
      </c>
      <c r="T1000" s="15">
        <f>M1011</f>
        <v>0.02380006062241323</v>
      </c>
    </row>
    <row r="1001" spans="1:20">
      <c r="A1001" s="14">
        <v>45901</v>
      </c>
      <c r="B1001" s="10">
        <v>1630.280395507812</v>
      </c>
      <c r="C1001" s="10">
        <v>520.2951049804688</v>
      </c>
      <c r="D1001" s="10">
        <v>1514.668823242188</v>
      </c>
      <c r="E1001" s="10">
        <v>24625.05078125</v>
      </c>
      <c r="F1001" s="10">
        <v>879.7999877929688</v>
      </c>
      <c r="I1001" s="15">
        <f>LN(B1001/B1000)</f>
        <v>0.0168670761905575</v>
      </c>
      <c r="J1001" s="15">
        <f>LN(C1001/C1000)</f>
        <v>0.009253173543844997</v>
      </c>
      <c r="K1001" s="15">
        <f>LN(D1001/D1000)</f>
        <v>0.009204422346559962</v>
      </c>
      <c r="L1001" s="15">
        <f>LN(E1001/E1000)</f>
        <v>0.008081328102276956</v>
      </c>
      <c r="M1001" s="15">
        <f>LN(F1001/F1000)</f>
        <v>0.010339685793728851</v>
      </c>
      <c r="O1001" s="14">
        <v>45916</v>
      </c>
      <c r="P1001" s="15">
        <f>I1012</f>
        <v>0.0018274333808541946</v>
      </c>
      <c r="Q1001" s="15">
        <f>J1012</f>
        <v>0.009623617003191648</v>
      </c>
      <c r="R1001" s="15">
        <f>K1012</f>
        <v>0.01773053355009876</v>
      </c>
      <c r="S1001" s="15">
        <f>L1012</f>
        <v>0.0067543940269436074</v>
      </c>
      <c r="T1001" s="15">
        <f>M1012</f>
        <v>0.010653534228762208</v>
      </c>
    </row>
    <row r="1002" spans="1:20">
      <c r="A1002" s="14">
        <v>45902</v>
      </c>
      <c r="B1002" s="10">
        <v>1643.814819335938</v>
      </c>
      <c r="C1002" s="10">
        <v>537.317138671875</v>
      </c>
      <c r="D1002" s="10">
        <v>1563.19091796875</v>
      </c>
      <c r="E1002" s="10">
        <v>24579.599609375</v>
      </c>
      <c r="F1002" s="10">
        <v>886.1500244140625</v>
      </c>
      <c r="I1002" s="15">
        <f>LN(B1002/B1001)</f>
        <v>0.00826762817443053</v>
      </c>
      <c r="J1002" s="15">
        <f>LN(C1002/C1001)</f>
        <v>0.03219233481551666</v>
      </c>
      <c r="K1002" s="15">
        <f>LN(D1002/D1001)</f>
        <v>0.03153237584715237</v>
      </c>
      <c r="L1002" s="15">
        <f>LN(E1002/E1001)</f>
        <v>-0.0018474345185382894</v>
      </c>
      <c r="M1002" s="15">
        <f>LN(F1002/F1001)</f>
        <v>0.007191669012019846</v>
      </c>
      <c r="O1002" s="14">
        <v>45917</v>
      </c>
      <c r="P1002" s="15">
        <f>I1013</f>
        <v>0.008303993083988511</v>
      </c>
      <c r="Q1002" s="15">
        <f>J1013</f>
        <v>-0.013873794376643662</v>
      </c>
      <c r="R1002" s="15">
        <f>K1013</f>
        <v>-0.001424311392224348</v>
      </c>
      <c r="S1002" s="15">
        <f>L1013</f>
        <v>0.003604969810507005</v>
      </c>
      <c r="T1002" s="15">
        <f>M1013</f>
        <v>0.004088424675863374</v>
      </c>
    </row>
    <row r="1003" spans="1:20">
      <c r="A1003" s="14">
        <v>45903</v>
      </c>
      <c r="B1003" s="10">
        <v>1648.691162109375</v>
      </c>
      <c r="C1003" s="10">
        <v>543.1076049804688</v>
      </c>
      <c r="D1003" s="10">
        <v>1509.976440429688</v>
      </c>
      <c r="E1003" s="10">
        <v>24715.05078125</v>
      </c>
      <c r="F1003" s="10">
        <v>889.6500244140625</v>
      </c>
      <c r="I1003" s="15">
        <f>LN(B1003/B1002)</f>
        <v>0.0029620880668539983</v>
      </c>
      <c r="J1003" s="15">
        <f>LN(C1003/C1002)</f>
        <v>0.01071897285669452</v>
      </c>
      <c r="K1003" s="15">
        <f>LN(D1003/D1002)</f>
        <v>-0.034635144051668246</v>
      </c>
      <c r="L1003" s="15">
        <f>LN(E1003/E1002)</f>
        <v>0.005495586709857895</v>
      </c>
      <c r="M1003" s="15">
        <f>LN(F1003/F1002)</f>
        <v>0.003941890343308493</v>
      </c>
      <c r="O1003" s="14">
        <v>45918</v>
      </c>
      <c r="P1003" s="15">
        <f>I1014</f>
        <v>0.0009048126121147164</v>
      </c>
      <c r="Q1003" s="15">
        <f>J1014</f>
        <v>-0.0024734720407335394</v>
      </c>
      <c r="R1003" s="15">
        <f>K1014</f>
        <v>0.007716326059016385</v>
      </c>
      <c r="S1003" s="15">
        <f>L1014</f>
        <v>0.0036785274558399</v>
      </c>
      <c r="T1003" s="15">
        <f>M1014</f>
        <v>-0.000707423918076</v>
      </c>
    </row>
    <row r="1004" spans="1:20">
      <c r="A1004" s="14">
        <v>45904</v>
      </c>
      <c r="B1004" s="10">
        <v>1653.865966796875</v>
      </c>
      <c r="C1004" s="10">
        <v>532.9742431640625</v>
      </c>
      <c r="D1004" s="10">
        <v>1498.694458007812</v>
      </c>
      <c r="E1004" s="10">
        <v>24734.30078125</v>
      </c>
      <c r="F1004" s="10">
        <v>882.75</v>
      </c>
      <c r="I1004" s="15">
        <f>LN(B1004/B1003)</f>
        <v>0.003133819474174512</v>
      </c>
      <c r="J1004" s="15">
        <f>LN(C1004/C1003)</f>
        <v>-0.018834369124709944</v>
      </c>
      <c r="K1004" s="15">
        <f>LN(D1004/D1003)</f>
        <v>-0.007499680544968984</v>
      </c>
      <c r="L1004" s="15">
        <f>LN(E1004/E1003)</f>
        <v>0.0007785744550393448</v>
      </c>
      <c r="M1004" s="15">
        <f>LN(F1004/F1003)</f>
        <v>-0.00778611958667197</v>
      </c>
      <c r="O1004" s="14">
        <v>45919</v>
      </c>
      <c r="P1004" s="15">
        <f>I1015</f>
        <v>0.007210794186588773</v>
      </c>
      <c r="Q1004" s="15">
        <f>J1015</f>
        <v>0.08962678872584619</v>
      </c>
      <c r="R1004" s="15">
        <f>K1015</f>
        <v>0.0022113630978672343</v>
      </c>
      <c r="S1004" s="15">
        <f>L1015</f>
        <v>-0.0038048357551339826</v>
      </c>
      <c r="T1004" s="15">
        <f>M1015</f>
        <v>0.0054833197563169895</v>
      </c>
    </row>
    <row r="1005" spans="1:20">
      <c r="A1005" s="14">
        <v>45905</v>
      </c>
      <c r="B1005" s="10">
        <v>1620.726928710938</v>
      </c>
      <c r="C1005" s="10">
        <v>534.3719482421875</v>
      </c>
      <c r="D1005" s="10">
        <v>1515.667236328125</v>
      </c>
      <c r="E1005" s="10">
        <v>24741</v>
      </c>
      <c r="F1005" s="10">
        <v>872.5</v>
      </c>
      <c r="I1005" s="15">
        <f>LN(B1005/B1004)</f>
        <v>-0.02024078749856885</v>
      </c>
      <c r="J1005" s="15">
        <f>LN(C1005/C1004)</f>
        <v>0.0026190300547668578</v>
      </c>
      <c r="K1005" s="15">
        <f>LN(D1005/D1004)</f>
        <v>0.011261394227766565</v>
      </c>
      <c r="L1005" s="15">
        <f>LN(E1005/E1004)</f>
        <v>0.0002708106342015157</v>
      </c>
      <c r="M1005" s="15">
        <f>LN(F1005/F1004)</f>
        <v>-0.011679380731913533</v>
      </c>
      <c r="O1005" s="14">
        <v>45922</v>
      </c>
      <c r="P1005" s="15">
        <f>I1016</f>
        <v>0.002212862910310112</v>
      </c>
      <c r="Q1005" s="15">
        <f>J1016</f>
        <v>0.05646407193542754</v>
      </c>
      <c r="R1005" s="15">
        <f>K1016</f>
        <v>0.0052018107846588816</v>
      </c>
      <c r="S1005" s="15">
        <f>L1016</f>
        <v>-0.00493579674708062</v>
      </c>
      <c r="T1005" s="15">
        <f>M1016</f>
        <v>-0.002113777887858321</v>
      </c>
    </row>
    <row r="1006" spans="1:20">
      <c r="A1006" s="14">
        <v>45908</v>
      </c>
      <c r="B1006" s="10">
        <v>1615.452514648438</v>
      </c>
      <c r="C1006" s="10">
        <v>527.4832763671875</v>
      </c>
      <c r="D1006" s="10">
        <v>1527.248657226562</v>
      </c>
      <c r="E1006" s="10">
        <v>24773.150390625</v>
      </c>
      <c r="F1006" s="10">
        <v>876.5499877929688</v>
      </c>
      <c r="I1006" s="15">
        <f>LN(B1006/B1005)</f>
        <v>-0.0032596577693109734</v>
      </c>
      <c r="J1006" s="15">
        <f>LN(C1006/C1005)</f>
        <v>-0.012974967504564566</v>
      </c>
      <c r="K1006" s="15">
        <f>LN(D1006/D1005)</f>
        <v>0.007612091313908603</v>
      </c>
      <c r="L1006" s="15">
        <f>LN(E1006/E1005)</f>
        <v>0.0012986346282709543</v>
      </c>
      <c r="M1006" s="15">
        <f>LN(F1006/F1005)</f>
        <v>0.0046310797970773145</v>
      </c>
      <c r="O1006" s="14">
        <v>45923</v>
      </c>
      <c r="P1006" s="15">
        <f>I1017</f>
        <v>-0.004730767469358795</v>
      </c>
      <c r="Q1006" s="15">
        <f>J1017</f>
        <v>-0.01696710809660952</v>
      </c>
      <c r="R1006" s="15">
        <f>K1017</f>
        <v>-0.0072286817169526256</v>
      </c>
      <c r="S1006" s="15">
        <f>L1017</f>
        <v>-0.001304284606843299</v>
      </c>
      <c r="T1006" s="15">
        <f>M1017</f>
        <v>-0.008937889758981347</v>
      </c>
    </row>
    <row r="1007" spans="1:20">
      <c r="A1007" s="14">
        <v>45909</v>
      </c>
      <c r="B1007" s="10">
        <v>1609.580932617188</v>
      </c>
      <c r="C1007" s="10">
        <v>517.7991943359375</v>
      </c>
      <c r="D1007" s="10">
        <v>1553.00732421875</v>
      </c>
      <c r="E1007" s="10">
        <v>24868.599609375</v>
      </c>
      <c r="F1007" s="10">
        <v>873.9500122070312</v>
      </c>
      <c r="I1007" s="15">
        <f>LN(B1007/B1006)</f>
        <v>-0.003641257441045246</v>
      </c>
      <c r="J1007" s="15">
        <f>LN(C1007/C1006)</f>
        <v>-0.018529649898888986</v>
      </c>
      <c r="K1007" s="15">
        <f>LN(D1007/D1006)</f>
        <v>0.016725406992393298</v>
      </c>
      <c r="L1007" s="15">
        <f>LN(E1007/E1006)</f>
        <v>0.0038455266535053208</v>
      </c>
      <c r="M1007" s="15">
        <f>LN(F1007/F1006)</f>
        <v>-0.0029705541249100678</v>
      </c>
      <c r="O1007" s="14">
        <v>45924</v>
      </c>
      <c r="P1007" s="15">
        <f>I1018</f>
        <v>-0.027937515733740318</v>
      </c>
      <c r="Q1007" s="15">
        <f>J1018</f>
        <v>0.016228987911975197</v>
      </c>
      <c r="R1007" s="15">
        <f>K1018</f>
        <v>-0.030462407598927262</v>
      </c>
      <c r="S1007" s="15">
        <f>L1018</f>
        <v>-0.004483689738311146</v>
      </c>
      <c r="T1007" s="15">
        <f>M1018</f>
        <v>-0.02522376651790356</v>
      </c>
    </row>
    <row r="1008" spans="1:20">
      <c r="A1008" s="14">
        <v>45910</v>
      </c>
      <c r="B1008" s="10">
        <v>1603.908569335938</v>
      </c>
      <c r="C1008" s="10">
        <v>531.9758911132812</v>
      </c>
      <c r="D1008" s="10">
        <v>1558.698120117188</v>
      </c>
      <c r="E1008" s="10">
        <v>24973.099609375</v>
      </c>
      <c r="F1008" s="10">
        <v>883.7999877929688</v>
      </c>
      <c r="I1008" s="15">
        <f>LN(B1008/B1007)</f>
        <v>-0.0035303486563090024</v>
      </c>
      <c r="J1008" s="15">
        <f>LN(C1008/C1007)</f>
        <v>0.027010659479088223</v>
      </c>
      <c r="K1008" s="15">
        <f>LN(D1008/D1007)</f>
        <v>0.0036576741242387084</v>
      </c>
      <c r="L1008" s="15">
        <f>LN(E1008/E1007)</f>
        <v>0.004193282121674665</v>
      </c>
      <c r="M1008" s="15">
        <f>LN(F1008/F1007)</f>
        <v>0.011207599135906247</v>
      </c>
      <c r="O1008" s="14">
        <v>45925</v>
      </c>
      <c r="P1008" s="15">
        <f>I1019</f>
        <v>-0.012546791407020376</v>
      </c>
      <c r="Q1008" s="15">
        <f>J1019</f>
        <v>0.001033287933530574</v>
      </c>
      <c r="R1008" s="15">
        <f>K1019</f>
        <v>-0.009552996141224335</v>
      </c>
      <c r="S1008" s="15">
        <f>L1019</f>
        <v>-0.006649003929024595</v>
      </c>
      <c r="T1008" s="15">
        <f>M1019</f>
        <v>-0.016643408432392297</v>
      </c>
    </row>
    <row r="1009" spans="1:20">
      <c r="A1009" s="14">
        <v>45911</v>
      </c>
      <c r="B1009" s="10">
        <v>1596.046752929688</v>
      </c>
      <c r="C1009" s="10">
        <v>527.9324951171875</v>
      </c>
      <c r="D1009" s="10">
        <v>1549.512939453125</v>
      </c>
      <c r="E1009" s="10">
        <v>25005.5</v>
      </c>
      <c r="F1009" s="10">
        <v>883.7999877929688</v>
      </c>
      <c r="I1009" s="15">
        <f>LN(B1009/B1008)</f>
        <v>-0.004913713744624215</v>
      </c>
      <c r="J1009" s="15">
        <f>LN(C1009/C1008)</f>
        <v>-0.0076297454826474865</v>
      </c>
      <c r="K1009" s="15">
        <f>LN(D1009/D1008)</f>
        <v>-0.00591028551515135</v>
      </c>
      <c r="L1009" s="15">
        <f>LN(E1009/E1008)</f>
        <v>0.0012965707489705478</v>
      </c>
      <c r="M1009" s="15">
        <f>LN(F1009/F1008)</f>
        <v>0.0</v>
      </c>
      <c r="O1009" s="14">
        <v>45926</v>
      </c>
      <c r="P1009" s="15">
        <f>I1020</f>
        <v>-0.013973097046323836</v>
      </c>
      <c r="Q1009" s="15">
        <f>J1020</f>
        <v>0.0027993071131615097</v>
      </c>
      <c r="R1009" s="15">
        <f>K1020</f>
        <v>-0.014372924383330134</v>
      </c>
      <c r="S1009" s="15">
        <f>L1020</f>
        <v>-0.009532730366893805</v>
      </c>
      <c r="T1009" s="15">
        <f>M1020</f>
        <v>-0.0100399566911941</v>
      </c>
    </row>
    <row r="1010" spans="1:20">
      <c r="A1010" s="14">
        <v>45912</v>
      </c>
      <c r="B1010" s="10">
        <v>1594.156005859375</v>
      </c>
      <c r="C1010" s="10">
        <v>532.4251708984375</v>
      </c>
      <c r="D1010" s="10">
        <v>1557.599975585938</v>
      </c>
      <c r="E1010" s="10">
        <v>25114</v>
      </c>
      <c r="F1010" s="10">
        <v>884.3499755859375</v>
      </c>
      <c r="I1010" s="15">
        <f>LN(B1010/B1009)</f>
        <v>-0.0011853461580054795</v>
      </c>
      <c r="J1010" s="15">
        <f>LN(C1010/C1009)</f>
        <v>0.008473938198857622</v>
      </c>
      <c r="K1010" s="15">
        <f>LN(D1010/D1009)</f>
        <v>0.005205510462842538</v>
      </c>
      <c r="L1010" s="15">
        <f>LN(E1010/E1009)</f>
        <v>0.004329658895022681</v>
      </c>
      <c r="M1010" s="15">
        <f>LN(F1010/F1009)</f>
        <v>0.000622105389359006</v>
      </c>
      <c r="O1010" s="14">
        <v>45929</v>
      </c>
      <c r="P1010" s="15">
        <f>I1021</f>
        <v>0.014535461943055866</v>
      </c>
      <c r="Q1010" s="15">
        <f>J1021</f>
        <v>0.028213782187724322</v>
      </c>
      <c r="R1010" s="15">
        <f>K1021</f>
        <v>0.0054383302588113325</v>
      </c>
      <c r="S1010" s="15">
        <f>L1021</f>
        <v>-0.0008033674181471517</v>
      </c>
      <c r="T1010" s="15">
        <f>M1021</f>
        <v>0.008726130896832433</v>
      </c>
    </row>
    <row r="1011" spans="1:20">
      <c r="A1011" s="14">
        <v>45915</v>
      </c>
      <c r="B1011" s="10">
        <v>1632.071899414062</v>
      </c>
      <c r="C1011" s="10">
        <v>588.4830322265625</v>
      </c>
      <c r="D1011" s="10">
        <v>1587.599975585938</v>
      </c>
      <c r="E1011" s="10">
        <v>25069.19921875</v>
      </c>
      <c r="F1011" s="10">
        <v>905.6500244140624</v>
      </c>
      <c r="I1011" s="15">
        <f>LN(B1011/B1010)</f>
        <v>0.023505865328846638</v>
      </c>
      <c r="J1011" s="15">
        <f>LN(C1011/C1010)</f>
        <v>0.10010573046958958</v>
      </c>
      <c r="K1011" s="15">
        <f>LN(D1011/D1010)</f>
        <v>0.019077267147106242</v>
      </c>
      <c r="L1011" s="15">
        <f>LN(E1011/E1010)</f>
        <v>-0.001785489719644452</v>
      </c>
      <c r="M1011" s="15">
        <f>LN(F1011/F1010)</f>
        <v>0.02380006062241323</v>
      </c>
      <c r="O1011" s="14">
        <v>45930</v>
      </c>
      <c r="P1011" s="15">
        <f>I1022</f>
        <v>-0.01175036113674078</v>
      </c>
      <c r="Q1011" s="15">
        <f>J1022</f>
        <v>-0.00143132127088764</v>
      </c>
      <c r="R1011" s="15">
        <f>K1022</f>
        <v>0.004316568288956043</v>
      </c>
      <c r="S1011" s="15">
        <f>L1022</f>
        <v>-0.0009666077692868598</v>
      </c>
      <c r="T1011" s="15">
        <f>M1022</f>
        <v>-0.00820738043484619</v>
      </c>
    </row>
    <row r="1012" spans="1:20">
      <c r="A1012" s="14">
        <v>45916</v>
      </c>
      <c r="B1012" s="10">
        <v>1635.05712890625</v>
      </c>
      <c r="C1012" s="10">
        <v>594.1737060546875</v>
      </c>
      <c r="D1012" s="10">
        <v>1616</v>
      </c>
      <c r="E1012" s="10">
        <v>25239.099609375</v>
      </c>
      <c r="F1012" s="10">
        <v>915.3499755859376</v>
      </c>
      <c r="I1012" s="15">
        <f>LN(B1012/B1011)</f>
        <v>0.0018274333808541946</v>
      </c>
      <c r="J1012" s="15">
        <f>LN(C1012/C1011)</f>
        <v>0.009623617003191648</v>
      </c>
      <c r="K1012" s="15">
        <f>LN(D1012/D1011)</f>
        <v>0.01773053355009876</v>
      </c>
      <c r="L1012" s="15">
        <f>LN(E1012/E1011)</f>
        <v>0.0067543940269436074</v>
      </c>
      <c r="M1012" s="15">
        <f>LN(F1012/F1011)</f>
        <v>0.010653534228762208</v>
      </c>
      <c r="O1012" s="14">
        <v>45931</v>
      </c>
      <c r="P1012" s="15">
        <f>I1023</f>
        <v>0.008496656944051812</v>
      </c>
      <c r="Q1012" s="15">
        <f>J1023</f>
        <v>0.0012882550627332137</v>
      </c>
      <c r="R1012" s="15">
        <f>K1023</f>
        <v>0.00532175057674304</v>
      </c>
      <c r="S1012" s="15">
        <f>L1023</f>
        <v>0.009108779315782467</v>
      </c>
      <c r="T1012" s="15">
        <f>M1023</f>
        <v>0.010947292395637269</v>
      </c>
    </row>
    <row r="1013" spans="1:20">
      <c r="A1013" s="14">
        <v>45917</v>
      </c>
      <c r="B1013" s="10">
        <v>1648.691162109375</v>
      </c>
      <c r="C1013" s="10">
        <v>585.9871826171875</v>
      </c>
      <c r="D1013" s="10">
        <v>1613.699951171875</v>
      </c>
      <c r="E1013" s="10">
        <v>25330.25</v>
      </c>
      <c r="F1013" s="10">
        <v>919.0999755859376</v>
      </c>
      <c r="I1013" s="15">
        <f>LN(B1013/B1012)</f>
        <v>0.008303993083988511</v>
      </c>
      <c r="J1013" s="15">
        <f>LN(C1013/C1012)</f>
        <v>-0.013873794376643662</v>
      </c>
      <c r="K1013" s="15">
        <f>LN(D1013/D1012)</f>
        <v>-0.001424311392224348</v>
      </c>
      <c r="L1013" s="15">
        <f>LN(E1013/E1012)</f>
        <v>0.003604969810507005</v>
      </c>
      <c r="M1013" s="15">
        <f>LN(F1013/F1012)</f>
        <v>0.004088424675863374</v>
      </c>
      <c r="O1013" s="14">
        <v>45933</v>
      </c>
      <c r="P1013" s="15">
        <f>I1024</f>
        <v>0.006123144425047401</v>
      </c>
      <c r="Q1013" s="15">
        <f>J1024</f>
        <v>0.029251099119168872</v>
      </c>
      <c r="R1013" s="15">
        <f>K1024</f>
        <v>-0.0008316853038781794</v>
      </c>
      <c r="S1013" s="15">
        <f>L1024</f>
        <v>0.0023305289834215856</v>
      </c>
      <c r="T1013" s="15">
        <f>M1024</f>
        <v>-0.001197831403023909</v>
      </c>
    </row>
    <row r="1014" spans="1:20">
      <c r="A1014" s="14">
        <v>45918</v>
      </c>
      <c r="B1014" s="10">
        <v>1650.18359375</v>
      </c>
      <c r="C1014" s="10">
        <v>584.53955078125</v>
      </c>
      <c r="D1014" s="10">
        <v>1626.199951171875</v>
      </c>
      <c r="E1014" s="10">
        <v>25423.599609375</v>
      </c>
      <c r="F1014" s="10">
        <v>918.4500122070312</v>
      </c>
      <c r="I1014" s="15">
        <f>LN(B1014/B1013)</f>
        <v>0.0009048126121147164</v>
      </c>
      <c r="J1014" s="15">
        <f>LN(C1014/C1013)</f>
        <v>-0.0024734720407335394</v>
      </c>
      <c r="K1014" s="15">
        <f>LN(D1014/D1013)</f>
        <v>0.007716326059016385</v>
      </c>
      <c r="L1014" s="15">
        <f>LN(E1014/E1013)</f>
        <v>0.0036785274558399</v>
      </c>
      <c r="M1014" s="15">
        <f>LN(F1014/F1013)</f>
        <v>-0.000707423918076</v>
      </c>
      <c r="O1014" s="14">
        <v>45936</v>
      </c>
      <c r="P1014" s="15">
        <f>I1025</f>
        <v>0.010471985139571515</v>
      </c>
      <c r="Q1014" s="15">
        <f>J1025</f>
        <v>-0.020775556618278353</v>
      </c>
      <c r="R1014" s="15">
        <f>K1025</f>
        <v>0.020210402600410633</v>
      </c>
      <c r="S1014" s="15">
        <f>L1025</f>
        <v>0.007340173682814145</v>
      </c>
      <c r="T1014" s="15">
        <f>M1025</f>
        <v>0.006825188781951445</v>
      </c>
    </row>
    <row r="1015" spans="1:20">
      <c r="A1015" s="14">
        <v>45919</v>
      </c>
      <c r="B1015" s="10">
        <v>1662.125732421875</v>
      </c>
      <c r="C1015" s="10">
        <v>639.3494873046875</v>
      </c>
      <c r="D1015" s="10">
        <v>1629.800048828125</v>
      </c>
      <c r="E1015" s="10">
        <v>25327.05078125</v>
      </c>
      <c r="F1015" s="10">
        <v>923.5</v>
      </c>
      <c r="I1015" s="15">
        <f>LN(B1015/B1014)</f>
        <v>0.007210794186588773</v>
      </c>
      <c r="J1015" s="15">
        <f>LN(C1015/C1014)</f>
        <v>0.08962678872584619</v>
      </c>
      <c r="K1015" s="15">
        <f>LN(D1015/D1014)</f>
        <v>0.0022113630978672343</v>
      </c>
      <c r="L1015" s="15">
        <f>LN(E1015/E1014)</f>
        <v>-0.0038048357551339826</v>
      </c>
      <c r="M1015" s="15">
        <f>LN(F1015/F1014)</f>
        <v>0.0054833197563169895</v>
      </c>
      <c r="O1015" s="14">
        <v>45937</v>
      </c>
      <c r="P1015" s="15">
        <f>I1026</f>
        <v>0.008775927068338171</v>
      </c>
      <c r="Q1015" s="15">
        <f>J1026</f>
        <v>0.042488608788748716</v>
      </c>
      <c r="R1015" s="15">
        <f>K1026</f>
        <v>0.010854091973601874</v>
      </c>
      <c r="S1015" s="15">
        <f>L1026</f>
        <v>0.0012214730903828323</v>
      </c>
      <c r="T1015" s="15">
        <f>M1026</f>
        <v>0.010824366242934553</v>
      </c>
    </row>
    <row r="1016" spans="1:20">
      <c r="A1016" s="14">
        <v>45922</v>
      </c>
      <c r="B1016" s="10">
        <v>1665.807861328125</v>
      </c>
      <c r="C1016" s="10">
        <v>676.4884033203125</v>
      </c>
      <c r="D1016" s="10">
        <v>1638.300048828125</v>
      </c>
      <c r="E1016" s="10">
        <v>25202.349609375</v>
      </c>
      <c r="F1016" s="10">
        <v>921.5499877929688</v>
      </c>
      <c r="I1016" s="15">
        <f>LN(B1016/B1015)</f>
        <v>0.002212862910310112</v>
      </c>
      <c r="J1016" s="15">
        <f>LN(C1016/C1015)</f>
        <v>0.05646407193542754</v>
      </c>
      <c r="K1016" s="15">
        <f>LN(D1016/D1015)</f>
        <v>0.0052018107846588816</v>
      </c>
      <c r="L1016" s="15">
        <f>LN(E1016/E1015)</f>
        <v>-0.00493579674708062</v>
      </c>
      <c r="M1016" s="15">
        <f>LN(F1016/F1015)</f>
        <v>-0.002113777887858321</v>
      </c>
      <c r="O1016" s="14">
        <v>45938</v>
      </c>
      <c r="P1016" s="15">
        <f>I1027</f>
        <v>-0.03677955195166558</v>
      </c>
      <c r="Q1016" s="15">
        <f>J1027</f>
        <v>-0.04967755369300253</v>
      </c>
      <c r="R1016" s="15">
        <f>K1027</f>
        <v>-0.012172054657035096</v>
      </c>
      <c r="S1016" s="15">
        <f>L1027</f>
        <v>-0.0024783611817054724</v>
      </c>
      <c r="T1016" s="15">
        <f>M1027</f>
        <v>-0.018448814184619383</v>
      </c>
    </row>
    <row r="1017" spans="1:20">
      <c r="A1017" s="14">
        <v>45923</v>
      </c>
      <c r="B1017" s="10">
        <v>1657.945922851562</v>
      </c>
      <c r="C1017" s="10">
        <v>665.107177734375</v>
      </c>
      <c r="D1017" s="10">
        <v>1626.5</v>
      </c>
      <c r="E1017" s="10">
        <v>25169.5</v>
      </c>
      <c r="F1017" s="10">
        <v>913.3499755859376</v>
      </c>
      <c r="I1017" s="15">
        <f>LN(B1017/B1016)</f>
        <v>-0.004730767469358795</v>
      </c>
      <c r="J1017" s="15">
        <f>LN(C1017/C1016)</f>
        <v>-0.01696710809660952</v>
      </c>
      <c r="K1017" s="15">
        <f>LN(D1017/D1016)</f>
        <v>-0.0072286817169526256</v>
      </c>
      <c r="L1017" s="15">
        <f>LN(E1017/E1016)</f>
        <v>-0.001304284606843299</v>
      </c>
      <c r="M1017" s="15">
        <f>LN(F1017/F1016)</f>
        <v>-0.008937889758981347</v>
      </c>
      <c r="O1017" s="14">
        <v>45939</v>
      </c>
      <c r="P1017" s="15">
        <f>I1028</f>
        <v>0.008772868575231258</v>
      </c>
      <c r="Q1017" s="15">
        <f>J1028</f>
        <v>-0.0022885470236110312</v>
      </c>
      <c r="R1017" s="15">
        <f>K1028</f>
        <v>0.0009415900724069881</v>
      </c>
      <c r="S1017" s="15">
        <f>L1028</f>
        <v>0.005401403691044332</v>
      </c>
      <c r="T1017" s="15">
        <f>M1028</f>
        <v>0.0073977459317853276</v>
      </c>
    </row>
    <row r="1018" spans="1:20">
      <c r="A1018" s="14">
        <v>45924</v>
      </c>
      <c r="B1018" s="10">
        <v>1612.26806640625</v>
      </c>
      <c r="C1018" s="10">
        <v>675.9892578125</v>
      </c>
      <c r="D1018" s="10">
        <v>1577.699951171875</v>
      </c>
      <c r="E1018" s="10">
        <v>25056.900390625</v>
      </c>
      <c r="F1018" s="10">
        <v>890.5999755859375</v>
      </c>
      <c r="I1018" s="15">
        <f>LN(B1018/B1017)</f>
        <v>-0.027937515733740318</v>
      </c>
      <c r="J1018" s="15">
        <f>LN(C1018/C1017)</f>
        <v>0.016228987911975197</v>
      </c>
      <c r="K1018" s="15">
        <f>LN(D1018/D1017)</f>
        <v>-0.030462407598927262</v>
      </c>
      <c r="L1018" s="15">
        <f>LN(E1018/E1017)</f>
        <v>-0.004483689738311146</v>
      </c>
      <c r="M1018" s="15">
        <f>LN(F1018/F1017)</f>
        <v>-0.02522376651790356</v>
      </c>
      <c r="O1018" s="14">
        <v>45940</v>
      </c>
      <c r="P1018" s="15">
        <f>I1029</f>
        <v>0.005139491895652485</v>
      </c>
      <c r="Q1018" s="15">
        <f>J1029</f>
        <v>-0.005960213377753729</v>
      </c>
      <c r="R1018" s="15">
        <f>K1029</f>
        <v>0.002506581007597616</v>
      </c>
      <c r="S1018" s="15">
        <f>L1029</f>
        <v>0.004103618794970308</v>
      </c>
      <c r="T1018" s="15">
        <f>M1029</f>
        <v>0.016586925044901522</v>
      </c>
    </row>
    <row r="1019" spans="1:20">
      <c r="A1019" s="14">
        <v>45925</v>
      </c>
      <c r="B1019" s="10">
        <v>1592.165649414062</v>
      </c>
      <c r="C1019" s="10">
        <v>676.6881103515625</v>
      </c>
      <c r="D1019" s="10">
        <v>1562.699951171875</v>
      </c>
      <c r="E1019" s="10">
        <v>24890.849609375</v>
      </c>
      <c r="F1019" s="10">
        <v>875.9000244140625</v>
      </c>
      <c r="I1019" s="15">
        <f>LN(B1019/B1018)</f>
        <v>-0.012546791407020376</v>
      </c>
      <c r="J1019" s="15">
        <f>LN(C1019/C1018)</f>
        <v>0.001033287933530574</v>
      </c>
      <c r="K1019" s="15">
        <f>LN(D1019/D1018)</f>
        <v>-0.009552996141224335</v>
      </c>
      <c r="L1019" s="15">
        <f>LN(E1019/E1018)</f>
        <v>-0.006649003929024595</v>
      </c>
      <c r="M1019" s="15">
        <f>LN(F1019/F1018)</f>
        <v>-0.016643408432392297</v>
      </c>
      <c r="O1019" s="14">
        <v>45943</v>
      </c>
      <c r="P1019" s="15">
        <f>I1030</f>
        <v>-0.007278326471376951</v>
      </c>
      <c r="Q1019" s="15">
        <f>J1030</f>
        <v>-0.012538657226151209</v>
      </c>
      <c r="R1019" s="15">
        <f>K1030</f>
        <v>0.015586973757776686</v>
      </c>
      <c r="S1019" s="15">
        <f>L1030</f>
        <v>-0.0022964532241035664</v>
      </c>
      <c r="T1019" s="15">
        <f>M1030</f>
        <v>0.00016723452366670176</v>
      </c>
    </row>
    <row r="1020" spans="1:20">
      <c r="A1020" s="14">
        <v>45926</v>
      </c>
      <c r="B1020" s="10">
        <v>1570.072875976562</v>
      </c>
      <c r="C1020" s="10">
        <v>678.5850219726562</v>
      </c>
      <c r="D1020" s="10">
        <v>1540.400024414062</v>
      </c>
      <c r="E1020" s="10">
        <v>24654.69921875</v>
      </c>
      <c r="F1020" s="10">
        <v>867.1500244140625</v>
      </c>
      <c r="I1020" s="15">
        <f>LN(B1020/B1019)</f>
        <v>-0.013973097046323836</v>
      </c>
      <c r="J1020" s="15">
        <f>LN(C1020/C1019)</f>
        <v>0.0027993071131615097</v>
      </c>
      <c r="K1020" s="15">
        <f>LN(D1020/D1019)</f>
        <v>-0.014372924383330134</v>
      </c>
      <c r="L1020" s="15">
        <f>LN(E1020/E1019)</f>
        <v>-0.009532730366893805</v>
      </c>
      <c r="M1020" s="15">
        <f>LN(F1020/F1019)</f>
        <v>-0.0100399566911941</v>
      </c>
      <c r="O1020" s="14">
        <v>45944</v>
      </c>
      <c r="P1020" s="15">
        <f>I1031</f>
        <v>-0.010763022678051359</v>
      </c>
      <c r="Q1020" s="15">
        <f>J1031</f>
        <v>-0.04192877216473282</v>
      </c>
      <c r="R1020" s="15">
        <f>K1031</f>
        <v>0.0017853449804474614</v>
      </c>
      <c r="S1020" s="15">
        <f>L1031</f>
        <v>-0.0032497538671527296</v>
      </c>
      <c r="T1020" s="15">
        <f>M1031</f>
        <v>-0.009467076146751512</v>
      </c>
    </row>
    <row r="1021" spans="1:20">
      <c r="A1021" s="14">
        <v>45929</v>
      </c>
      <c r="B1021" s="10">
        <v>1593.061279296875</v>
      </c>
      <c r="C1021" s="10">
        <v>698.0031127929688</v>
      </c>
      <c r="D1021" s="10">
        <v>1548.800048828125</v>
      </c>
      <c r="E1021" s="10">
        <v>24634.900390625</v>
      </c>
      <c r="F1021" s="10">
        <v>874.75</v>
      </c>
      <c r="I1021" s="15">
        <f>LN(B1021/B1020)</f>
        <v>0.014535461943055866</v>
      </c>
      <c r="J1021" s="15">
        <f>LN(C1021/C1020)</f>
        <v>0.028213782187724322</v>
      </c>
      <c r="K1021" s="15">
        <f>LN(D1021/D1020)</f>
        <v>0.0054383302588113325</v>
      </c>
      <c r="L1021" s="15">
        <f>LN(E1021/E1020)</f>
        <v>-0.0008033674181471517</v>
      </c>
      <c r="M1021" s="15">
        <f>LN(F1021/F1020)</f>
        <v>0.008726130896832433</v>
      </c>
      <c r="O1021" s="14">
        <v>45945</v>
      </c>
      <c r="P1021" s="15">
        <f>I1032</f>
        <v>0.019165896968575607</v>
      </c>
      <c r="Q1021" s="15">
        <f>J1032</f>
        <v>0.007803348307426543</v>
      </c>
      <c r="R1021" s="15">
        <f>K1032</f>
        <v>0.030588980419981204</v>
      </c>
      <c r="S1021" s="15">
        <f>L1032</f>
        <v>0.007055869574947451</v>
      </c>
      <c r="T1021" s="15">
        <f>M1032</f>
        <v>0.02999537289048444</v>
      </c>
    </row>
    <row r="1022" spans="1:20">
      <c r="A1022" s="14">
        <v>45930</v>
      </c>
      <c r="B1022" s="10">
        <v>1574.451782226562</v>
      </c>
      <c r="C1022" s="10">
        <v>697.0047607421875</v>
      </c>
      <c r="D1022" s="10">
        <v>1555.5</v>
      </c>
      <c r="E1022" s="10">
        <v>24611.099609375</v>
      </c>
      <c r="F1022" s="10">
        <v>867.5999755859375</v>
      </c>
      <c r="I1022" s="15">
        <f>LN(B1022/B1021)</f>
        <v>-0.01175036113674078</v>
      </c>
      <c r="J1022" s="15">
        <f>LN(C1022/C1021)</f>
        <v>-0.00143132127088764</v>
      </c>
      <c r="K1022" s="15">
        <f>LN(D1022/D1021)</f>
        <v>0.004316568288956043</v>
      </c>
      <c r="L1022" s="15">
        <f>LN(E1022/E1021)</f>
        <v>-0.0009666077692868598</v>
      </c>
      <c r="M1022" s="15">
        <f>LN(F1022/F1021)</f>
        <v>-0.00820738043484619</v>
      </c>
      <c r="O1022" s="14">
        <v>45946</v>
      </c>
      <c r="P1022" s="15">
        <f>I1033</f>
        <v>0.05213287220401725</v>
      </c>
      <c r="Q1022" s="15">
        <f>J1033</f>
        <v>-0.04507293145380766</v>
      </c>
      <c r="R1022" s="15">
        <f>K1033</f>
        <v>0.011034743662691181</v>
      </c>
      <c r="S1022" s="15">
        <f>L1033</f>
        <v>0.010283174673804386</v>
      </c>
      <c r="T1022" s="15">
        <f>M1033</f>
        <v>0.018829647619870233</v>
      </c>
    </row>
    <row r="1023" spans="1:20">
      <c r="A1023" s="14">
        <v>45931</v>
      </c>
      <c r="B1023" s="10">
        <v>1587.886352539062</v>
      </c>
      <c r="C1023" s="10">
        <v>697.9032592773438</v>
      </c>
      <c r="D1023" s="10">
        <v>1563.800048828125</v>
      </c>
      <c r="E1023" s="10">
        <v>24836.30078125</v>
      </c>
      <c r="F1023" s="10">
        <v>877.1500244140625</v>
      </c>
      <c r="I1023" s="15">
        <f>LN(B1023/B1022)</f>
        <v>0.008496656944051812</v>
      </c>
      <c r="J1023" s="15">
        <f>LN(C1023/C1022)</f>
        <v>0.0012882550627332137</v>
      </c>
      <c r="K1023" s="15">
        <f>LN(D1023/D1022)</f>
        <v>0.00532175057674304</v>
      </c>
      <c r="L1023" s="15">
        <f>LN(E1023/E1022)</f>
        <v>0.009108779315782467</v>
      </c>
      <c r="M1023" s="15">
        <f>LN(F1023/F1022)</f>
        <v>0.010947292395637269</v>
      </c>
      <c r="O1023" s="14">
        <v>45947</v>
      </c>
      <c r="P1023" s="15">
        <f>I1034</f>
        <v>0.0079112376085736</v>
      </c>
      <c r="Q1023" s="15">
        <f>J1034</f>
        <v>-0.01969206545534929</v>
      </c>
      <c r="R1023" s="15">
        <f>K1034</f>
        <v>-0.004197821774527335</v>
      </c>
      <c r="S1023" s="15">
        <f>L1034</f>
        <v>0.0048561734175648985</v>
      </c>
      <c r="T1023" s="15">
        <f>M1034</f>
        <v>0.0010179339372391426</v>
      </c>
    </row>
    <row r="1024" spans="1:20">
      <c r="A1024" s="14">
        <v>45933</v>
      </c>
      <c r="B1024" s="10">
        <v>1597.639038085938</v>
      </c>
      <c r="C1024" s="10">
        <v>718.6192016601562</v>
      </c>
      <c r="D1024" s="10">
        <v>1562.5</v>
      </c>
      <c r="E1024" s="10">
        <v>24894.25</v>
      </c>
      <c r="F1024" s="10">
        <v>876.0999755859375</v>
      </c>
      <c r="I1024" s="15">
        <f>LN(B1024/B1023)</f>
        <v>0.006123144425047401</v>
      </c>
      <c r="J1024" s="15">
        <f>LN(C1024/C1023)</f>
        <v>0.029251099119168872</v>
      </c>
      <c r="K1024" s="15">
        <f>LN(D1024/D1023)</f>
        <v>-0.0008316853038781794</v>
      </c>
      <c r="L1024" s="15">
        <f>LN(E1024/E1023)</f>
        <v>0.0023305289834215856</v>
      </c>
      <c r="M1024" s="15">
        <f>LN(F1024/F1023)</f>
        <v>-0.001197831403023909</v>
      </c>
      <c r="O1024" s="14">
        <v>45950</v>
      </c>
      <c r="P1024" s="15">
        <f>I1035</f>
        <v>0.0004119426500241083</v>
      </c>
      <c r="Q1024" s="15">
        <f>J1035</f>
        <v>0.023867497195277174</v>
      </c>
      <c r="R1024" s="15">
        <f>K1035</f>
        <v>-0.01883970621555754</v>
      </c>
      <c r="S1024" s="15">
        <f>L1035</f>
        <v>0.0051714188632333265</v>
      </c>
      <c r="T1024" s="15">
        <f>M1035</f>
        <v>0.0047544224584487975</v>
      </c>
    </row>
    <row r="1025" spans="1:20">
      <c r="A1025" s="14">
        <v>45936</v>
      </c>
      <c r="B1025" s="10">
        <v>1614.457397460938</v>
      </c>
      <c r="C1025" s="10">
        <v>703.843505859375</v>
      </c>
      <c r="D1025" s="10">
        <v>1594.400024414062</v>
      </c>
      <c r="E1025" s="10">
        <v>25077.650390625</v>
      </c>
      <c r="F1025" s="10">
        <v>882.0999755859375</v>
      </c>
      <c r="I1025" s="15">
        <f>LN(B1025/B1024)</f>
        <v>0.010471985139571515</v>
      </c>
      <c r="J1025" s="15">
        <f>LN(C1025/C1024)</f>
        <v>-0.020775556618278353</v>
      </c>
      <c r="K1025" s="15">
        <f>LN(D1025/D1024)</f>
        <v>0.020210402600410633</v>
      </c>
      <c r="L1025" s="15">
        <f>LN(E1025/E1024)</f>
        <v>0.007340173682814145</v>
      </c>
      <c r="M1025" s="15">
        <f>LN(F1025/F1024)</f>
        <v>0.006825188781951445</v>
      </c>
      <c r="O1025" s="14">
        <v>45951</v>
      </c>
      <c r="P1025" s="15">
        <f>I1036</f>
        <v>-0.00011768058503138558</v>
      </c>
      <c r="Q1025" s="15">
        <f>J1036</f>
        <v>0.012577814949422533</v>
      </c>
      <c r="R1025" s="15">
        <f>K1036</f>
        <v>-0.002720596501178971</v>
      </c>
      <c r="S1025" s="15">
        <f>L1036</f>
        <v>0.000984272270986046</v>
      </c>
      <c r="T1025" s="15">
        <f>M1036</f>
        <v>-0.0008530473724259128</v>
      </c>
    </row>
    <row r="1026" spans="1:20">
      <c r="A1026" s="14">
        <v>45937</v>
      </c>
      <c r="B1026" s="10">
        <v>1628.688110351562</v>
      </c>
      <c r="C1026" s="10">
        <v>734.3932495117188</v>
      </c>
      <c r="D1026" s="10">
        <v>1611.800048828125</v>
      </c>
      <c r="E1026" s="10">
        <v>25108.30078125</v>
      </c>
      <c r="F1026" s="10">
        <v>891.7000122070312</v>
      </c>
      <c r="I1026" s="15">
        <f>LN(B1026/B1025)</f>
        <v>0.008775927068338171</v>
      </c>
      <c r="J1026" s="15">
        <f>LN(C1026/C1025)</f>
        <v>0.042488608788748716</v>
      </c>
      <c r="K1026" s="15">
        <f>LN(D1026/D1025)</f>
        <v>0.010854091973601874</v>
      </c>
      <c r="L1026" s="15">
        <f>LN(E1026/E1025)</f>
        <v>0.0012214730903828323</v>
      </c>
      <c r="M1026" s="15">
        <f>LN(F1026/F1025)</f>
        <v>0.010824366242934553</v>
      </c>
      <c r="O1026" s="14">
        <v>45953</v>
      </c>
      <c r="P1026" s="15">
        <f>I1037</f>
        <v>-0.01482380389480942</v>
      </c>
      <c r="Q1026" s="15">
        <f>J1037</f>
        <v>-0.02619205771269874</v>
      </c>
      <c r="R1026" s="15">
        <f>K1037</f>
        <v>0.023572675306920532</v>
      </c>
      <c r="S1026" s="15">
        <f>L1037</f>
        <v>0.0008810194252249848</v>
      </c>
      <c r="T1026" s="15">
        <f>M1037</f>
        <v>0.0019183505380467574</v>
      </c>
    </row>
    <row r="1027" spans="1:20">
      <c r="A1027" s="14">
        <v>45938</v>
      </c>
      <c r="B1027" s="10">
        <v>1569.873901367188</v>
      </c>
      <c r="C1027" s="10">
        <v>698.8017578125</v>
      </c>
      <c r="D1027" s="10">
        <v>1592.300048828125</v>
      </c>
      <c r="E1027" s="10">
        <v>25046.150390625</v>
      </c>
      <c r="F1027" s="10">
        <v>875.4000244140625</v>
      </c>
      <c r="I1027" s="15">
        <f>LN(B1027/B1026)</f>
        <v>-0.03677955195166558</v>
      </c>
      <c r="J1027" s="15">
        <f>LN(C1027/C1026)</f>
        <v>-0.04967755369300253</v>
      </c>
      <c r="K1027" s="15">
        <f>LN(D1027/D1026)</f>
        <v>-0.012172054657035096</v>
      </c>
      <c r="L1027" s="15">
        <f>LN(E1027/E1026)</f>
        <v>-0.0024783611817054724</v>
      </c>
      <c r="M1027" s="15">
        <f>LN(F1027/F1026)</f>
        <v>-0.018448814184619383</v>
      </c>
      <c r="O1027" s="14">
        <v>45954</v>
      </c>
      <c r="P1027" s="15">
        <f>I1038</f>
        <v>0.01535340165153092</v>
      </c>
      <c r="Q1027" s="15">
        <f>J1038</f>
        <v>-0.01598616513002312</v>
      </c>
      <c r="R1027" s="15">
        <f>K1038</f>
        <v>-0.006227963013826431</v>
      </c>
      <c r="S1027" s="15">
        <f>L1038</f>
        <v>-0.0037243774174138414</v>
      </c>
      <c r="T1027" s="15">
        <f>M1038</f>
        <v>0.0018084278891861115</v>
      </c>
    </row>
    <row r="1028" spans="1:20">
      <c r="A1028" s="14">
        <v>45939</v>
      </c>
      <c r="B1028" s="10">
        <v>1583.706787109375</v>
      </c>
      <c r="C1028" s="10">
        <v>697.204345703125</v>
      </c>
      <c r="D1028" s="10">
        <v>1593.800048828125</v>
      </c>
      <c r="E1028" s="10">
        <v>25181.80078125</v>
      </c>
      <c r="F1028" s="10">
        <v>881.9000244140625</v>
      </c>
      <c r="I1028" s="15">
        <f>LN(B1028/B1027)</f>
        <v>0.008772868575231258</v>
      </c>
      <c r="J1028" s="15">
        <f>LN(C1028/C1027)</f>
        <v>-0.0022885470236110312</v>
      </c>
      <c r="K1028" s="15">
        <f>LN(D1028/D1027)</f>
        <v>0.0009415900724069881</v>
      </c>
      <c r="L1028" s="15">
        <f>LN(E1028/E1027)</f>
        <v>0.005401403691044332</v>
      </c>
      <c r="M1028" s="15">
        <f>LN(F1028/F1027)</f>
        <v>0.0073977459317853276</v>
      </c>
      <c r="O1028" s="14">
        <v>45957</v>
      </c>
      <c r="P1028" s="15">
        <f>I1039</f>
        <v>0.021014255588877286</v>
      </c>
      <c r="Q1028" s="15">
        <f>J1039</f>
        <v>0.02131142178749233</v>
      </c>
      <c r="R1028" s="15">
        <f>K1039</f>
        <v>0.017926080039607915</v>
      </c>
      <c r="S1028" s="15">
        <f>L1039</f>
        <v>0.00660344071508198</v>
      </c>
      <c r="T1028" s="15">
        <f>M1039</f>
        <v>0.014507916773026</v>
      </c>
    </row>
    <row r="1029" spans="1:20">
      <c r="A1029" s="14">
        <v>45940</v>
      </c>
      <c r="B1029" s="10">
        <v>1591.8671875</v>
      </c>
      <c r="C1029" s="10">
        <v>693.0612182617188</v>
      </c>
      <c r="D1029" s="10">
        <v>1597.800048828125</v>
      </c>
      <c r="E1029" s="10">
        <v>25285.349609375</v>
      </c>
      <c r="F1029" s="10">
        <v>896.6500244140625</v>
      </c>
      <c r="I1029" s="15">
        <f>LN(B1029/B1028)</f>
        <v>0.005139491895652485</v>
      </c>
      <c r="J1029" s="15">
        <f>LN(C1029/C1028)</f>
        <v>-0.005960213377753729</v>
      </c>
      <c r="K1029" s="15">
        <f>LN(D1029/D1028)</f>
        <v>0.002506581007597616</v>
      </c>
      <c r="L1029" s="15">
        <f>LN(E1029/E1028)</f>
        <v>0.004103618794970308</v>
      </c>
      <c r="M1029" s="15">
        <f>LN(F1029/F1028)</f>
        <v>0.016586925044901522</v>
      </c>
      <c r="O1029" s="14">
        <v>45958</v>
      </c>
      <c r="P1029" s="15">
        <f>I1040</f>
        <v>-0.01620199468580944</v>
      </c>
      <c r="Q1029" s="15">
        <f>J1040</f>
        <v>-0.009478000863109216</v>
      </c>
      <c r="R1029" s="15">
        <f>K1040</f>
        <v>-0.005332394136553894</v>
      </c>
      <c r="S1029" s="15">
        <f>L1040</f>
        <v>-0.0011502994876563522</v>
      </c>
      <c r="T1029" s="15">
        <f>M1040</f>
        <v>-0.010583275117219303</v>
      </c>
    </row>
    <row r="1030" spans="1:20">
      <c r="A1030" s="14">
        <v>45943</v>
      </c>
      <c r="B1030" s="10">
        <v>1580.323120117188</v>
      </c>
      <c r="C1030" s="10">
        <v>684.4254150390625</v>
      </c>
      <c r="D1030" s="10">
        <v>1622.900024414062</v>
      </c>
      <c r="E1030" s="10">
        <v>25227.349609375</v>
      </c>
      <c r="F1030" s="10">
        <v>896.7999877929688</v>
      </c>
      <c r="I1030" s="15">
        <f>LN(B1030/B1029)</f>
        <v>-0.007278326471376951</v>
      </c>
      <c r="J1030" s="15">
        <f>LN(C1030/C1029)</f>
        <v>-0.012538657226151209</v>
      </c>
      <c r="K1030" s="15">
        <f>LN(D1030/D1029)</f>
        <v>0.015586973757776686</v>
      </c>
      <c r="L1030" s="15">
        <f>LN(E1030/E1029)</f>
        <v>-0.0022964532241035664</v>
      </c>
      <c r="M1030" s="15">
        <f>LN(F1030/F1029)</f>
        <v>0.00016723452366670176</v>
      </c>
      <c r="O1030" s="14">
        <v>45959</v>
      </c>
      <c r="P1030" s="15">
        <f>I1041</f>
        <v>0.0030980886422286523</v>
      </c>
      <c r="Q1030" s="15">
        <f>J1041</f>
        <v>0.01713784377280238</v>
      </c>
      <c r="R1030" s="15">
        <f>K1041</f>
        <v>0.003460529786610862</v>
      </c>
      <c r="S1030" s="15">
        <f>L1041</f>
        <v>0.004527837947802368</v>
      </c>
      <c r="T1030" s="15">
        <f>M1041</f>
        <v>0.006226630312394088</v>
      </c>
    </row>
    <row r="1031" spans="1:20">
      <c r="A1031" s="14">
        <v>45944</v>
      </c>
      <c r="B1031" s="10">
        <v>1563.4052734375</v>
      </c>
      <c r="C1031" s="10">
        <v>656.3215942382812</v>
      </c>
      <c r="D1031" s="10">
        <v>1625.800048828125</v>
      </c>
      <c r="E1031" s="10">
        <v>25145.5</v>
      </c>
      <c r="F1031" s="10">
        <v>888.3499755859375</v>
      </c>
      <c r="I1031" s="15">
        <f>LN(B1031/B1030)</f>
        <v>-0.010763022678051359</v>
      </c>
      <c r="J1031" s="15">
        <f>LN(C1031/C1030)</f>
        <v>-0.04192877216473282</v>
      </c>
      <c r="K1031" s="15">
        <f>LN(D1031/D1030)</f>
        <v>0.0017853449804474614</v>
      </c>
      <c r="L1031" s="15">
        <f>LN(E1031/E1030)</f>
        <v>-0.0032497538671527296</v>
      </c>
      <c r="M1031" s="15">
        <f>LN(F1031/F1030)</f>
        <v>-0.009467076146751512</v>
      </c>
      <c r="O1031" s="14">
        <v>45960</v>
      </c>
      <c r="P1031" s="15">
        <f>I1042</f>
        <v>0.021307452503766845</v>
      </c>
      <c r="Q1031" s="15">
        <f>J1042</f>
        <v>0.011964017792730328</v>
      </c>
      <c r="R1031" s="15">
        <f>K1042</f>
        <v>-0.0025796018189090802</v>
      </c>
      <c r="S1031" s="15">
        <f>L1042</f>
        <v>-0.006780108726120027</v>
      </c>
      <c r="T1031" s="15">
        <f>M1042</f>
        <v>0.0004207682916039691</v>
      </c>
    </row>
    <row r="1032" spans="1:20">
      <c r="A1032" s="14">
        <v>45945</v>
      </c>
      <c r="B1032" s="10">
        <v>1593.658325195312</v>
      </c>
      <c r="C1032" s="10">
        <v>661.463134765625</v>
      </c>
      <c r="D1032" s="10">
        <v>1676.300048828125</v>
      </c>
      <c r="E1032" s="10">
        <v>25323.55078125</v>
      </c>
      <c r="F1032" s="10">
        <v>915.4000244140624</v>
      </c>
      <c r="I1032" s="15">
        <f>LN(B1032/B1031)</f>
        <v>0.019165896968575607</v>
      </c>
      <c r="J1032" s="15">
        <f>LN(C1032/C1031)</f>
        <v>0.007803348307426543</v>
      </c>
      <c r="K1032" s="15">
        <f>LN(D1032/D1031)</f>
        <v>0.030588980419981204</v>
      </c>
      <c r="L1032" s="15">
        <f>LN(E1032/E1031)</f>
        <v>0.007055869574947451</v>
      </c>
      <c r="M1032" s="15">
        <f>LN(F1032/F1031)</f>
        <v>0.02999537289048444</v>
      </c>
      <c r="O1032" s="14">
        <v>45961</v>
      </c>
      <c r="P1032" s="15">
        <f>I1043</f>
        <v>0.015870725021630998</v>
      </c>
      <c r="Q1032" s="15">
        <f>J1043</f>
        <v>0.0017862294764016727</v>
      </c>
      <c r="R1032" s="15">
        <f>K1043</f>
        <v>-0.012344756494032697</v>
      </c>
      <c r="S1032" s="15">
        <f>L1043</f>
        <v>-0.006036845980053782</v>
      </c>
      <c r="T1032" s="15">
        <f>M1043</f>
        <v>-0.0035292370899993064</v>
      </c>
    </row>
    <row r="1033" spans="1:20">
      <c r="A1033" s="14">
        <v>45946</v>
      </c>
      <c r="B1033" s="10">
        <v>1678.944091796875</v>
      </c>
      <c r="C1033" s="10">
        <v>632.3109741210938</v>
      </c>
      <c r="D1033" s="10">
        <v>1694.900024414062</v>
      </c>
      <c r="E1033" s="10">
        <v>25585.30078125</v>
      </c>
      <c r="F1033" s="10">
        <v>932.7999877929688</v>
      </c>
      <c r="I1033" s="15">
        <f>LN(B1033/B1032)</f>
        <v>0.05213287220401725</v>
      </c>
      <c r="J1033" s="15">
        <f>LN(C1033/C1032)</f>
        <v>-0.04507293145380766</v>
      </c>
      <c r="K1033" s="15">
        <f>LN(D1033/D1032)</f>
        <v>0.011034743662691181</v>
      </c>
      <c r="L1033" s="15">
        <f>LN(E1033/E1032)</f>
        <v>0.010283174673804386</v>
      </c>
      <c r="M1033" s="15">
        <f>LN(F1033/F1032)</f>
        <v>0.018829647619870233</v>
      </c>
      <c r="O1033" s="14">
        <v>45964</v>
      </c>
      <c r="P1033" s="15">
        <f>I1044</f>
        <v>0.016286801289719627</v>
      </c>
      <c r="Q1033" s="15">
        <f>J1044</f>
        <v>0.008960421176754016</v>
      </c>
      <c r="R1033" s="15">
        <f>K1044</f>
        <v>0.03727358363989816</v>
      </c>
      <c r="S1033" s="15">
        <f>L1044</f>
        <v>0.001602394830084992</v>
      </c>
      <c r="T1033" s="15">
        <f>M1044</f>
        <v>0.022023681607080493</v>
      </c>
    </row>
    <row r="1034" spans="1:20">
      <c r="A1034" s="14">
        <v>45947</v>
      </c>
      <c r="B1034" s="10">
        <v>1692.279296875</v>
      </c>
      <c r="C1034" s="10">
        <v>619.9812622070312</v>
      </c>
      <c r="D1034" s="10">
        <v>1687.800048828125</v>
      </c>
      <c r="E1034" s="10">
        <v>25709.849609375</v>
      </c>
      <c r="F1034" s="10">
        <v>933.75</v>
      </c>
      <c r="I1034" s="15">
        <f>LN(B1034/B1033)</f>
        <v>0.0079112376085736</v>
      </c>
      <c r="J1034" s="15">
        <f>LN(C1034/C1033)</f>
        <v>-0.01969206545534929</v>
      </c>
      <c r="K1034" s="15">
        <f>LN(D1034/D1033)</f>
        <v>-0.004197821774527335</v>
      </c>
      <c r="L1034" s="15">
        <f>LN(E1034/E1033)</f>
        <v>0.0048561734175648985</v>
      </c>
      <c r="M1034" s="15">
        <f>LN(F1034/F1033)</f>
        <v>0.0010179339372391426</v>
      </c>
      <c r="O1034" s="14">
        <v>45965</v>
      </c>
      <c r="P1034" s="15">
        <f>I1045</f>
        <v>-0.014713542869413643</v>
      </c>
      <c r="Q1034" s="15">
        <f>J1045</f>
        <v>-0.007332322542548707</v>
      </c>
      <c r="R1034" s="15">
        <f>K1045</f>
        <v>0.012065453672545518</v>
      </c>
      <c r="S1034" s="15">
        <f>L1045</f>
        <v>-0.006452358545521922</v>
      </c>
      <c r="T1034" s="15">
        <f>M1045</f>
        <v>-0.007824938310139046</v>
      </c>
    </row>
    <row r="1035" spans="1:20">
      <c r="A1035" s="14">
        <v>45950</v>
      </c>
      <c r="B1035" s="10">
        <v>1692.9765625</v>
      </c>
      <c r="C1035" s="10">
        <v>634.9566650390625</v>
      </c>
      <c r="D1035" s="10">
        <v>1656.300048828125</v>
      </c>
      <c r="E1035" s="10">
        <v>25843.150390625</v>
      </c>
      <c r="F1035" s="10">
        <v>938.2000122070312</v>
      </c>
      <c r="I1035" s="15">
        <f>LN(B1035/B1034)</f>
        <v>0.0004119426500241083</v>
      </c>
      <c r="J1035" s="15">
        <f>LN(C1035/C1034)</f>
        <v>0.023867497195277174</v>
      </c>
      <c r="K1035" s="15">
        <f>LN(D1035/D1034)</f>
        <v>-0.01883970621555754</v>
      </c>
      <c r="L1035" s="15">
        <f>LN(E1035/E1034)</f>
        <v>0.0051714188632333265</v>
      </c>
      <c r="M1035" s="15">
        <f>LN(F1035/F1034)</f>
        <v>0.0047544224584487975</v>
      </c>
      <c r="O1035" s="14">
        <v>45967</v>
      </c>
      <c r="P1035" s="15">
        <f>I1046</f>
        <v>-0.00039306541749582156</v>
      </c>
      <c r="Q1035" s="15">
        <f>J1046</f>
        <v>-0.034919777354713036</v>
      </c>
      <c r="R1035" s="15">
        <f>K1046</f>
        <v>-0.013039275047072378</v>
      </c>
      <c r="S1035" s="15">
        <f>L1046</f>
        <v>-0.0034418242922323408</v>
      </c>
      <c r="T1035" s="15">
        <f>M1046</f>
        <v>-0.015201844746201539</v>
      </c>
    </row>
    <row r="1036" spans="1:20">
      <c r="A1036" s="14">
        <v>45951</v>
      </c>
      <c r="B1036" s="10">
        <v>1692.77734375</v>
      </c>
      <c r="C1036" s="10">
        <v>642.9934692382812</v>
      </c>
      <c r="D1036" s="10">
        <v>1651.800048828125</v>
      </c>
      <c r="E1036" s="10">
        <v>25868.599609375</v>
      </c>
      <c r="F1036" s="10">
        <v>937.4000244140624</v>
      </c>
      <c r="I1036" s="15">
        <f>LN(B1036/B1035)</f>
        <v>-0.00011768058503138558</v>
      </c>
      <c r="J1036" s="15">
        <f>LN(C1036/C1035)</f>
        <v>0.012577814949422533</v>
      </c>
      <c r="K1036" s="15">
        <f>LN(D1036/D1035)</f>
        <v>-0.002720596501178971</v>
      </c>
      <c r="L1036" s="15">
        <f>LN(E1036/E1035)</f>
        <v>0.000984272270986046</v>
      </c>
      <c r="M1036" s="15">
        <f>LN(F1036/F1035)</f>
        <v>-0.0008530473724259128</v>
      </c>
      <c r="O1036" s="14">
        <v>45968</v>
      </c>
      <c r="P1036" s="15">
        <f>I1047</f>
        <v>0.006996296426937785</v>
      </c>
      <c r="Q1036" s="15">
        <f>J1047</f>
        <v>-0.0055505216991731075</v>
      </c>
      <c r="R1036" s="15">
        <f>K1047</f>
        <v>0.016202281161247854</v>
      </c>
      <c r="S1036" s="15">
        <f>L1047</f>
        <v>-0.0006822649376453303</v>
      </c>
      <c r="T1036" s="15">
        <f>M1047</f>
        <v>-0.00021125321988254984</v>
      </c>
    </row>
    <row r="1037" spans="1:20">
      <c r="A1037" s="14">
        <v>45953</v>
      </c>
      <c r="B1037" s="10">
        <v>1667.869018554688</v>
      </c>
      <c r="C1037" s="10">
        <v>626.3707885742188</v>
      </c>
      <c r="D1037" s="10">
        <v>1691.199951171875</v>
      </c>
      <c r="E1037" s="10">
        <v>25891.400390625</v>
      </c>
      <c r="F1037" s="10">
        <v>939.2000122070312</v>
      </c>
      <c r="I1037" s="15">
        <f>LN(B1037/B1036)</f>
        <v>-0.01482380389480942</v>
      </c>
      <c r="J1037" s="15">
        <f>LN(C1037/C1036)</f>
        <v>-0.02619205771269874</v>
      </c>
      <c r="K1037" s="15">
        <f>LN(D1037/D1036)</f>
        <v>0.023572675306920532</v>
      </c>
      <c r="L1037" s="15">
        <f>LN(E1037/E1036)</f>
        <v>0.0008810194252249848</v>
      </c>
      <c r="M1037" s="15">
        <f>LN(F1037/F1036)</f>
        <v>0.0019183505380467574</v>
      </c>
      <c r="O1037" s="14">
        <v>45971</v>
      </c>
      <c r="P1037" s="15">
        <f>I1048</f>
        <v>-0.003184245129083225</v>
      </c>
      <c r="Q1037" s="15">
        <f>J1048</f>
        <v>0.012505314147492978</v>
      </c>
      <c r="R1037" s="15">
        <f>K1048</f>
        <v>-0.007017189202338818</v>
      </c>
      <c r="S1037" s="15">
        <f>L1048</f>
        <v>0.0032134043686110675</v>
      </c>
      <c r="T1037" s="15">
        <f>M1048</f>
        <v>-0.0023802607751139807</v>
      </c>
    </row>
    <row r="1038" spans="1:20">
      <c r="A1038" s="14">
        <v>45954</v>
      </c>
      <c r="B1038" s="10">
        <v>1693.674072265625</v>
      </c>
      <c r="C1038" s="10">
        <v>616.4371337890625</v>
      </c>
      <c r="D1038" s="10">
        <v>1680.699951171875</v>
      </c>
      <c r="E1038" s="10">
        <v>25795.150390625</v>
      </c>
      <c r="F1038" s="10">
        <v>940.9000244140624</v>
      </c>
      <c r="I1038" s="15">
        <f>LN(B1038/B1037)</f>
        <v>0.01535340165153092</v>
      </c>
      <c r="J1038" s="15">
        <f>LN(C1038/C1037)</f>
        <v>-0.01598616513002312</v>
      </c>
      <c r="K1038" s="15">
        <f>LN(D1038/D1037)</f>
        <v>-0.006227963013826431</v>
      </c>
      <c r="L1038" s="15">
        <f>LN(E1038/E1037)</f>
        <v>-0.0037243774174138414</v>
      </c>
      <c r="M1038" s="15">
        <f>LN(F1038/F1037)</f>
        <v>0.0018084278891861115</v>
      </c>
      <c r="O1038" s="14">
        <v>45972</v>
      </c>
      <c r="P1038" s="15">
        <f>I1049</f>
        <v>-0.013803430034342114</v>
      </c>
      <c r="Q1038" s="15">
        <f>J1049</f>
        <v>-0.020604431217495434</v>
      </c>
      <c r="R1038" s="15">
        <f>K1049</f>
        <v>-0.01383832319366381</v>
      </c>
      <c r="S1038" s="15">
        <f>L1049</f>
        <v>0.004704563337770722</v>
      </c>
      <c r="T1038" s="15">
        <f>M1049</f>
        <v>-0.0016430890969682576</v>
      </c>
    </row>
    <row r="1039" spans="1:20">
      <c r="A1039" s="14">
        <v>45957</v>
      </c>
      <c r="B1039" s="10">
        <v>1729.641967773438</v>
      </c>
      <c r="C1039" s="10">
        <v>629.7152709960938</v>
      </c>
      <c r="D1039" s="10">
        <v>1711.099975585938</v>
      </c>
      <c r="E1039" s="10">
        <v>25966.05078125</v>
      </c>
      <c r="F1039" s="10">
        <v>954.6500244140624</v>
      </c>
      <c r="I1039" s="15">
        <f>LN(B1039/B1038)</f>
        <v>0.021014255588877286</v>
      </c>
      <c r="J1039" s="15">
        <f>LN(C1039/C1038)</f>
        <v>0.02131142178749233</v>
      </c>
      <c r="K1039" s="15">
        <f>LN(D1039/D1038)</f>
        <v>0.017926080039607915</v>
      </c>
      <c r="L1039" s="15">
        <f>LN(E1039/E1038)</f>
        <v>0.00660344071508198</v>
      </c>
      <c r="M1039" s="15">
        <f>LN(F1039/F1038)</f>
        <v>0.014507916773026</v>
      </c>
      <c r="O1039" s="14">
        <v>45973</v>
      </c>
      <c r="P1039" s="15">
        <f>I1050</f>
        <v>-0.013709022073067316</v>
      </c>
      <c r="Q1039" s="15">
        <f>J1050</f>
        <v>0.008341124394715686</v>
      </c>
      <c r="R1039" s="15">
        <f>K1050</f>
        <v>-0.0025944839291640555</v>
      </c>
      <c r="S1039" s="15">
        <f>L1050</f>
        <v>0.007013755040664786</v>
      </c>
      <c r="T1039" s="15">
        <f>M1050</f>
        <v>-0.004945332892860854</v>
      </c>
    </row>
    <row r="1040" spans="1:20">
      <c r="A1040" s="14">
        <v>45958</v>
      </c>
      <c r="B1040" s="10">
        <v>1701.844116210938</v>
      </c>
      <c r="C1040" s="10">
        <v>623.7750244140625</v>
      </c>
      <c r="D1040" s="10">
        <v>1702</v>
      </c>
      <c r="E1040" s="10">
        <v>25936.19921875</v>
      </c>
      <c r="F1040" s="10">
        <v>944.5999755859376</v>
      </c>
      <c r="I1040" s="15">
        <f>LN(B1040/B1039)</f>
        <v>-0.01620199468580944</v>
      </c>
      <c r="J1040" s="15">
        <f>LN(C1040/C1039)</f>
        <v>-0.009478000863109216</v>
      </c>
      <c r="K1040" s="15">
        <f>LN(D1040/D1039)</f>
        <v>-0.005332394136553894</v>
      </c>
      <c r="L1040" s="15">
        <f>LN(E1040/E1039)</f>
        <v>-0.0011502994876563522</v>
      </c>
      <c r="M1040" s="15">
        <f>LN(F1040/F1039)</f>
        <v>-0.010583275117219303</v>
      </c>
      <c r="O1040" s="14">
        <v>45974</v>
      </c>
      <c r="P1040" s="15">
        <f>I1051</f>
        <v>0.003158291459024661</v>
      </c>
      <c r="Q1040" s="15">
        <f>J1051</f>
        <v>-0.007446939266257129</v>
      </c>
      <c r="R1040" s="15">
        <f>K1051</f>
        <v>-0.010095764510088768</v>
      </c>
      <c r="S1040" s="15">
        <f>L1051</f>
        <v>0.00012944111834060272</v>
      </c>
      <c r="T1040" s="15">
        <f>M1051</f>
        <v>0.0042024820527836225</v>
      </c>
    </row>
    <row r="1041" spans="1:20">
      <c r="A1041" s="14">
        <v>45959</v>
      </c>
      <c r="B1041" s="10">
        <v>1707.124755859375</v>
      </c>
      <c r="C1041" s="10">
        <v>634.5573120117188</v>
      </c>
      <c r="D1041" s="10">
        <v>1707.900024414062</v>
      </c>
      <c r="E1041" s="10">
        <v>26053.900390625</v>
      </c>
      <c r="F1041" s="10">
        <v>950.5</v>
      </c>
      <c r="I1041" s="15">
        <f>LN(B1041/B1040)</f>
        <v>0.0030980886422286523</v>
      </c>
      <c r="J1041" s="15">
        <f>LN(C1041/C1040)</f>
        <v>0.01713784377280238</v>
      </c>
      <c r="K1041" s="15">
        <f>LN(D1041/D1040)</f>
        <v>0.003460529786610862</v>
      </c>
      <c r="L1041" s="15">
        <f>LN(E1041/E1040)</f>
        <v>0.004527837947802368</v>
      </c>
      <c r="M1041" s="15">
        <f>LN(F1041/F1040)</f>
        <v>0.006226630312394088</v>
      </c>
      <c r="O1041" s="14">
        <v>45975</v>
      </c>
      <c r="P1041" s="15">
        <f>I1052</f>
        <v>0.00469032287078587</v>
      </c>
      <c r="Q1041" s="15">
        <f>J1052</f>
        <v>0.0011367272250427621</v>
      </c>
      <c r="R1041" s="15">
        <f>K1052</f>
        <v>0.012517534287246678</v>
      </c>
      <c r="S1041" s="15">
        <f>L1052</f>
        <v>0.0011933141887742222</v>
      </c>
      <c r="T1041" s="15">
        <f>M1052</f>
        <v>-0.0007965800379288665</v>
      </c>
    </row>
    <row r="1042" spans="1:20">
      <c r="A1042" s="14">
        <v>45960</v>
      </c>
      <c r="B1042" s="10">
        <v>1743.889526367188</v>
      </c>
      <c r="C1042" s="10">
        <v>642.1947631835938</v>
      </c>
      <c r="D1042" s="10">
        <v>1703.5</v>
      </c>
      <c r="E1042" s="10">
        <v>25877.849609375</v>
      </c>
      <c r="F1042" s="10">
        <v>950.9000244140624</v>
      </c>
      <c r="I1042" s="15">
        <f>LN(B1042/B1041)</f>
        <v>0.021307452503766845</v>
      </c>
      <c r="J1042" s="15">
        <f>LN(C1042/C1041)</f>
        <v>0.011964017792730328</v>
      </c>
      <c r="K1042" s="15">
        <f>LN(D1042/D1041)</f>
        <v>-0.0025796018189090802</v>
      </c>
      <c r="L1042" s="15">
        <f>LN(E1042/E1041)</f>
        <v>-0.006780108726120027</v>
      </c>
      <c r="M1042" s="15">
        <f>LN(F1042/F1041)</f>
        <v>0.0004207682916039691</v>
      </c>
      <c r="O1042" s="14">
        <v>45978</v>
      </c>
      <c r="P1042" s="15">
        <f>I1053</f>
        <v>-0.0041171581968685</v>
      </c>
      <c r="Q1042" s="15">
        <f>J1053</f>
        <v>0.027692921908448728</v>
      </c>
      <c r="R1042" s="15">
        <f>K1053</f>
        <v>0.005284303607149735</v>
      </c>
      <c r="S1042" s="15">
        <f>L1053</f>
        <v>0.003982727442351947</v>
      </c>
      <c r="T1042" s="15">
        <f>M1053</f>
        <v>0.004452645757658469</v>
      </c>
    </row>
    <row r="1043" spans="1:20">
      <c r="A1043" s="14">
        <v>45961</v>
      </c>
      <c r="B1043" s="10">
        <v>1771.787109375</v>
      </c>
      <c r="C1043" s="10">
        <v>643.3428955078125</v>
      </c>
      <c r="D1043" s="10">
        <v>1682.599975585938</v>
      </c>
      <c r="E1043" s="10">
        <v>25722.099609375</v>
      </c>
      <c r="F1043" s="10">
        <v>947.5499877929688</v>
      </c>
      <c r="I1043" s="15">
        <f>LN(B1043/B1042)</f>
        <v>0.015870725021630998</v>
      </c>
      <c r="J1043" s="15">
        <f>LN(C1043/C1042)</f>
        <v>0.0017862294764016727</v>
      </c>
      <c r="K1043" s="15">
        <f>LN(D1043/D1042)</f>
        <v>-0.012344756494032697</v>
      </c>
      <c r="L1043" s="15">
        <f>LN(E1043/E1042)</f>
        <v>-0.006036845980053782</v>
      </c>
      <c r="M1043" s="15">
        <f>LN(F1043/F1042)</f>
        <v>-0.0035292370899993064</v>
      </c>
      <c r="O1043" s="14">
        <v>45979</v>
      </c>
      <c r="P1043" s="15">
        <f>I1054</f>
        <v>-0.020141865712776107</v>
      </c>
      <c r="Q1043" s="15">
        <f>J1054</f>
        <v>-0.019368551768682466</v>
      </c>
      <c r="R1043" s="15">
        <f>K1054</f>
        <v>-0.01239316107141083</v>
      </c>
      <c r="S1043" s="15">
        <f>L1054</f>
        <v>-0.003982727442351953</v>
      </c>
      <c r="T1043" s="15">
        <f>M1054</f>
        <v>-0.019278078826393923</v>
      </c>
    </row>
    <row r="1044" spans="1:20">
      <c r="A1044" s="14">
        <v>45964</v>
      </c>
      <c r="B1044" s="10">
        <v>1800.880126953125</v>
      </c>
      <c r="C1044" s="10">
        <v>649.1334228515625</v>
      </c>
      <c r="D1044" s="10">
        <v>1746.5</v>
      </c>
      <c r="E1044" s="10">
        <v>25763.349609375</v>
      </c>
      <c r="F1044" s="10">
        <v>968.6500244140624</v>
      </c>
      <c r="I1044" s="15">
        <f>LN(B1044/B1043)</f>
        <v>0.016286801289719627</v>
      </c>
      <c r="J1044" s="15">
        <f>LN(C1044/C1043)</f>
        <v>0.008960421176754016</v>
      </c>
      <c r="K1044" s="15">
        <f>LN(D1044/D1043)</f>
        <v>0.03727358363989816</v>
      </c>
      <c r="L1044" s="15">
        <f>LN(E1044/E1043)</f>
        <v>0.001602394830084992</v>
      </c>
      <c r="M1044" s="15">
        <f>LN(F1044/F1043)</f>
        <v>0.022023681607080493</v>
      </c>
      <c r="O1044" s="14">
        <v>45980</v>
      </c>
      <c r="P1044" s="15">
        <f>I1055</f>
        <v>-0.000994457180476919</v>
      </c>
      <c r="Q1044" s="15">
        <f>J1055</f>
        <v>-0.005973604171569226</v>
      </c>
      <c r="R1044" s="15">
        <f>K1055</f>
        <v>-0.005233787318077403</v>
      </c>
      <c r="S1044" s="15">
        <f>L1055</f>
        <v>0.005488550984983714</v>
      </c>
      <c r="T1044" s="15">
        <f>M1055</f>
        <v>-0.0035109551207147165</v>
      </c>
    </row>
    <row r="1045" spans="1:20">
      <c r="A1045" s="14">
        <v>45965</v>
      </c>
      <c r="B1045" s="10">
        <v>1774.576782226562</v>
      </c>
      <c r="C1045" s="10">
        <v>644.3911743164062</v>
      </c>
      <c r="D1045" s="10">
        <v>1767.699951171875</v>
      </c>
      <c r="E1045" s="10">
        <v>25597.650390625</v>
      </c>
      <c r="F1045" s="10">
        <v>961.0999755859376</v>
      </c>
      <c r="I1045" s="15">
        <f>LN(B1045/B1044)</f>
        <v>-0.014713542869413643</v>
      </c>
      <c r="J1045" s="15">
        <f>LN(C1045/C1044)</f>
        <v>-0.007332322542548707</v>
      </c>
      <c r="K1045" s="15">
        <f>LN(D1045/D1044)</f>
        <v>0.012065453672545518</v>
      </c>
      <c r="L1045" s="15">
        <f>LN(E1045/E1044)</f>
        <v>-0.006452358545521922</v>
      </c>
      <c r="M1045" s="15">
        <f>LN(F1045/F1044)</f>
        <v>-0.007824938310139046</v>
      </c>
      <c r="O1045" s="14">
        <v>45981</v>
      </c>
      <c r="P1045" s="15">
        <f>I1056</f>
        <v>-0.00011709797108697543</v>
      </c>
      <c r="Q1045" s="15">
        <f>J1056</f>
        <v>0.002022140784188767</v>
      </c>
      <c r="R1045" s="15">
        <f>K1056</f>
        <v>0.00034975842652569186</v>
      </c>
      <c r="S1045" s="15">
        <f>L1056</f>
        <v>0.005340256999340202</v>
      </c>
      <c r="T1045" s="15">
        <f>M1056</f>
        <v>-0.0013536564500610155</v>
      </c>
    </row>
    <row r="1046" spans="1:20">
      <c r="A1046" s="14">
        <v>45967</v>
      </c>
      <c r="B1046" s="10">
        <v>1773.87939453125</v>
      </c>
      <c r="C1046" s="10">
        <v>622.2775268554688</v>
      </c>
      <c r="D1046" s="10">
        <v>1744.800048828125</v>
      </c>
      <c r="E1046" s="10">
        <v>25509.69921875</v>
      </c>
      <c r="F1046" s="10">
        <v>946.5999755859376</v>
      </c>
      <c r="I1046" s="15">
        <f>LN(B1046/B1045)</f>
        <v>-0.00039306541749582156</v>
      </c>
      <c r="J1046" s="15">
        <f>LN(C1046/C1045)</f>
        <v>-0.034919777354713036</v>
      </c>
      <c r="K1046" s="15">
        <f>LN(D1046/D1045)</f>
        <v>-0.013039275047072378</v>
      </c>
      <c r="L1046" s="15">
        <f>LN(E1046/E1045)</f>
        <v>-0.0034418242922323408</v>
      </c>
      <c r="M1046" s="15">
        <f>LN(F1046/F1045)</f>
        <v>-0.015201844746201539</v>
      </c>
      <c r="O1046" s="14">
        <v>45982</v>
      </c>
      <c r="P1046" s="15">
        <f>I1057</f>
        <v>-0.03157304609162311</v>
      </c>
      <c r="Q1046" s="15">
        <f>J1057</f>
        <v>-0.013585730493788434</v>
      </c>
      <c r="R1046" s="15">
        <f>K1057</f>
        <v>-0.01037004425849346</v>
      </c>
      <c r="S1046" s="15">
        <f>L1057</f>
        <v>-0.0047454848460117445</v>
      </c>
      <c r="T1046" s="15">
        <f>M1057</f>
        <v>-0.018814832581419184</v>
      </c>
    </row>
    <row r="1047" spans="1:20">
      <c r="A1047" s="14">
        <v>45968</v>
      </c>
      <c r="B1047" s="10">
        <v>1786.33349609375</v>
      </c>
      <c r="C1047" s="10">
        <v>618.8331298828125</v>
      </c>
      <c r="D1047" s="10">
        <v>1773.300048828125</v>
      </c>
      <c r="E1047" s="10">
        <v>25492.30078125</v>
      </c>
      <c r="F1047" s="10">
        <v>946.4000244140624</v>
      </c>
      <c r="I1047" s="15">
        <f>LN(B1047/B1046)</f>
        <v>0.006996296426937785</v>
      </c>
      <c r="J1047" s="15">
        <f>LN(C1047/C1046)</f>
        <v>-0.0055505216991731075</v>
      </c>
      <c r="K1047" s="15">
        <f>LN(D1047/D1046)</f>
        <v>0.016202281161247854</v>
      </c>
      <c r="L1047" s="15">
        <f>LN(E1047/E1046)</f>
        <v>-0.0006822649376453303</v>
      </c>
      <c r="M1047" s="15">
        <f>LN(F1047/F1046)</f>
        <v>-0.00021125321988254984</v>
      </c>
      <c r="O1047" s="14">
        <v>45985</v>
      </c>
      <c r="P1047" s="15">
        <f>I1058</f>
        <v>-0.029611400067633527</v>
      </c>
      <c r="Q1047" s="15">
        <f>J1058</f>
        <v>-0.06724512609446581</v>
      </c>
      <c r="R1047" s="15">
        <f>K1058</f>
        <v>-0.011908061825272789</v>
      </c>
      <c r="S1047" s="15">
        <f>L1058</f>
        <v>-0.00417664636992243</v>
      </c>
      <c r="T1047" s="15">
        <f>M1058</f>
        <v>-0.02075269818034745</v>
      </c>
    </row>
    <row r="1048" spans="1:20">
      <c r="A1048" s="14">
        <v>45971</v>
      </c>
      <c r="B1048" s="10">
        <v>1780.654418945312</v>
      </c>
      <c r="C1048" s="10">
        <v>626.6204223632812</v>
      </c>
      <c r="D1048" s="10">
        <v>1760.900024414062</v>
      </c>
      <c r="E1048" s="10">
        <v>25574.349609375</v>
      </c>
      <c r="F1048" s="10">
        <v>944.1500244140624</v>
      </c>
      <c r="I1048" s="15">
        <f>LN(B1048/B1047)</f>
        <v>-0.003184245129083225</v>
      </c>
      <c r="J1048" s="15">
        <f>LN(C1048/C1047)</f>
        <v>0.012505314147492978</v>
      </c>
      <c r="K1048" s="15">
        <f>LN(D1048/D1047)</f>
        <v>-0.007017189202338818</v>
      </c>
      <c r="L1048" s="15">
        <f>LN(E1048/E1047)</f>
        <v>0.0032134043686110675</v>
      </c>
      <c r="M1048" s="15">
        <f>LN(F1048/F1047)</f>
        <v>-0.0023802607751139807</v>
      </c>
      <c r="O1048" s="14">
        <v>45986</v>
      </c>
      <c r="P1048" s="15">
        <f>I1059</f>
        <v>0.01390327883107675</v>
      </c>
      <c r="Q1048" s="15">
        <f>J1059</f>
        <v>0.04060121201223012</v>
      </c>
      <c r="R1048" s="15">
        <f>K1059</f>
        <v>0.031560530715442944</v>
      </c>
      <c r="S1048" s="15">
        <f>L1059</f>
        <v>-0.002881677226487561</v>
      </c>
      <c r="T1048" s="15">
        <f>M1059</f>
        <v>0.016048630052359927</v>
      </c>
    </row>
    <row r="1049" spans="1:20">
      <c r="A1049" s="14">
        <v>45972</v>
      </c>
      <c r="B1049" s="10">
        <v>1756.244140625</v>
      </c>
      <c r="C1049" s="10">
        <v>613.8413696289062</v>
      </c>
      <c r="D1049" s="10">
        <v>1736.699951171875</v>
      </c>
      <c r="E1049" s="10">
        <v>25694.94921875</v>
      </c>
      <c r="F1049" s="10">
        <v>942.5999755859376</v>
      </c>
      <c r="I1049" s="15">
        <f>LN(B1049/B1048)</f>
        <v>-0.013803430034342114</v>
      </c>
      <c r="J1049" s="15">
        <f>LN(C1049/C1048)</f>
        <v>-0.020604431217495434</v>
      </c>
      <c r="K1049" s="15">
        <f>LN(D1049/D1048)</f>
        <v>-0.01383832319366381</v>
      </c>
      <c r="L1049" s="15">
        <f>LN(E1049/E1048)</f>
        <v>0.004704563337770722</v>
      </c>
      <c r="M1049" s="15">
        <f>LN(F1049/F1048)</f>
        <v>-0.0016430890969682576</v>
      </c>
      <c r="O1049" s="14">
        <v>45987</v>
      </c>
      <c r="P1049" s="15">
        <f>I1060</f>
        <v>0.02016839448122236</v>
      </c>
      <c r="Q1049" s="15">
        <f>J1060</f>
        <v>0.017841218229856112</v>
      </c>
      <c r="R1049" s="15">
        <f>K1060</f>
        <v>0.011483160321431018</v>
      </c>
      <c r="S1049" s="15">
        <f>L1060</f>
        <v>0.012305756174877891</v>
      </c>
      <c r="T1049" s="15">
        <f>M1060</f>
        <v>0.011143139009970552</v>
      </c>
    </row>
    <row r="1050" spans="1:20">
      <c r="A1050" s="14">
        <v>45973</v>
      </c>
      <c r="B1050" s="10">
        <v>1732.33203125</v>
      </c>
      <c r="C1050" s="10">
        <v>618.98291015625</v>
      </c>
      <c r="D1050" s="10">
        <v>1732.199951171875</v>
      </c>
      <c r="E1050" s="10">
        <v>25875.80078125</v>
      </c>
      <c r="F1050" s="10">
        <v>937.9500122070312</v>
      </c>
      <c r="I1050" s="15">
        <f>LN(B1050/B1049)</f>
        <v>-0.013709022073067316</v>
      </c>
      <c r="J1050" s="15">
        <f>LN(C1050/C1049)</f>
        <v>0.008341124394715686</v>
      </c>
      <c r="K1050" s="15">
        <f>LN(D1050/D1049)</f>
        <v>-0.0025944839291640555</v>
      </c>
      <c r="L1050" s="15">
        <f>LN(E1050/E1049)</f>
        <v>0.007013755040664786</v>
      </c>
      <c r="M1050" s="15">
        <f>LN(F1050/F1049)</f>
        <v>-0.004945332892860854</v>
      </c>
      <c r="O1050" s="14">
        <v>45988</v>
      </c>
      <c r="P1050" s="15">
        <f>I1061</f>
        <v>-0.0007219793027061067</v>
      </c>
      <c r="Q1050" s="15">
        <f>J1061</f>
        <v>-0.02943243635819389</v>
      </c>
      <c r="R1050" s="15">
        <f>K1061</f>
        <v>-0.006127056314704735</v>
      </c>
      <c r="S1050" s="15">
        <f>L1061</f>
        <v>0.0003910657620054032</v>
      </c>
      <c r="T1050" s="15">
        <f>M1061</f>
        <v>-0.007212284034977117</v>
      </c>
    </row>
    <row r="1051" spans="1:20">
      <c r="A1051" s="14">
        <v>45974</v>
      </c>
      <c r="B1051" s="10">
        <v>1737.811889648438</v>
      </c>
      <c r="C1051" s="10">
        <v>614.3905029296875</v>
      </c>
      <c r="D1051" s="10">
        <v>1714.800048828125</v>
      </c>
      <c r="E1051" s="10">
        <v>25879.150390625</v>
      </c>
      <c r="F1051" s="10">
        <v>941.9000244140624</v>
      </c>
      <c r="I1051" s="15">
        <f>LN(B1051/B1050)</f>
        <v>0.003158291459024661</v>
      </c>
      <c r="J1051" s="15">
        <f>LN(C1051/C1050)</f>
        <v>-0.007446939266257129</v>
      </c>
      <c r="K1051" s="15">
        <f>LN(D1051/D1050)</f>
        <v>-0.010095764510088768</v>
      </c>
      <c r="L1051" s="15">
        <f>LN(E1051/E1050)</f>
        <v>0.00012944111834060272</v>
      </c>
      <c r="M1051" s="15">
        <f>LN(F1051/F1050)</f>
        <v>0.0042024820527836225</v>
      </c>
      <c r="O1051" s="14">
        <v>45989</v>
      </c>
      <c r="P1051" s="15">
        <f>I1062</f>
        <v>-0.008704135076302334</v>
      </c>
      <c r="Q1051" s="15">
        <f>J1062</f>
        <v>-0.01907263136004279</v>
      </c>
      <c r="R1051" s="15">
        <f>K1062</f>
        <v>-0.002415293090262966</v>
      </c>
      <c r="S1051" s="15">
        <f>L1062</f>
        <v>-0.0004808059270205712</v>
      </c>
      <c r="T1051" s="15">
        <f>M1062</f>
        <v>-0.001935787726243208</v>
      </c>
    </row>
    <row r="1052" spans="1:20">
      <c r="A1052" s="14">
        <v>45975</v>
      </c>
      <c r="B1052" s="10">
        <v>1745.98193359375</v>
      </c>
      <c r="C1052" s="10">
        <v>615.0892944335938</v>
      </c>
      <c r="D1052" s="10">
        <v>1736.400024414062</v>
      </c>
      <c r="E1052" s="10">
        <v>25910.05078125</v>
      </c>
      <c r="F1052" s="10">
        <v>941.1500244140624</v>
      </c>
      <c r="I1052" s="15">
        <f>LN(B1052/B1051)</f>
        <v>0.00469032287078587</v>
      </c>
      <c r="J1052" s="15">
        <f>LN(C1052/C1051)</f>
        <v>0.0011367272250427621</v>
      </c>
      <c r="K1052" s="15">
        <f>LN(D1052/D1051)</f>
        <v>0.012517534287246678</v>
      </c>
      <c r="L1052" s="15">
        <f>LN(E1052/E1051)</f>
        <v>0.0011933141887742222</v>
      </c>
      <c r="M1052" s="15">
        <f>LN(F1052/F1051)</f>
        <v>-0.0007965800379288665</v>
      </c>
      <c r="O1052" s="14">
        <v>45992</v>
      </c>
      <c r="P1052" s="15">
        <f>I1063</f>
        <v>-0.01732993207916374</v>
      </c>
      <c r="Q1052" s="15">
        <f>J1063</f>
        <v>-0.006526563418145783</v>
      </c>
      <c r="R1052" s="15">
        <f>K1063</f>
        <v>-0.003980750212003875</v>
      </c>
      <c r="S1052" s="15">
        <f>L1063</f>
        <v>-0.001038560391932615</v>
      </c>
      <c r="T1052" s="15">
        <f>M1063</f>
        <v>-0.010294740205033388</v>
      </c>
    </row>
    <row r="1053" spans="1:20">
      <c r="A1053" s="14">
        <v>45978</v>
      </c>
      <c r="B1053" s="10">
        <v>1738.808227539062</v>
      </c>
      <c r="C1053" s="10">
        <v>632.3609619140625</v>
      </c>
      <c r="D1053" s="10">
        <v>1745.599975585938</v>
      </c>
      <c r="E1053" s="10">
        <v>26013.44921875</v>
      </c>
      <c r="F1053" s="10">
        <v>945.3499755859376</v>
      </c>
      <c r="I1053" s="15">
        <f>LN(B1053/B1052)</f>
        <v>-0.0041171581968685</v>
      </c>
      <c r="J1053" s="15">
        <f>LN(C1053/C1052)</f>
        <v>0.027692921908448728</v>
      </c>
      <c r="K1053" s="15">
        <f>LN(D1053/D1052)</f>
        <v>0.005284303607149735</v>
      </c>
      <c r="L1053" s="15">
        <f>LN(E1053/E1052)</f>
        <v>0.003982727442351947</v>
      </c>
      <c r="M1053" s="15">
        <f>LN(F1053/F1052)</f>
        <v>0.004452645757658469</v>
      </c>
      <c r="O1053" s="14">
        <v>45993</v>
      </c>
      <c r="P1053" s="15">
        <f>I1064</f>
        <v>0.008426902800011076</v>
      </c>
      <c r="Q1053" s="15">
        <f>J1064</f>
        <v>-0.030133536969253926</v>
      </c>
      <c r="R1053" s="15">
        <f>K1064</f>
        <v>0.0007511639814540017</v>
      </c>
      <c r="S1053" s="15">
        <f>L1064</f>
        <v>-0.005499206353098099</v>
      </c>
      <c r="T1053" s="15">
        <f>M1064</f>
        <v>-0.0020717682691896006</v>
      </c>
    </row>
    <row r="1054" spans="1:20">
      <c r="A1054" s="14">
        <v>45979</v>
      </c>
      <c r="B1054" s="10">
        <v>1704.1357421875</v>
      </c>
      <c r="C1054" s="10">
        <v>620.2308959960938</v>
      </c>
      <c r="D1054" s="10">
        <v>1724.099975585938</v>
      </c>
      <c r="E1054" s="10">
        <v>25910.05078125</v>
      </c>
      <c r="F1054" s="10">
        <v>927.2999877929688</v>
      </c>
      <c r="I1054" s="15">
        <f>LN(B1054/B1053)</f>
        <v>-0.020141865712776107</v>
      </c>
      <c r="J1054" s="15">
        <f>LN(C1054/C1053)</f>
        <v>-0.019368551768682466</v>
      </c>
      <c r="K1054" s="15">
        <f>LN(D1054/D1053)</f>
        <v>-0.01239316107141083</v>
      </c>
      <c r="L1054" s="15">
        <f>LN(E1054/E1053)</f>
        <v>-0.003982727442351953</v>
      </c>
      <c r="M1054" s="15">
        <f>LN(F1054/F1053)</f>
        <v>-0.019278078826393923</v>
      </c>
      <c r="O1054" s="14">
        <v>45994</v>
      </c>
      <c r="P1054" s="15">
        <f>I1065</f>
        <v>0.004888269133692976</v>
      </c>
      <c r="Q1054" s="15">
        <f>J1065</f>
        <v>-0.004237841281577859</v>
      </c>
      <c r="R1054" s="15">
        <f>K1065</f>
        <v>-0.005793087851584754</v>
      </c>
      <c r="S1054" s="15">
        <f>L1065</f>
        <v>-0.0017762718275890193</v>
      </c>
      <c r="T1054" s="15">
        <f>M1065</f>
        <v>-0.007539151659846944</v>
      </c>
    </row>
    <row r="1055" spans="1:20">
      <c r="A1055" s="14">
        <v>45980</v>
      </c>
      <c r="B1055" s="10">
        <v>1702.44189453125</v>
      </c>
      <c r="C1055" s="10">
        <v>616.5369262695312</v>
      </c>
      <c r="D1055" s="10">
        <v>1715.099975585938</v>
      </c>
      <c r="E1055" s="10">
        <v>26052.650390625</v>
      </c>
      <c r="F1055" s="10">
        <v>924.0499877929688</v>
      </c>
      <c r="I1055" s="15">
        <f>LN(B1055/B1054)</f>
        <v>-0.000994457180476919</v>
      </c>
      <c r="J1055" s="15">
        <f>LN(C1055/C1054)</f>
        <v>-0.005973604171569226</v>
      </c>
      <c r="K1055" s="15">
        <f>LN(D1055/D1054)</f>
        <v>-0.005233787318077403</v>
      </c>
      <c r="L1055" s="15">
        <f>LN(E1055/E1054)</f>
        <v>0.005488550984983714</v>
      </c>
      <c r="M1055" s="15">
        <f>LN(F1055/F1054)</f>
        <v>-0.0035109551207147165</v>
      </c>
      <c r="O1055" s="14">
        <v>45995</v>
      </c>
      <c r="P1055" s="15">
        <f>I1066</f>
        <v>0.013981998723536575</v>
      </c>
      <c r="Q1055" s="15">
        <f>J1066</f>
        <v>-0.02377368036297297</v>
      </c>
      <c r="R1055" s="15">
        <f>K1066</f>
        <v>0.007466839129903107</v>
      </c>
      <c r="S1055" s="15">
        <f>L1066</f>
        <v>0.0018358417105443499</v>
      </c>
      <c r="T1055" s="15">
        <f>M1066</f>
        <v>0.005350769059816622</v>
      </c>
    </row>
    <row r="1056" spans="1:20">
      <c r="A1056" s="14">
        <v>45981</v>
      </c>
      <c r="B1056" s="10">
        <v>1702.242553710938</v>
      </c>
      <c r="C1056" s="10">
        <v>617.784912109375</v>
      </c>
      <c r="D1056" s="10">
        <v>1715.699951171875</v>
      </c>
      <c r="E1056" s="10">
        <v>26192.150390625</v>
      </c>
      <c r="F1056" s="10">
        <v>922.7999877929688</v>
      </c>
      <c r="I1056" s="15">
        <f>LN(B1056/B1055)</f>
        <v>-0.00011709797108697543</v>
      </c>
      <c r="J1056" s="15">
        <f>LN(C1056/C1055)</f>
        <v>0.002022140784188767</v>
      </c>
      <c r="K1056" s="15">
        <f>LN(D1056/D1055)</f>
        <v>0.00034975842652569186</v>
      </c>
      <c r="L1056" s="15">
        <f>LN(E1056/E1055)</f>
        <v>0.005340256999340202</v>
      </c>
      <c r="M1056" s="15">
        <f>LN(F1056/F1055)</f>
        <v>-0.0013536564500610155</v>
      </c>
      <c r="O1056" s="14">
        <v>45996</v>
      </c>
      <c r="P1056" s="15">
        <f>I1067</f>
        <v>-0.003613013316735337</v>
      </c>
      <c r="Q1056" s="15">
        <f>J1067</f>
        <v>-0.026345619478621927</v>
      </c>
      <c r="R1056" s="15">
        <f>K1067</f>
        <v>-0.005203527078255442</v>
      </c>
      <c r="S1056" s="15">
        <f>L1067</f>
        <v>0.005848298407896911</v>
      </c>
      <c r="T1056" s="15">
        <f>M1067</f>
        <v>0.003420778693240886</v>
      </c>
    </row>
    <row r="1057" spans="1:20">
      <c r="A1057" s="14">
        <v>45982</v>
      </c>
      <c r="B1057" s="10">
        <v>1649.337158203125</v>
      </c>
      <c r="C1057" s="10">
        <v>609.4486083984375</v>
      </c>
      <c r="D1057" s="10">
        <v>1698</v>
      </c>
      <c r="E1057" s="10">
        <v>26068.150390625</v>
      </c>
      <c r="F1057" s="10">
        <v>905.5999755859376</v>
      </c>
      <c r="I1057" s="15">
        <f>LN(B1057/B1056)</f>
        <v>-0.03157304609162311</v>
      </c>
      <c r="J1057" s="15">
        <f>LN(C1057/C1056)</f>
        <v>-0.013585730493788434</v>
      </c>
      <c r="K1057" s="15">
        <f>LN(D1057/D1056)</f>
        <v>-0.01037004425849346</v>
      </c>
      <c r="L1057" s="15">
        <f>LN(E1057/E1056)</f>
        <v>-0.0047454848460117445</v>
      </c>
      <c r="M1057" s="15">
        <f>LN(F1057/F1056)</f>
        <v>-0.018814832581419184</v>
      </c>
      <c r="O1057" s="14">
        <v>45999</v>
      </c>
      <c r="P1057" s="15">
        <f>I1068</f>
        <v>-0.02919690183732945</v>
      </c>
      <c r="Q1057" s="15">
        <f>J1068</f>
        <v>-0.04498306755838096</v>
      </c>
      <c r="R1057" s="15">
        <f>K1068</f>
        <v>-0.00232139855665472</v>
      </c>
      <c r="S1057" s="15">
        <f>L1068</f>
        <v>-0.008663963433110109</v>
      </c>
      <c r="T1057" s="15">
        <f>M1068</f>
        <v>-0.03590538316800875</v>
      </c>
    </row>
    <row r="1058" spans="1:20">
      <c r="A1058" s="14">
        <v>45985</v>
      </c>
      <c r="B1058" s="10">
        <v>1601.213989257812</v>
      </c>
      <c r="C1058" s="10">
        <v>569.813720703125</v>
      </c>
      <c r="D1058" s="10">
        <v>1677.900024414062</v>
      </c>
      <c r="E1058" s="10">
        <v>25959.5</v>
      </c>
      <c r="F1058" s="10">
        <v>887</v>
      </c>
      <c r="I1058" s="15">
        <f>LN(B1058/B1057)</f>
        <v>-0.029611400067633527</v>
      </c>
      <c r="J1058" s="15">
        <f>LN(C1058/C1057)</f>
        <v>-0.06724512609446581</v>
      </c>
      <c r="K1058" s="15">
        <f>LN(D1058/D1057)</f>
        <v>-0.011908061825272789</v>
      </c>
      <c r="L1058" s="15">
        <f>LN(E1058/E1057)</f>
        <v>-0.00417664636992243</v>
      </c>
      <c r="M1058" s="15">
        <f>LN(F1058/F1057)</f>
        <v>-0.02075269818034745</v>
      </c>
      <c r="O1058" s="14">
        <v>46000</v>
      </c>
      <c r="P1058" s="15">
        <f>I1069</f>
        <v>0.011118092790912037</v>
      </c>
      <c r="Q1058" s="15">
        <f>J1069</f>
        <v>0.0029767609318217592</v>
      </c>
      <c r="R1058" s="15">
        <f>K1069</f>
        <v>0.010461602201111163</v>
      </c>
      <c r="S1058" s="15">
        <f>L1069</f>
        <v>-0.004667959097577137</v>
      </c>
      <c r="T1058" s="15">
        <f>M1069</f>
        <v>0.009471570861910368</v>
      </c>
    </row>
    <row r="1059" spans="1:20">
      <c r="A1059" s="14">
        <v>45986</v>
      </c>
      <c r="B1059" s="10">
        <v>1623.631591796875</v>
      </c>
      <c r="C1059" s="10">
        <v>593.4249267578125</v>
      </c>
      <c r="D1059" s="10">
        <v>1731.699951171875</v>
      </c>
      <c r="E1059" s="10">
        <v>25884.80078125</v>
      </c>
      <c r="F1059" s="10">
        <v>901.3499755859376</v>
      </c>
      <c r="I1059" s="15">
        <f>LN(B1059/B1058)</f>
        <v>0.01390327883107675</v>
      </c>
      <c r="J1059" s="15">
        <f>LN(C1059/C1058)</f>
        <v>0.04060121201223012</v>
      </c>
      <c r="K1059" s="15">
        <f>LN(D1059/D1058)</f>
        <v>0.031560530715442944</v>
      </c>
      <c r="L1059" s="15">
        <f>LN(E1059/E1058)</f>
        <v>-0.002881677226487561</v>
      </c>
      <c r="M1059" s="15">
        <f>LN(F1059/F1058)</f>
        <v>0.016048630052359927</v>
      </c>
      <c r="O1059" s="14">
        <v>46001</v>
      </c>
      <c r="P1059" s="15">
        <f>I1070</f>
        <v>-0.0009832695522419682</v>
      </c>
      <c r="Q1059" s="15">
        <f>J1070</f>
        <v>0.008386441333415233</v>
      </c>
      <c r="R1059" s="15">
        <f>K1070</f>
        <v>-0.0008052357891239386</v>
      </c>
      <c r="S1059" s="15">
        <f>L1070</f>
        <v>-0.003164890577820058</v>
      </c>
      <c r="T1059" s="15">
        <f>M1070</f>
        <v>-0.0036278446987854786</v>
      </c>
    </row>
    <row r="1060" spans="1:20">
      <c r="A1060" s="14">
        <v>45987</v>
      </c>
      <c r="B1060" s="10">
        <v>1656.710083007812</v>
      </c>
      <c r="C1060" s="10">
        <v>604.1073608398438</v>
      </c>
      <c r="D1060" s="10">
        <v>1751.699951171875</v>
      </c>
      <c r="E1060" s="10">
        <v>26205.30078125</v>
      </c>
      <c r="F1060" s="10">
        <v>911.4500122070312</v>
      </c>
      <c r="I1060" s="15">
        <f>LN(B1060/B1059)</f>
        <v>0.02016839448122236</v>
      </c>
      <c r="J1060" s="15">
        <f>LN(C1060/C1059)</f>
        <v>0.017841218229856112</v>
      </c>
      <c r="K1060" s="15">
        <f>LN(D1060/D1059)</f>
        <v>0.011483160321431018</v>
      </c>
      <c r="L1060" s="15">
        <f>LN(E1060/E1059)</f>
        <v>0.012305756174877891</v>
      </c>
      <c r="M1060" s="15">
        <f>LN(F1060/F1059)</f>
        <v>0.011143139009970552</v>
      </c>
      <c r="O1060" s="14">
        <v>46002</v>
      </c>
      <c r="P1060" s="15">
        <f>I1071</f>
        <v>0.003927365606037758</v>
      </c>
      <c r="Q1060" s="15">
        <f>J1071</f>
        <v>-0.007891144598373577</v>
      </c>
      <c r="R1060" s="15">
        <f>K1071</f>
        <v>0.0034466944919317667</v>
      </c>
      <c r="S1060" s="15">
        <f>L1071</f>
        <v>0.005441754277616313</v>
      </c>
      <c r="T1060" s="15">
        <f>M1071</f>
        <v>0.007471728430646221</v>
      </c>
    </row>
    <row r="1061" spans="1:20">
      <c r="A1061" s="14">
        <v>45988</v>
      </c>
      <c r="B1061" s="10">
        <v>1655.514404296875</v>
      </c>
      <c r="C1061" s="10">
        <v>586.5861206054688</v>
      </c>
      <c r="D1061" s="10">
        <v>1741</v>
      </c>
      <c r="E1061" s="10">
        <v>26215.55078125</v>
      </c>
      <c r="F1061" s="10">
        <v>904.9000244140624</v>
      </c>
      <c r="I1061" s="15">
        <f>LN(B1061/B1060)</f>
        <v>-0.0007219793027061067</v>
      </c>
      <c r="J1061" s="15">
        <f>LN(C1061/C1060)</f>
        <v>-0.02943243635819389</v>
      </c>
      <c r="K1061" s="15">
        <f>LN(D1061/D1060)</f>
        <v>-0.006127056314704735</v>
      </c>
      <c r="L1061" s="15">
        <f>LN(E1061/E1060)</f>
        <v>0.0003910657620054032</v>
      </c>
      <c r="M1061" s="15">
        <f>LN(F1061/F1060)</f>
        <v>-0.007212284034977117</v>
      </c>
      <c r="O1061" s="14">
        <v>46003</v>
      </c>
      <c r="P1061" s="15">
        <f>I1072</f>
        <v>0.016400786283539817</v>
      </c>
      <c r="Q1061" s="15">
        <f>J1072</f>
        <v>0.08637579546776053</v>
      </c>
      <c r="R1061" s="15">
        <f>K1072</f>
        <v>0.015421237706295433</v>
      </c>
      <c r="S1061" s="15">
        <f>L1072</f>
        <v>0.0057136360690816825</v>
      </c>
      <c r="T1061" s="15">
        <f>M1072</f>
        <v>0.01517287307841749</v>
      </c>
    </row>
    <row r="1062" spans="1:20">
      <c r="A1062" s="14">
        <v>45989</v>
      </c>
      <c r="B1062" s="10">
        <v>1641.167114257812</v>
      </c>
      <c r="C1062" s="10">
        <v>575.50439453125</v>
      </c>
      <c r="D1062" s="10">
        <v>1736.800048828125</v>
      </c>
      <c r="E1062" s="10">
        <v>26202.94921875</v>
      </c>
      <c r="F1062" s="10">
        <v>903.1500244140624</v>
      </c>
      <c r="I1062" s="15">
        <f>LN(B1062/B1061)</f>
        <v>-0.008704135076302334</v>
      </c>
      <c r="J1062" s="15">
        <f>LN(C1062/C1061)</f>
        <v>-0.01907263136004279</v>
      </c>
      <c r="K1062" s="15">
        <f>LN(D1062/D1061)</f>
        <v>-0.002415293090262966</v>
      </c>
      <c r="L1062" s="15">
        <f>LN(E1062/E1061)</f>
        <v>-0.0004808059270205712</v>
      </c>
      <c r="M1062" s="15">
        <f>LN(F1062/F1061)</f>
        <v>-0.001935787726243208</v>
      </c>
      <c r="O1062" s="14">
        <v>46006</v>
      </c>
      <c r="P1062" s="15">
        <f>I1073</f>
        <v>-0.002352387124114809</v>
      </c>
      <c r="Q1062" s="15">
        <f>J1073</f>
        <v>0.00018157393332316317</v>
      </c>
      <c r="R1062" s="15">
        <f>K1073</f>
        <v>0.010392476056210893</v>
      </c>
      <c r="S1062" s="15">
        <f>L1073</f>
        <v>-0.0007546316435640039</v>
      </c>
      <c r="T1062" s="15">
        <f>M1073</f>
        <v>-0.00045124768199802484</v>
      </c>
    </row>
    <row r="1063" spans="1:20">
      <c r="A1063" s="14">
        <v>45992</v>
      </c>
      <c r="B1063" s="10">
        <v>1612.970825195312</v>
      </c>
      <c r="C1063" s="10">
        <v>571.7605590820312</v>
      </c>
      <c r="D1063" s="10">
        <v>1729.900024414062</v>
      </c>
      <c r="E1063" s="10">
        <v>26175.75</v>
      </c>
      <c r="F1063" s="10">
        <v>893.9000244140625</v>
      </c>
      <c r="I1063" s="15">
        <f>LN(B1063/B1062)</f>
        <v>-0.01732993207916374</v>
      </c>
      <c r="J1063" s="15">
        <f>LN(C1063/C1062)</f>
        <v>-0.006526563418145783</v>
      </c>
      <c r="K1063" s="15">
        <f>LN(D1063/D1062)</f>
        <v>-0.003980750212003875</v>
      </c>
      <c r="L1063" s="15">
        <f>LN(E1063/E1062)</f>
        <v>-0.001038560391932615</v>
      </c>
      <c r="M1063" s="15">
        <f>LN(F1063/F1062)</f>
        <v>-0.010294740205033388</v>
      </c>
      <c r="O1063" s="14">
        <v>46007</v>
      </c>
      <c r="P1063" s="15">
        <f>I1074</f>
        <v>-0.017729913207947954</v>
      </c>
      <c r="Q1063" s="15">
        <f>J1074</f>
        <v>-0.02073843790717851</v>
      </c>
      <c r="R1063" s="15">
        <f>K1074</f>
        <v>-0.004705377467548185</v>
      </c>
      <c r="S1063" s="15">
        <f>L1074</f>
        <v>-0.006444791966669916</v>
      </c>
      <c r="T1063" s="15">
        <f>M1074</f>
        <v>-0.012948132804061797</v>
      </c>
    </row>
    <row r="1064" spans="1:20">
      <c r="A1064" s="14">
        <v>45993</v>
      </c>
      <c r="B1064" s="10">
        <v>1626.62060546875</v>
      </c>
      <c r="C1064" s="10">
        <v>554.7883911132812</v>
      </c>
      <c r="D1064" s="10">
        <v>1731.199951171875</v>
      </c>
      <c r="E1064" s="10">
        <v>26032.19921875</v>
      </c>
      <c r="F1064" s="10">
        <v>892.0499877929688</v>
      </c>
      <c r="I1064" s="15">
        <f>LN(B1064/B1063)</f>
        <v>0.008426902800011076</v>
      </c>
      <c r="J1064" s="15">
        <f>LN(C1064/C1063)</f>
        <v>-0.030133536969253926</v>
      </c>
      <c r="K1064" s="15">
        <f>LN(D1064/D1063)</f>
        <v>0.0007511639814540017</v>
      </c>
      <c r="L1064" s="15">
        <f>LN(E1064/E1063)</f>
        <v>-0.005499206353098099</v>
      </c>
      <c r="M1064" s="15">
        <f>LN(F1064/F1063)</f>
        <v>-0.0020717682691896006</v>
      </c>
      <c r="O1064" s="14">
        <v>46008</v>
      </c>
      <c r="P1064" s="15">
        <f>I1075</f>
        <v>-0.010442773329378024</v>
      </c>
      <c r="Q1064" s="15">
        <f>J1075</f>
        <v>-0.025924211098301276</v>
      </c>
      <c r="R1064" s="15">
        <f>K1075</f>
        <v>0.000280701756229185</v>
      </c>
      <c r="S1064" s="15">
        <f>L1075</f>
        <v>-0.0016079691231565723</v>
      </c>
      <c r="T1064" s="15">
        <f>M1075</f>
        <v>-0.008437871700275863</v>
      </c>
    </row>
    <row r="1065" spans="1:20">
      <c r="A1065" s="14">
        <v>45994</v>
      </c>
      <c r="B1065" s="10">
        <v>1634.591430664062</v>
      </c>
      <c r="C1065" s="10">
        <v>552.4422607421875</v>
      </c>
      <c r="D1065" s="10">
        <v>1721.199951171875</v>
      </c>
      <c r="E1065" s="10">
        <v>25986</v>
      </c>
      <c r="F1065" s="10">
        <v>885.3499755859375</v>
      </c>
      <c r="I1065" s="15">
        <f>LN(B1065/B1064)</f>
        <v>0.004888269133692976</v>
      </c>
      <c r="J1065" s="15">
        <f>LN(C1065/C1064)</f>
        <v>-0.004237841281577859</v>
      </c>
      <c r="K1065" s="15">
        <f>LN(D1065/D1064)</f>
        <v>-0.005793087851584754</v>
      </c>
      <c r="L1065" s="15">
        <f>LN(E1065/E1064)</f>
        <v>-0.0017762718275890193</v>
      </c>
      <c r="M1065" s="15">
        <f>LN(F1065/F1064)</f>
        <v>-0.007539151659846944</v>
      </c>
      <c r="O1065" s="14">
        <v>46009</v>
      </c>
      <c r="P1065" s="15">
        <f>I1076</f>
        <v>0.029560503855393678</v>
      </c>
      <c r="Q1065" s="15">
        <f>J1076</f>
        <v>0.01163613731351978</v>
      </c>
      <c r="R1065" s="15">
        <f>K1076</f>
        <v>0.009219229985674858</v>
      </c>
      <c r="S1065" s="15">
        <f>L1076</f>
        <v>-0.00011620227379163036</v>
      </c>
      <c r="T1065" s="15">
        <f>M1076</f>
        <v>0.0033951420003402637</v>
      </c>
    </row>
    <row r="1066" spans="1:20">
      <c r="A1066" s="14">
        <v>45995</v>
      </c>
      <c r="B1066" s="10">
        <v>1657.606811523438</v>
      </c>
      <c r="C1066" s="10">
        <v>539.4635620117188</v>
      </c>
      <c r="D1066" s="10">
        <v>1734.099975585938</v>
      </c>
      <c r="E1066" s="10">
        <v>26033.75</v>
      </c>
      <c r="F1066" s="10">
        <v>890.0999755859375</v>
      </c>
      <c r="I1066" s="15">
        <f>LN(B1066/B1065)</f>
        <v>0.013981998723536575</v>
      </c>
      <c r="J1066" s="15">
        <f>LN(C1066/C1065)</f>
        <v>-0.02377368036297297</v>
      </c>
      <c r="K1066" s="15">
        <f>LN(D1066/D1065)</f>
        <v>0.007466839129903107</v>
      </c>
      <c r="L1066" s="15">
        <f>LN(E1066/E1065)</f>
        <v>0.0018358417105443499</v>
      </c>
      <c r="M1066" s="15">
        <f>LN(F1066/F1065)</f>
        <v>0.005350769059816622</v>
      </c>
      <c r="O1066" s="14">
        <v>46010</v>
      </c>
      <c r="P1066" s="15">
        <f>I1077</f>
        <v>0.010259640350146943</v>
      </c>
      <c r="Q1066" s="15">
        <f>J1077</f>
        <v>0.03693188137667292</v>
      </c>
      <c r="R1066" s="15">
        <f>K1077</f>
        <v>0.018351187778431546</v>
      </c>
      <c r="S1066" s="15">
        <f>L1077</f>
        <v>0.005826355812965194</v>
      </c>
      <c r="T1066" s="15">
        <f>M1077</f>
        <v>0.01657927031507101</v>
      </c>
    </row>
    <row r="1067" spans="1:20">
      <c r="A1067" s="14">
        <v>45996</v>
      </c>
      <c r="B1067" s="10">
        <v>1651.628662109375</v>
      </c>
      <c r="C1067" s="10">
        <v>525.4366455078125</v>
      </c>
      <c r="D1067" s="10">
        <v>1725.099975585938</v>
      </c>
      <c r="E1067" s="10">
        <v>26186.44921875</v>
      </c>
      <c r="F1067" s="10">
        <v>893.1500244140625</v>
      </c>
      <c r="I1067" s="15">
        <f>LN(B1067/B1066)</f>
        <v>-0.003613013316735337</v>
      </c>
      <c r="J1067" s="15">
        <f>LN(C1067/C1066)</f>
        <v>-0.026345619478621927</v>
      </c>
      <c r="K1067" s="15">
        <f>LN(D1067/D1066)</f>
        <v>-0.005203527078255442</v>
      </c>
      <c r="L1067" s="15">
        <f>LN(E1067/E1066)</f>
        <v>0.005848298407896911</v>
      </c>
      <c r="M1067" s="15">
        <f>LN(F1067/F1066)</f>
        <v>0.003420778693240886</v>
      </c>
      <c r="O1067" s="14">
        <v>46013</v>
      </c>
      <c r="P1067" s="15">
        <f>I1078</f>
        <v>-0.007489254717351018</v>
      </c>
      <c r="Q1067" s="15">
        <f>J1078</f>
        <v>0.01743236597841656</v>
      </c>
      <c r="R1067" s="15">
        <f>K1078</f>
        <v>0.008536577389242782</v>
      </c>
      <c r="S1067" s="15">
        <f>L1078</f>
        <v>0.00790202570190833</v>
      </c>
      <c r="T1067" s="15">
        <f>M1078</f>
        <v>0.0002824778901906244</v>
      </c>
    </row>
    <row r="1068" spans="1:20">
      <c r="A1068" s="14">
        <v>45999</v>
      </c>
      <c r="B1068" s="10">
        <v>1604.103393554688</v>
      </c>
      <c r="C1068" s="10">
        <v>502.3246154785156</v>
      </c>
      <c r="D1068" s="10">
        <v>1721.099975585938</v>
      </c>
      <c r="E1068" s="10">
        <v>25960.55078125</v>
      </c>
      <c r="F1068" s="10">
        <v>861.6500244140625</v>
      </c>
      <c r="I1068" s="15">
        <f>LN(B1068/B1067)</f>
        <v>-0.02919690183732945</v>
      </c>
      <c r="J1068" s="15">
        <f>LN(C1068/C1067)</f>
        <v>-0.04498306755838096</v>
      </c>
      <c r="K1068" s="15">
        <f>LN(D1068/D1067)</f>
        <v>-0.00232139855665472</v>
      </c>
      <c r="L1068" s="15">
        <f>LN(E1068/E1067)</f>
        <v>-0.008663963433110109</v>
      </c>
      <c r="M1068" s="15">
        <f>LN(F1068/F1067)</f>
        <v>-0.03590538316800875</v>
      </c>
      <c r="O1068" s="14">
        <v>46014</v>
      </c>
      <c r="P1068" s="15">
        <f>I1079</f>
        <v>-0.00018046438789884873</v>
      </c>
      <c r="Q1068" s="15">
        <f>J1079</f>
        <v>-0.005448606654360184</v>
      </c>
      <c r="R1068" s="15">
        <f>K1079</f>
        <v>-0.0024936184415366037</v>
      </c>
      <c r="S1068" s="15">
        <f>L1079</f>
        <v>0.00018147242687454733</v>
      </c>
      <c r="T1068" s="15">
        <f>M1079</f>
        <v>-0.0016960654886610824</v>
      </c>
    </row>
    <row r="1069" spans="1:20">
      <c r="A1069" s="14">
        <v>46000</v>
      </c>
      <c r="B1069" s="10">
        <v>1622.037475585938</v>
      </c>
      <c r="C1069" s="10">
        <v>503.8221435546875</v>
      </c>
      <c r="D1069" s="10">
        <v>1739.199951171875</v>
      </c>
      <c r="E1069" s="10">
        <v>25839.650390625</v>
      </c>
      <c r="F1069" s="10">
        <v>869.8499755859375</v>
      </c>
      <c r="I1069" s="15">
        <f>LN(B1069/B1068)</f>
        <v>0.011118092790912037</v>
      </c>
      <c r="J1069" s="15">
        <f>LN(C1069/C1068)</f>
        <v>0.0029767609318217592</v>
      </c>
      <c r="K1069" s="15">
        <f>LN(D1069/D1068)</f>
        <v>0.010461602201111163</v>
      </c>
      <c r="L1069" s="15">
        <f>LN(E1069/E1068)</f>
        <v>-0.004667959097577137</v>
      </c>
      <c r="M1069" s="15">
        <f>LN(F1069/F1068)</f>
        <v>0.009471570861910368</v>
      </c>
      <c r="O1069" s="14">
        <v>46015</v>
      </c>
      <c r="P1069" s="15">
        <f>I1080</f>
        <v>0.005937243785540009</v>
      </c>
      <c r="Q1069" s="15">
        <f>J1080</f>
        <v>0.015199573633176935</v>
      </c>
      <c r="R1069" s="15">
        <f>K1080</f>
        <v>0.00595272056746894</v>
      </c>
      <c r="S1069" s="15">
        <f>L1080</f>
        <v>-0.0013398810760412456</v>
      </c>
      <c r="T1069" s="15">
        <f>M1080</f>
        <v>0.0016960654886610297</v>
      </c>
    </row>
    <row r="1070" spans="1:20">
      <c r="A1070" s="14">
        <v>46001</v>
      </c>
      <c r="B1070" s="10">
        <v>1620.443359375</v>
      </c>
      <c r="C1070" s="10">
        <v>508.065185546875</v>
      </c>
      <c r="D1070" s="10">
        <v>1737.800048828125</v>
      </c>
      <c r="E1070" s="10">
        <v>25758</v>
      </c>
      <c r="F1070" s="10">
        <v>866.7000122070312</v>
      </c>
      <c r="I1070" s="15">
        <f>LN(B1070/B1069)</f>
        <v>-0.0009832695522419682</v>
      </c>
      <c r="J1070" s="15">
        <f>LN(C1070/C1069)</f>
        <v>0.008386441333415233</v>
      </c>
      <c r="K1070" s="15">
        <f>LN(D1070/D1069)</f>
        <v>-0.0008052357891239386</v>
      </c>
      <c r="L1070" s="15">
        <f>LN(E1070/E1069)</f>
        <v>-0.003164890577820058</v>
      </c>
      <c r="M1070" s="15">
        <f>LN(F1070/F1069)</f>
        <v>-0.0036278446987854786</v>
      </c>
      <c r="O1070" s="14">
        <v>46017</v>
      </c>
      <c r="P1070" s="15">
        <f>I1081</f>
        <v>0.004891197468633231</v>
      </c>
      <c r="Q1070" s="15">
        <f>J1081</f>
        <v>-0.021669109256539167</v>
      </c>
      <c r="R1070" s="15">
        <f>K1081</f>
        <v>-0.0016199582140053034</v>
      </c>
      <c r="S1070" s="15">
        <f>L1081</f>
        <v>-0.0038248575837020187</v>
      </c>
      <c r="T1070" s="15">
        <f>M1081</f>
        <v>-0.002262060507372553</v>
      </c>
    </row>
    <row r="1071" spans="1:20">
      <c r="A1071" s="14">
        <v>46002</v>
      </c>
      <c r="B1071" s="10">
        <v>1626.819946289062</v>
      </c>
      <c r="C1071" s="10">
        <v>504.0717468261719</v>
      </c>
      <c r="D1071" s="10">
        <v>1743.800048828125</v>
      </c>
      <c r="E1071" s="10">
        <v>25898.55078125</v>
      </c>
      <c r="F1071" s="10">
        <v>873.2000122070312</v>
      </c>
      <c r="I1071" s="15">
        <f>LN(B1071/B1070)</f>
        <v>0.003927365606037758</v>
      </c>
      <c r="J1071" s="15">
        <f>LN(C1071/C1070)</f>
        <v>-0.007891144598373577</v>
      </c>
      <c r="K1071" s="15">
        <f>LN(D1071/D1070)</f>
        <v>0.0034466944919317667</v>
      </c>
      <c r="L1071" s="15">
        <f>LN(E1071/E1070)</f>
        <v>0.005441754277616313</v>
      </c>
      <c r="M1071" s="15">
        <f>LN(F1071/F1070)</f>
        <v>0.007471728430646221</v>
      </c>
      <c r="O1071" s="14">
        <v>46020</v>
      </c>
      <c r="P1071" s="15">
        <f>I1082</f>
        <v>-0.006027950222733936</v>
      </c>
      <c r="Q1071" s="15">
        <f>J1082</f>
        <v>-0.03494975961037772</v>
      </c>
      <c r="R1071" s="15">
        <f>K1082</f>
        <v>0.0007563202707051158</v>
      </c>
      <c r="S1071" s="15">
        <f>L1082</f>
        <v>-0.0038550524856079535</v>
      </c>
      <c r="T1071" s="15">
        <f>M1082</f>
        <v>-0.006760058786113636</v>
      </c>
    </row>
    <row r="1072" spans="1:20">
      <c r="A1072" s="14">
        <v>46003</v>
      </c>
      <c r="B1072" s="10">
        <v>1653.721069335938</v>
      </c>
      <c r="C1072" s="10">
        <v>549.5470581054688</v>
      </c>
      <c r="D1072" s="10">
        <v>1770.900024414062</v>
      </c>
      <c r="E1072" s="10">
        <v>26046.94921875</v>
      </c>
      <c r="F1072" s="10">
        <v>886.5499877929688</v>
      </c>
      <c r="I1072" s="15">
        <f>LN(B1072/B1071)</f>
        <v>0.016400786283539817</v>
      </c>
      <c r="J1072" s="15">
        <f>LN(C1072/C1071)</f>
        <v>0.08637579546776053</v>
      </c>
      <c r="K1072" s="15">
        <f>LN(D1072/D1071)</f>
        <v>0.015421237706295433</v>
      </c>
      <c r="L1072" s="15">
        <f>LN(E1072/E1071)</f>
        <v>0.0057136360690816825</v>
      </c>
      <c r="M1072" s="15">
        <f>LN(F1072/F1071)</f>
        <v>0.01517287307841749</v>
      </c>
      <c r="O1072" s="14">
        <v>46021</v>
      </c>
      <c r="P1072" s="15">
        <f>I1083</f>
        <v>-0.014653416441572972</v>
      </c>
      <c r="Q1072" s="15">
        <f>J1083</f>
        <v>0.016112955125254</v>
      </c>
      <c r="R1072" s="15">
        <f>K1083</f>
        <v>-0.00010804841014370571</v>
      </c>
      <c r="S1072" s="15">
        <f>L1083</f>
        <v>-0.00012528683662081574</v>
      </c>
      <c r="T1072" s="15">
        <f>M1083</f>
        <v>-0.008471744330396075</v>
      </c>
    </row>
    <row r="1073" spans="1:20">
      <c r="A1073" s="14">
        <v>46006</v>
      </c>
      <c r="B1073" s="10">
        <v>1649.83544921875</v>
      </c>
      <c r="C1073" s="10">
        <v>549.6468505859375</v>
      </c>
      <c r="D1073" s="10">
        <v>1789.400024414062</v>
      </c>
      <c r="E1073" s="10">
        <v>26027.30078125</v>
      </c>
      <c r="F1073" s="10">
        <v>886.1500244140625</v>
      </c>
      <c r="I1073" s="15">
        <f>LN(B1073/B1072)</f>
        <v>-0.002352387124114809</v>
      </c>
      <c r="J1073" s="15">
        <f>LN(C1073/C1072)</f>
        <v>0.00018157393332316317</v>
      </c>
      <c r="K1073" s="15">
        <f>LN(D1073/D1072)</f>
        <v>0.010392476056210893</v>
      </c>
      <c r="L1073" s="15">
        <f>LN(E1073/E1072)</f>
        <v>-0.0007546316435640039</v>
      </c>
      <c r="M1073" s="15">
        <f>LN(F1073/F1072)</f>
        <v>-0.00045124768199802484</v>
      </c>
      <c r="O1073" s="14">
        <v>46022</v>
      </c>
      <c r="P1073" s="15">
        <f>I1084</f>
        <v>0.01471326232085005</v>
      </c>
      <c r="Q1073" s="15">
        <f>J1084</f>
        <v>0.005496491521151157</v>
      </c>
      <c r="R1073" s="15">
        <f>K1084</f>
        <v>0.0010256266190584963</v>
      </c>
      <c r="S1073" s="15">
        <f>L1084</f>
        <v>0.007326926621050068</v>
      </c>
      <c r="T1073" s="15">
        <f>M1084</f>
        <v>0.00932637218011463</v>
      </c>
    </row>
    <row r="1074" spans="1:20">
      <c r="A1074" s="14">
        <v>46007</v>
      </c>
      <c r="B1074" s="10">
        <v>1620.841796875</v>
      </c>
      <c r="C1074" s="10">
        <v>538.3654174804688</v>
      </c>
      <c r="D1074" s="10">
        <v>1781</v>
      </c>
      <c r="E1074" s="10">
        <v>25860.099609375</v>
      </c>
      <c r="F1074" s="10">
        <v>874.75</v>
      </c>
      <c r="I1074" s="15">
        <f>LN(B1074/B1073)</f>
        <v>-0.017729913207947954</v>
      </c>
      <c r="J1074" s="15">
        <f>LN(C1074/C1073)</f>
        <v>-0.02073843790717851</v>
      </c>
      <c r="K1074" s="15">
        <f>LN(D1074/D1073)</f>
        <v>-0.004705377467548185</v>
      </c>
      <c r="L1074" s="15">
        <f>LN(E1074/E1073)</f>
        <v>-0.006444791966669916</v>
      </c>
      <c r="M1074" s="15">
        <f>LN(F1074/F1073)</f>
        <v>-0.012948132804061797</v>
      </c>
      <c r="O1074" s="14">
        <v>46027</v>
      </c>
      <c r="P1074" s="15">
        <f>I1087</f>
        <v>0.005763565518326385</v>
      </c>
      <c r="Q1074" s="15">
        <f>J1087</f>
        <v>0.006825331323500325</v>
      </c>
      <c r="R1074" s="15">
        <f>K1087</f>
        <v>0.011024420259004063</v>
      </c>
      <c r="S1074" s="15">
        <f>L1087</f>
        <v>-0.002976484097528138</v>
      </c>
      <c r="T1074" s="15">
        <f>M1087</f>
        <v>0.02048308204560669</v>
      </c>
    </row>
    <row r="1075" spans="1:20">
      <c r="A1075" s="14">
        <v>46008</v>
      </c>
      <c r="B1075" s="10">
        <v>1604.003784179688</v>
      </c>
      <c r="C1075" s="10">
        <v>524.5880737304688</v>
      </c>
      <c r="D1075" s="10">
        <v>1781.5</v>
      </c>
      <c r="E1075" s="10">
        <v>25818.55078125</v>
      </c>
      <c r="F1075" s="10">
        <v>867.4000244140625</v>
      </c>
      <c r="I1075" s="15">
        <f>LN(B1075/B1074)</f>
        <v>-0.010442773329378024</v>
      </c>
      <c r="J1075" s="15">
        <f>LN(C1075/C1074)</f>
        <v>-0.025924211098301276</v>
      </c>
      <c r="K1075" s="15">
        <f>LN(D1075/D1074)</f>
        <v>0.000280701756229185</v>
      </c>
      <c r="L1075" s="15">
        <f>LN(E1075/E1074)</f>
        <v>-0.0016079691231565723</v>
      </c>
      <c r="M1075" s="15">
        <f>LN(F1075/F1074)</f>
        <v>-0.008437871700275863</v>
      </c>
      <c r="O1075" s="14">
        <v>46028</v>
      </c>
      <c r="P1075" s="15">
        <f>I1088</f>
        <v>-0.00790469835007093</v>
      </c>
      <c r="Q1075" s="15">
        <f>J1088</f>
        <v>-0.004858225609377376</v>
      </c>
      <c r="R1075" s="15">
        <f>K1088</f>
        <v>0.013573376141891795</v>
      </c>
      <c r="S1075" s="15">
        <f>L1088</f>
        <v>-0.0027313741255683985</v>
      </c>
      <c r="T1075" s="15">
        <f>M1088</f>
        <v>-0.003330205155665819</v>
      </c>
    </row>
    <row r="1076" spans="1:20">
      <c r="A1076" s="14">
        <v>46009</v>
      </c>
      <c r="B1076" s="10">
        <v>1652.126708984375</v>
      </c>
      <c r="C1076" s="10">
        <v>530.7279052734375</v>
      </c>
      <c r="D1076" s="10">
        <v>1798</v>
      </c>
      <c r="E1076" s="10">
        <v>25815.55078125</v>
      </c>
      <c r="F1076" s="10">
        <v>870.3499755859375</v>
      </c>
      <c r="I1076" s="15">
        <f>LN(B1076/B1075)</f>
        <v>0.029560503855393678</v>
      </c>
      <c r="J1076" s="15">
        <f>LN(C1076/C1075)</f>
        <v>0.01163613731351978</v>
      </c>
      <c r="K1076" s="15">
        <f>LN(D1076/D1075)</f>
        <v>0.009219229985674858</v>
      </c>
      <c r="L1076" s="15">
        <f>LN(E1076/E1075)</f>
        <v>-0.00011620227379163036</v>
      </c>
      <c r="M1076" s="15">
        <f>LN(F1076/F1075)</f>
        <v>0.0033951420003402637</v>
      </c>
      <c r="O1076" s="14">
        <v>46029</v>
      </c>
      <c r="P1076" s="15">
        <f>I1089</f>
        <v>-0.010247532121419354</v>
      </c>
      <c r="Q1076" s="15">
        <f>J1089</f>
        <v>0.01079246530549497</v>
      </c>
      <c r="R1076" s="15">
        <f>K1089</f>
        <v>-0.004212300465187513</v>
      </c>
      <c r="S1076" s="15">
        <f>L1089</f>
        <v>-0.0014506737349826563</v>
      </c>
      <c r="T1076" s="15">
        <f>M1089</f>
        <v>-0.004988621901003567</v>
      </c>
    </row>
    <row r="1077" spans="1:20">
      <c r="A1077" s="14">
        <v>46010</v>
      </c>
      <c r="B1077" s="10">
        <v>1669.164184570312</v>
      </c>
      <c r="C1077" s="10">
        <v>550.6951293945312</v>
      </c>
      <c r="D1077" s="10">
        <v>1831.300048828125</v>
      </c>
      <c r="E1077" s="10">
        <v>25966.400390625</v>
      </c>
      <c r="F1077" s="10">
        <v>884.9000244140625</v>
      </c>
      <c r="I1077" s="15">
        <f>LN(B1077/B1076)</f>
        <v>0.010259640350146943</v>
      </c>
      <c r="J1077" s="15">
        <f>LN(C1077/C1076)</f>
        <v>0.03693188137667292</v>
      </c>
      <c r="K1077" s="15">
        <f>LN(D1077/D1076)</f>
        <v>0.018351187778431546</v>
      </c>
      <c r="L1077" s="15">
        <f>LN(E1077/E1076)</f>
        <v>0.005826355812965194</v>
      </c>
      <c r="M1077" s="15">
        <f>LN(F1077/F1076)</f>
        <v>0.01657927031507101</v>
      </c>
      <c r="O1077" s="14">
        <v>46030</v>
      </c>
      <c r="P1077" s="15">
        <f>I1090</f>
        <v>0.00775358998369753</v>
      </c>
      <c r="Q1077" s="15">
        <f>J1090</f>
        <v>-0.03518186773785285</v>
      </c>
      <c r="R1077" s="15">
        <f>K1090</f>
        <v>-0.020490615067560947</v>
      </c>
      <c r="S1077" s="15">
        <f>L1090</f>
        <v>-0.010146667926064248</v>
      </c>
      <c r="T1077" s="15">
        <f>M1090</f>
        <v>-0.01723940357950756</v>
      </c>
    </row>
    <row r="1078" spans="1:20">
      <c r="A1078" s="14">
        <v>46013</v>
      </c>
      <c r="B1078" s="10">
        <v>1656.710083007812</v>
      </c>
      <c r="C1078" s="10">
        <v>560.3792114257812</v>
      </c>
      <c r="D1078" s="10">
        <v>1847</v>
      </c>
      <c r="E1078" s="10">
        <v>26172.400390625</v>
      </c>
      <c r="F1078" s="10">
        <v>885.1500244140625</v>
      </c>
      <c r="I1078" s="15">
        <f>LN(B1078/B1077)</f>
        <v>-0.007489254717351018</v>
      </c>
      <c r="J1078" s="15">
        <f>LN(C1078/C1077)</f>
        <v>0.01743236597841656</v>
      </c>
      <c r="K1078" s="15">
        <f>LN(D1078/D1077)</f>
        <v>0.008536577389242782</v>
      </c>
      <c r="L1078" s="15">
        <f>LN(E1078/E1077)</f>
        <v>0.00790202570190833</v>
      </c>
      <c r="M1078" s="15">
        <f>LN(F1078/F1077)</f>
        <v>0.0002824778901906244</v>
      </c>
      <c r="O1078" s="14">
        <v>46031</v>
      </c>
      <c r="P1078" s="15">
        <f>I1091</f>
        <v>-0.020593873897626618</v>
      </c>
      <c r="Q1078" s="15">
        <f>J1091</f>
        <v>-0.03564810447320831</v>
      </c>
      <c r="R1078" s="15">
        <f>K1091</f>
        <v>0.0005252928763164418</v>
      </c>
      <c r="S1078" s="15">
        <f>L1091</f>
        <v>-0.007507725861466694</v>
      </c>
      <c r="T1078" s="15">
        <f>M1091</f>
        <v>-0.022905002483591636</v>
      </c>
    </row>
    <row r="1079" spans="1:20">
      <c r="A1079" s="14">
        <v>46014</v>
      </c>
      <c r="B1079" s="10">
        <v>1656.4111328125</v>
      </c>
      <c r="C1079" s="10">
        <v>557.334228515625</v>
      </c>
      <c r="D1079" s="10">
        <v>1842.400024414062</v>
      </c>
      <c r="E1079" s="10">
        <v>26177.150390625</v>
      </c>
      <c r="F1079" s="10">
        <v>883.6500244140625</v>
      </c>
      <c r="I1079" s="15">
        <f>LN(B1079/B1078)</f>
        <v>-0.00018046438789884873</v>
      </c>
      <c r="J1079" s="15">
        <f>LN(C1079/C1078)</f>
        <v>-0.005448606654360184</v>
      </c>
      <c r="K1079" s="15">
        <f>LN(D1079/D1078)</f>
        <v>-0.0024936184415366037</v>
      </c>
      <c r="L1079" s="15">
        <f>LN(E1079/E1078)</f>
        <v>0.00018147242687454733</v>
      </c>
      <c r="M1079" s="15">
        <f>LN(F1079/F1078)</f>
        <v>-0.0016960654886610824</v>
      </c>
      <c r="O1079" s="14">
        <v>46034</v>
      </c>
      <c r="P1079" s="15">
        <f>I1092</f>
        <v>-0.01752178762881336</v>
      </c>
      <c r="Q1079" s="15">
        <f>J1092</f>
        <v>0.030997177837331337</v>
      </c>
      <c r="R1079" s="15">
        <f>K1092</f>
        <v>-0.010081090287464387</v>
      </c>
      <c r="S1079" s="15">
        <f>L1092</f>
        <v>0.00415550786875295</v>
      </c>
      <c r="T1079" s="15">
        <f>M1092</f>
        <v>-0.012318134554022994</v>
      </c>
    </row>
    <row r="1080" spans="1:20">
      <c r="A1080" s="14">
        <v>46015</v>
      </c>
      <c r="B1080" s="10">
        <v>1666.27490234375</v>
      </c>
      <c r="C1080" s="10">
        <v>565.8701782226562</v>
      </c>
      <c r="D1080" s="10">
        <v>1853.400024414062</v>
      </c>
      <c r="E1080" s="10">
        <v>26142.099609375</v>
      </c>
      <c r="F1080" s="10">
        <v>885.1500244140625</v>
      </c>
      <c r="I1080" s="15">
        <f>LN(B1080/B1079)</f>
        <v>0.005937243785540009</v>
      </c>
      <c r="J1080" s="15">
        <f>LN(C1080/C1079)</f>
        <v>0.015199573633176935</v>
      </c>
      <c r="K1080" s="15">
        <f>LN(D1080/D1079)</f>
        <v>0.00595272056746894</v>
      </c>
      <c r="L1080" s="15">
        <f>LN(E1080/E1079)</f>
        <v>-0.0013398810760412456</v>
      </c>
      <c r="M1080" s="15">
        <f>LN(F1080/F1079)</f>
        <v>0.0016960654886610297</v>
      </c>
      <c r="O1080" s="14">
        <v>46035</v>
      </c>
      <c r="P1080" s="15">
        <f>I1093</f>
        <v>-0.0003016865453865403</v>
      </c>
      <c r="Q1080" s="15">
        <f>J1093</f>
        <v>-0.003348070910852846</v>
      </c>
      <c r="R1080" s="15">
        <f>K1093</f>
        <v>0.005079631945619446</v>
      </c>
      <c r="S1080" s="15">
        <f>L1093</f>
        <v>-0.002249471049361169</v>
      </c>
      <c r="T1080" s="15">
        <f>M1093</f>
        <v>-0.006216404141744298</v>
      </c>
    </row>
    <row r="1081" spans="1:20">
      <c r="A1081" s="14">
        <v>46017</v>
      </c>
      <c r="B1081" s="10">
        <v>1674.444946289062</v>
      </c>
      <c r="C1081" s="10">
        <v>553.7401733398438</v>
      </c>
      <c r="D1081" s="10">
        <v>1850.400024414062</v>
      </c>
      <c r="E1081" s="10">
        <v>26042.30078125</v>
      </c>
      <c r="F1081" s="10">
        <v>883.1500244140625</v>
      </c>
      <c r="I1081" s="15">
        <f>LN(B1081/B1080)</f>
        <v>0.004891197468633231</v>
      </c>
      <c r="J1081" s="15">
        <f>LN(C1081/C1080)</f>
        <v>-0.021669109256539167</v>
      </c>
      <c r="K1081" s="15">
        <f>LN(D1081/D1080)</f>
        <v>-0.0016199582140053034</v>
      </c>
      <c r="L1081" s="15">
        <f>LN(E1081/E1080)</f>
        <v>-0.0038248575837020187</v>
      </c>
      <c r="M1081" s="15">
        <f>LN(F1081/F1080)</f>
        <v>-0.002262060507372553</v>
      </c>
      <c r="O1081" s="14">
        <v>46036</v>
      </c>
      <c r="P1081" s="15">
        <f>I1094</f>
        <v>-0.005263864143794013</v>
      </c>
      <c r="Q1081" s="15">
        <f>J1094</f>
        <v>-0.026017276184277172</v>
      </c>
      <c r="R1081" s="15">
        <f>K1094</f>
        <v>-0.013978026172634276</v>
      </c>
      <c r="S1081" s="15">
        <f>L1094</f>
        <v>-0.002595483815978393</v>
      </c>
      <c r="T1081" s="15">
        <f>M1094</f>
        <v>-0.009250680036398921</v>
      </c>
    </row>
    <row r="1082" spans="1:20">
      <c r="A1082" s="14">
        <v>46020</v>
      </c>
      <c r="B1082" s="10">
        <v>1664.3818359375</v>
      </c>
      <c r="C1082" s="10">
        <v>534.7213745117188</v>
      </c>
      <c r="D1082" s="10">
        <v>1851.800048828125</v>
      </c>
      <c r="E1082" s="10">
        <v>25942.099609375</v>
      </c>
      <c r="F1082" s="10">
        <v>877.2000122070312</v>
      </c>
      <c r="I1082" s="15">
        <f>LN(B1082/B1081)</f>
        <v>-0.006027950222733936</v>
      </c>
      <c r="J1082" s="15">
        <f>LN(C1082/C1081)</f>
        <v>-0.03494975961037772</v>
      </c>
      <c r="K1082" s="15">
        <f>LN(D1082/D1081)</f>
        <v>0.0007563202707051158</v>
      </c>
      <c r="L1082" s="15">
        <f>LN(E1082/E1081)</f>
        <v>-0.0038550524856079535</v>
      </c>
      <c r="M1082" s="15">
        <f>LN(F1082/F1081)</f>
        <v>-0.006760058786113636</v>
      </c>
      <c r="O1082" s="14">
        <v>46038</v>
      </c>
      <c r="P1082" s="15">
        <f>I1095</f>
        <v>0.009719645560907656</v>
      </c>
      <c r="Q1082" s="15">
        <f>J1095</f>
        <v>-0.0008155825121911652</v>
      </c>
      <c r="R1082" s="15">
        <f>K1095</f>
        <v>-0.005043753973337405</v>
      </c>
      <c r="S1082" s="15">
        <f>L1095</f>
        <v>0.0011195495104741853</v>
      </c>
      <c r="T1082" s="15">
        <f>M1095</f>
        <v>0.0034643905683098336</v>
      </c>
    </row>
    <row r="1083" spans="1:20">
      <c r="A1083" s="14">
        <v>46021</v>
      </c>
      <c r="B1083" s="10">
        <v>1640.170776367188</v>
      </c>
      <c r="C1083" s="10">
        <v>543.4071044921875</v>
      </c>
      <c r="D1083" s="10">
        <v>1851.599975585938</v>
      </c>
      <c r="E1083" s="10">
        <v>25938.849609375</v>
      </c>
      <c r="F1083" s="10">
        <v>869.7999877929688</v>
      </c>
      <c r="I1083" s="15">
        <f>LN(B1083/B1082)</f>
        <v>-0.014653416441572972</v>
      </c>
      <c r="J1083" s="15">
        <f>LN(C1083/C1082)</f>
        <v>0.016112955125254</v>
      </c>
      <c r="K1083" s="15">
        <f>LN(D1083/D1082)</f>
        <v>-0.00010804841014370571</v>
      </c>
      <c r="L1083" s="15">
        <f>LN(E1083/E1082)</f>
        <v>-0.00012528683662081574</v>
      </c>
      <c r="M1083" s="15">
        <f>LN(F1083/F1082)</f>
        <v>-0.008471744330396075</v>
      </c>
      <c r="O1083" s="14">
        <v>46041</v>
      </c>
      <c r="P1083" s="15">
        <f>I1096</f>
        <v>-0.005784254925427219</v>
      </c>
      <c r="Q1083" s="15">
        <f>J1096</f>
        <v>-0.0170053195725736</v>
      </c>
      <c r="R1083" s="15">
        <f>K1096</f>
        <v>-0.0097298064883662</v>
      </c>
      <c r="S1083" s="15">
        <f>L1096</f>
        <v>-0.004245323404225256</v>
      </c>
      <c r="T1083" s="15">
        <f>M1096</f>
        <v>-0.020130934406977486</v>
      </c>
    </row>
    <row r="1084" spans="1:20">
      <c r="A1084" s="14">
        <v>46022</v>
      </c>
      <c r="B1084" s="10">
        <v>1664.4814453125</v>
      </c>
      <c r="C1084" s="10">
        <v>546.4021606445312</v>
      </c>
      <c r="D1084" s="10">
        <v>1853.5</v>
      </c>
      <c r="E1084" s="10">
        <v>26129.599609375</v>
      </c>
      <c r="F1084" s="10">
        <v>877.9500122070312</v>
      </c>
      <c r="I1084" s="15">
        <f>LN(B1084/B1083)</f>
        <v>0.01471326232085005</v>
      </c>
      <c r="J1084" s="15">
        <f>LN(C1084/C1083)</f>
        <v>0.005496491521151157</v>
      </c>
      <c r="K1084" s="15">
        <f>LN(D1084/D1083)</f>
        <v>0.0010256266190584963</v>
      </c>
      <c r="L1084" s="15">
        <f>LN(E1084/E1083)</f>
        <v>0.007326926621050068</v>
      </c>
      <c r="M1084" s="15">
        <f>LN(F1084/F1083)</f>
        <v>0.00932637218011463</v>
      </c>
      <c r="O1084" s="14">
        <v>46042</v>
      </c>
      <c r="P1084" s="15">
        <f>I1097</f>
        <v>-0.08253330307533185</v>
      </c>
      <c r="Q1084" s="15">
        <f>J1097</f>
        <v>-0.04536590393414245</v>
      </c>
      <c r="R1084" s="15">
        <f>K1097</f>
        <v>-0.032123712772229515</v>
      </c>
      <c r="S1084" s="15">
        <f>L1097</f>
        <v>-0.013892938636022806</v>
      </c>
      <c r="T1084" s="15">
        <f>M1097</f>
        <v>-0.05167107360157183</v>
      </c>
    </row>
    <row r="1085" spans="1:20">
      <c r="A1085" s="14">
        <v>46023</v>
      </c>
      <c r="B1085" s="10">
        <v>1689.68896484375</v>
      </c>
      <c r="C1085" s="10">
        <v>551.5936279296875</v>
      </c>
      <c r="D1085" s="10">
        <v>1872.699951171875</v>
      </c>
      <c r="E1085" s="10">
        <v>26146.55078125</v>
      </c>
      <c r="I1085" s="15">
        <f>LN(B1085/B1084)</f>
        <v>0.015030836858750523</v>
      </c>
      <c r="J1085" s="15">
        <f>LN(C1085/C1084)</f>
        <v>0.009456331299551122</v>
      </c>
      <c r="K1085" s="15">
        <f>LN(D1085/D1084)</f>
        <v>0.01030547010202497</v>
      </c>
      <c r="L1085" s="15">
        <f>LN(E1085/E1084)</f>
        <v>0.0006485241297397655</v>
      </c>
      <c r="O1085" s="14">
        <v>46043</v>
      </c>
      <c r="P1085" s="15">
        <f>I1098</f>
        <v>-0.014010408648544151</v>
      </c>
      <c r="Q1085" s="15">
        <f>J1098</f>
        <v>0.006348064339631165</v>
      </c>
      <c r="R1085" s="15">
        <f>K1098</f>
        <v>-0.020456923981001476</v>
      </c>
      <c r="S1085" s="15">
        <f>L1098</f>
        <v>-0.0029767833055262707</v>
      </c>
      <c r="T1085" s="15">
        <f>M1098</f>
        <v>-0.007078826902528368</v>
      </c>
    </row>
    <row r="1086" spans="1:20">
      <c r="A1086" s="14">
        <v>46024</v>
      </c>
      <c r="B1086" s="10">
        <v>1723.6640625</v>
      </c>
      <c r="C1086" s="10">
        <v>583.0919189453125</v>
      </c>
      <c r="D1086" s="10">
        <v>1903.400024414062</v>
      </c>
      <c r="E1086" s="10">
        <v>26328.55078125</v>
      </c>
      <c r="F1086" s="10">
        <v>898.7999877929688</v>
      </c>
      <c r="I1086" s="15">
        <f>LN(B1086/B1085)</f>
        <v>0.019907826389640306</v>
      </c>
      <c r="J1086" s="15">
        <f>LN(C1086/C1085)</f>
        <v>0.0555332454761714</v>
      </c>
      <c r="K1086" s="15">
        <f>LN(D1086/D1085)</f>
        <v>0.016260559771984675</v>
      </c>
      <c r="L1086" s="15">
        <f>LN(E1086/E1085)</f>
        <v>0.00693665088228735</v>
      </c>
      <c r="O1086" s="14">
        <v>46044</v>
      </c>
      <c r="P1086" s="15">
        <f>I1099</f>
        <v>-0.015019750142480975</v>
      </c>
      <c r="Q1086" s="15">
        <f>J1099</f>
        <v>0.03059146348134295</v>
      </c>
      <c r="R1086" s="15">
        <f>K1099</f>
        <v>0.012233786877262958</v>
      </c>
      <c r="S1086" s="15">
        <f>L1099</f>
        <v>0.005249059162526262</v>
      </c>
      <c r="T1086" s="15">
        <f>M1099</f>
        <v>-0.007384790166293151</v>
      </c>
    </row>
    <row r="1087" spans="1:20">
      <c r="A1087" s="14">
        <v>46027</v>
      </c>
      <c r="B1087" s="10">
        <v>1733.627197265625</v>
      </c>
      <c r="C1087" s="10">
        <v>587.0853271484375</v>
      </c>
      <c r="D1087" s="10">
        <v>1924.5</v>
      </c>
      <c r="E1087" s="10">
        <v>26250.30078125</v>
      </c>
      <c r="F1087" s="10">
        <v>917.4000244140624</v>
      </c>
      <c r="I1087" s="15">
        <f>LN(B1087/B1086)</f>
        <v>0.005763565518326385</v>
      </c>
      <c r="J1087" s="15">
        <f>LN(C1087/C1086)</f>
        <v>0.006825331323500325</v>
      </c>
      <c r="K1087" s="15">
        <f>LN(D1087/D1086)</f>
        <v>0.011024420259004063</v>
      </c>
      <c r="L1087" s="15">
        <f>LN(E1087/E1086)</f>
        <v>-0.002976484097528138</v>
      </c>
      <c r="M1087" s="15">
        <f>LN(F1087/F1086)</f>
        <v>0.02048308204560669</v>
      </c>
      <c r="O1087" s="14">
        <v>46045</v>
      </c>
      <c r="P1087" s="15">
        <f>I1100</f>
        <v>-0.016575458037052994</v>
      </c>
      <c r="Q1087" s="15">
        <f>J1100</f>
        <v>-0.06989659048360168</v>
      </c>
      <c r="R1087" s="15">
        <f>K1100</f>
        <v>-0.02386581452706267</v>
      </c>
      <c r="S1087" s="15">
        <f>L1100</f>
        <v>-0.009585172530157553</v>
      </c>
      <c r="T1087" s="15">
        <f>M1100</f>
        <v>-0.033989722684890096</v>
      </c>
    </row>
    <row r="1088" spans="1:20">
      <c r="A1088" s="14">
        <v>46028</v>
      </c>
      <c r="B1088" s="10">
        <v>1719.977416992188</v>
      </c>
      <c r="C1088" s="10">
        <v>584.2400512695312</v>
      </c>
      <c r="D1088" s="10">
        <v>1950.800048828125</v>
      </c>
      <c r="E1088" s="10">
        <v>26178.69921875</v>
      </c>
      <c r="F1088" s="10">
        <v>914.3499755859376</v>
      </c>
      <c r="I1088" s="15">
        <f>LN(B1088/B1087)</f>
        <v>-0.00790469835007093</v>
      </c>
      <c r="J1088" s="15">
        <f>LN(C1088/C1087)</f>
        <v>-0.004858225609377376</v>
      </c>
      <c r="K1088" s="15">
        <f>LN(D1088/D1087)</f>
        <v>0.013573376141891795</v>
      </c>
      <c r="L1088" s="15">
        <f>LN(E1088/E1087)</f>
        <v>-0.0027313741255683985</v>
      </c>
      <c r="M1088" s="15">
        <f>LN(F1088/F1087)</f>
        <v>-0.003330205155665819</v>
      </c>
      <c r="O1088" s="14">
        <v>46049</v>
      </c>
      <c r="P1088" s="15">
        <f>I1101</f>
        <v>0.009378841776785435</v>
      </c>
      <c r="Q1088" s="15">
        <f>J1101</f>
        <v>-0.02269270225628406</v>
      </c>
      <c r="R1088" s="15">
        <f>K1101</f>
        <v>0.0010420568285117063</v>
      </c>
      <c r="S1088" s="15">
        <f>L1101</f>
        <v>0.0050473933153695125</v>
      </c>
      <c r="T1088" s="15">
        <f>M1101</f>
        <v>0.00402448021743055</v>
      </c>
    </row>
    <row r="1089" spans="1:20">
      <c r="A1089" s="14">
        <v>46029</v>
      </c>
      <c r="B1089" s="10">
        <v>1702.44189453125</v>
      </c>
      <c r="C1089" s="10">
        <v>590.57958984375</v>
      </c>
      <c r="D1089" s="10">
        <v>1942.599975585938</v>
      </c>
      <c r="E1089" s="10">
        <v>26140.75</v>
      </c>
      <c r="F1089" s="10">
        <v>909.7999877929688</v>
      </c>
      <c r="I1089" s="15">
        <f>LN(B1089/B1088)</f>
        <v>-0.010247532121419354</v>
      </c>
      <c r="J1089" s="15">
        <f>LN(C1089/C1088)</f>
        <v>0.01079246530549497</v>
      </c>
      <c r="K1089" s="15">
        <f>LN(D1089/D1088)</f>
        <v>-0.004212300465187513</v>
      </c>
      <c r="L1089" s="15">
        <f>LN(E1089/E1088)</f>
        <v>-0.0014506737349826563</v>
      </c>
      <c r="M1089" s="15">
        <f>LN(F1089/F1088)</f>
        <v>-0.004988621901003567</v>
      </c>
      <c r="O1089" s="14">
        <v>46050</v>
      </c>
      <c r="P1089" s="15">
        <f>I1102</f>
        <v>0.010573466918542126</v>
      </c>
      <c r="Q1089" s="15">
        <f>J1102</f>
        <v>-0.0010206712694481644</v>
      </c>
      <c r="R1089" s="15">
        <f>K1102</f>
        <v>-0.0012158621594836273</v>
      </c>
      <c r="S1089" s="15">
        <f>L1102</f>
        <v>0.006625350304204862</v>
      </c>
      <c r="T1089" s="15">
        <f>M1102</f>
        <v>0.015548707166537348</v>
      </c>
    </row>
    <row r="1090" spans="1:20">
      <c r="A1090" s="14">
        <v>46030</v>
      </c>
      <c r="B1090" s="10">
        <v>1715.693237304688</v>
      </c>
      <c r="C1090" s="10">
        <v>570.1631469726562</v>
      </c>
      <c r="D1090" s="10">
        <v>1903.199951171875</v>
      </c>
      <c r="E1090" s="10">
        <v>25876.849609375</v>
      </c>
      <c r="F1090" s="10">
        <v>894.25</v>
      </c>
      <c r="I1090" s="15">
        <f>LN(B1090/B1089)</f>
        <v>0.00775358998369753</v>
      </c>
      <c r="J1090" s="15">
        <f>LN(C1090/C1089)</f>
        <v>-0.03518186773785285</v>
      </c>
      <c r="K1090" s="15">
        <f>LN(D1090/D1089)</f>
        <v>-0.020490615067560947</v>
      </c>
      <c r="L1090" s="15">
        <f>LN(E1090/E1089)</f>
        <v>-0.010146667926064248</v>
      </c>
      <c r="M1090" s="15">
        <f>LN(F1090/F1089)</f>
        <v>-0.01723940357950756</v>
      </c>
      <c r="O1090" s="14">
        <v>46051</v>
      </c>
      <c r="P1090" s="15">
        <f>I1103</f>
        <v>0.012529069708794688</v>
      </c>
      <c r="Q1090" s="15">
        <f>J1103</f>
        <v>0.0</v>
      </c>
      <c r="R1090" s="15">
        <f>K1103</f>
        <v>-0.023029893060070847</v>
      </c>
      <c r="S1090" s="15">
        <f>L1103</f>
        <v>0.003000314101836464</v>
      </c>
      <c r="T1090" s="15">
        <f>M1103</f>
        <v>0.00671925547535547</v>
      </c>
    </row>
    <row r="1091" spans="1:20">
      <c r="A1091" s="14">
        <v>46031</v>
      </c>
      <c r="B1091" s="10">
        <v>1680.721801757812</v>
      </c>
      <c r="C1091" s="10">
        <v>550.1959228515625</v>
      </c>
      <c r="D1091" s="10">
        <v>1904.199951171875</v>
      </c>
      <c r="E1091" s="10">
        <v>25683.30078125</v>
      </c>
      <c r="F1091" s="10">
        <v>874</v>
      </c>
      <c r="I1091" s="15">
        <f>LN(B1091/B1090)</f>
        <v>-0.020593873897626618</v>
      </c>
      <c r="J1091" s="15">
        <f>LN(C1091/C1090)</f>
        <v>-0.03564810447320831</v>
      </c>
      <c r="K1091" s="15">
        <f>LN(D1091/D1090)</f>
        <v>0.0005252928763164418</v>
      </c>
      <c r="L1091" s="15">
        <f>LN(E1091/E1090)</f>
        <v>-0.007507725861466694</v>
      </c>
      <c r="M1091" s="15">
        <f>LN(F1091/F1090)</f>
        <v>-0.022905002483591636</v>
      </c>
      <c r="O1091" s="14">
        <v>46052</v>
      </c>
      <c r="P1091" s="15">
        <f>I1104</f>
        <v>-0.007350972533122988</v>
      </c>
      <c r="Q1091" s="15">
        <f>J1104</f>
        <v>0.029480497868247548</v>
      </c>
      <c r="R1091" s="15">
        <f>K1104</f>
        <v>-0.009649868401419579</v>
      </c>
      <c r="S1091" s="15">
        <f>L1104</f>
        <v>-0.003872723399525638</v>
      </c>
      <c r="T1091" s="15">
        <f>M1104</f>
        <v>0.008336053402061266</v>
      </c>
    </row>
    <row r="1092" spans="1:20">
      <c r="A1092" s="14">
        <v>46034</v>
      </c>
      <c r="B1092" s="10">
        <v>1651.529052734375</v>
      </c>
      <c r="C1092" s="10">
        <v>567.5175170898438</v>
      </c>
      <c r="D1092" s="10">
        <v>1885.099975585938</v>
      </c>
      <c r="E1092" s="10">
        <v>25790.25</v>
      </c>
      <c r="F1092" s="10">
        <v>863.2999877929688</v>
      </c>
      <c r="I1092" s="15">
        <f>LN(B1092/B1091)</f>
        <v>-0.01752178762881336</v>
      </c>
      <c r="J1092" s="15">
        <f>LN(C1092/C1091)</f>
        <v>0.030997177837331337</v>
      </c>
      <c r="K1092" s="15">
        <f>LN(D1092/D1091)</f>
        <v>-0.010081090287464387</v>
      </c>
      <c r="L1092" s="15">
        <f>LN(E1092/E1091)</f>
        <v>0.00415550786875295</v>
      </c>
      <c r="M1092" s="15">
        <f>LN(F1092/F1091)</f>
        <v>-0.012318134554022994</v>
      </c>
      <c r="O1092" s="14">
        <v>46055</v>
      </c>
      <c r="P1092" s="15">
        <f>I1105</f>
        <v>-0.01140013884936462</v>
      </c>
      <c r="Q1092" s="15">
        <f>J1105</f>
        <v>0.10154600122785666</v>
      </c>
      <c r="R1092" s="15">
        <f>K1105</f>
        <v>-0.023742834004209176</v>
      </c>
      <c r="S1092" s="15">
        <f>L1105</f>
        <v>-0.00921468029121448</v>
      </c>
      <c r="T1092" s="15">
        <f>M1105</f>
        <v>-0.006406171812411516</v>
      </c>
    </row>
    <row r="1093" spans="1:20">
      <c r="A1093" s="14">
        <v>46035</v>
      </c>
      <c r="B1093" s="10">
        <v>1651.030883789062</v>
      </c>
      <c r="C1093" s="10">
        <v>565.62060546875</v>
      </c>
      <c r="D1093" s="10">
        <v>1894.699951171875</v>
      </c>
      <c r="E1093" s="10">
        <v>25732.30078125</v>
      </c>
      <c r="F1093" s="10">
        <v>857.9500122070312</v>
      </c>
      <c r="I1093" s="15">
        <f>LN(B1093/B1092)</f>
        <v>-0.0003016865453865403</v>
      </c>
      <c r="J1093" s="15">
        <f>LN(C1093/C1092)</f>
        <v>-0.003348070910852846</v>
      </c>
      <c r="K1093" s="15">
        <f>LN(D1093/D1092)</f>
        <v>0.005079631945619446</v>
      </c>
      <c r="L1093" s="15">
        <f>LN(E1093/E1092)</f>
        <v>-0.002249471049361169</v>
      </c>
      <c r="M1093" s="15">
        <f>LN(F1093/F1092)</f>
        <v>-0.006216404141744298</v>
      </c>
      <c r="O1093" s="14">
        <v>46056</v>
      </c>
      <c r="P1093" s="15">
        <f>I1106</f>
        <v>0.035979801040164835</v>
      </c>
      <c r="Q1093" s="15">
        <f>J1106</f>
        <v>0.014848019295439949</v>
      </c>
      <c r="R1093" s="15">
        <f>K1106</f>
        <v>0.028936764253459413</v>
      </c>
      <c r="S1093" s="15">
        <f>L1106</f>
        <v>0.025156829049839922</v>
      </c>
      <c r="T1093" s="15">
        <f>M1106</f>
        <v>0.04682960451803221</v>
      </c>
    </row>
    <row r="1094" spans="1:20">
      <c r="A1094" s="14">
        <v>46036</v>
      </c>
      <c r="B1094" s="10">
        <v>1642.362915039062</v>
      </c>
      <c r="C1094" s="10">
        <v>551.094482421875</v>
      </c>
      <c r="D1094" s="10">
        <v>1868.400024414062</v>
      </c>
      <c r="E1094" s="10">
        <v>25665.599609375</v>
      </c>
      <c r="F1094" s="10">
        <v>850.0499877929688</v>
      </c>
      <c r="I1094" s="15">
        <f>LN(B1094/B1093)</f>
        <v>-0.005263864143794013</v>
      </c>
      <c r="J1094" s="15">
        <f>LN(C1094/C1093)</f>
        <v>-0.026017276184277172</v>
      </c>
      <c r="K1094" s="15">
        <f>LN(D1094/D1093)</f>
        <v>-0.013978026172634276</v>
      </c>
      <c r="L1094" s="15">
        <f>LN(E1094/E1093)</f>
        <v>-0.002595483815978393</v>
      </c>
      <c r="M1094" s="15">
        <f>LN(F1094/F1093)</f>
        <v>-0.009250680036398921</v>
      </c>
      <c r="O1094" s="14">
        <v>46057</v>
      </c>
      <c r="P1094" s="15">
        <f>I1107</f>
        <v>0.011064245052933094</v>
      </c>
      <c r="Q1094" s="15">
        <f>J1107</f>
        <v>-0.020326968138185998</v>
      </c>
      <c r="R1094" s="15">
        <f>K1107</f>
        <v>0.023364282558959636</v>
      </c>
      <c r="S1094" s="15">
        <f>L1107</f>
        <v>0.0018813938963879184</v>
      </c>
      <c r="T1094" s="15">
        <f>M1107</f>
        <v>0.011160383456825676</v>
      </c>
    </row>
    <row r="1095" spans="1:20">
      <c r="A1095" s="14">
        <v>46038</v>
      </c>
      <c r="B1095" s="10">
        <v>1658.403930664062</v>
      </c>
      <c r="C1095" s="10">
        <v>550.6452026367188</v>
      </c>
      <c r="D1095" s="10">
        <v>1859</v>
      </c>
      <c r="E1095" s="10">
        <v>25694.349609375</v>
      </c>
      <c r="F1095" s="10">
        <v>853</v>
      </c>
      <c r="I1095" s="15">
        <f>LN(B1095/B1094)</f>
        <v>0.009719645560907656</v>
      </c>
      <c r="J1095" s="15">
        <f>LN(C1095/C1094)</f>
        <v>-0.0008155825121911652</v>
      </c>
      <c r="K1095" s="15">
        <f>LN(D1095/D1094)</f>
        <v>-0.005043753973337405</v>
      </c>
      <c r="L1095" s="15">
        <f>LN(E1095/E1094)</f>
        <v>0.0011195495104741853</v>
      </c>
      <c r="M1095" s="15">
        <f>LN(F1095/F1094)</f>
        <v>0.0034643905683098336</v>
      </c>
      <c r="O1095" s="14">
        <v>46058</v>
      </c>
      <c r="P1095" s="15">
        <f>I1108</f>
        <v>0.0025211815508863955</v>
      </c>
      <c r="Q1095" s="15">
        <f>J1108</f>
        <v>-0.013784550473144795</v>
      </c>
      <c r="R1095" s="15">
        <f>K1108</f>
        <v>-0.005892479730203399</v>
      </c>
      <c r="S1095" s="15">
        <f>L1108</f>
        <v>-0.005180965509696233</v>
      </c>
      <c r="T1095" s="15">
        <f>M1108</f>
        <v>-0.005778077602192858</v>
      </c>
    </row>
    <row r="1096" spans="1:20">
      <c r="A1096" s="14">
        <v>46041</v>
      </c>
      <c r="B1096" s="10">
        <v>1648.838989257812</v>
      </c>
      <c r="C1096" s="10">
        <v>541.3604736328125</v>
      </c>
      <c r="D1096" s="10">
        <v>1841</v>
      </c>
      <c r="E1096" s="10">
        <v>25585.5</v>
      </c>
      <c r="F1096" s="10">
        <v>836</v>
      </c>
      <c r="I1096" s="15">
        <f>LN(B1096/B1095)</f>
        <v>-0.005784254925427219</v>
      </c>
      <c r="J1096" s="15">
        <f>LN(C1096/C1095)</f>
        <v>-0.0170053195725736</v>
      </c>
      <c r="K1096" s="15">
        <f>LN(D1096/D1095)</f>
        <v>-0.0097298064883662</v>
      </c>
      <c r="L1096" s="15">
        <f>LN(E1096/E1095)</f>
        <v>-0.004245323404225256</v>
      </c>
      <c r="M1096" s="15">
        <f>LN(F1096/F1095)</f>
        <v>-0.020130934406977486</v>
      </c>
      <c r="O1096" s="14">
        <v>46059</v>
      </c>
      <c r="P1096" s="15">
        <f>I1109</f>
        <v>-0.010579396653861966</v>
      </c>
      <c r="Q1096" s="15">
        <f>J1109</f>
        <v>0.00036514935108911714</v>
      </c>
      <c r="R1096" s="15">
        <f>K1109</f>
        <v>0.015214248257305637</v>
      </c>
      <c r="S1096" s="15">
        <f>L1109</f>
        <v>0.001982934332408332</v>
      </c>
      <c r="T1096" s="15">
        <f>M1109</f>
        <v>0.006263087472691799</v>
      </c>
    </row>
    <row r="1097" spans="1:20">
      <c r="A1097" s="14">
        <v>46042</v>
      </c>
      <c r="B1097" s="10">
        <v>1518.21923828125</v>
      </c>
      <c r="C1097" s="10">
        <v>517.3499145507812</v>
      </c>
      <c r="D1097" s="10">
        <v>1782.800048828125</v>
      </c>
      <c r="E1097" s="10">
        <v>25232.5</v>
      </c>
      <c r="F1097" s="10">
        <v>793.9000244140625</v>
      </c>
      <c r="I1097" s="15">
        <f>LN(B1097/B1096)</f>
        <v>-0.08253330307533185</v>
      </c>
      <c r="J1097" s="15">
        <f>LN(C1097/C1096)</f>
        <v>-0.04536590393414245</v>
      </c>
      <c r="K1097" s="15">
        <f>LN(D1097/D1096)</f>
        <v>-0.032123712772229515</v>
      </c>
      <c r="L1097" s="15">
        <f>LN(E1097/E1096)</f>
        <v>-0.013892938636022806</v>
      </c>
      <c r="M1097" s="15">
        <f>LN(F1097/F1096)</f>
        <v>-0.05167107360157183</v>
      </c>
      <c r="O1097" s="14">
        <v>46062</v>
      </c>
      <c r="P1097" s="15">
        <f>I1110</f>
        <v>0.020472769798330886</v>
      </c>
      <c r="Q1097" s="15">
        <f>J1110</f>
        <v>0.029767005122200377</v>
      </c>
      <c r="R1097" s="15">
        <f>K1110</f>
        <v>0.00866457732089631</v>
      </c>
      <c r="S1097" s="15">
        <f>L1110</f>
        <v>0.006733857702297746</v>
      </c>
      <c r="T1097" s="15">
        <f>M1110</f>
        <v>0.025731434765061456</v>
      </c>
    </row>
    <row r="1098" spans="1:20">
      <c r="A1098" s="14">
        <v>46043</v>
      </c>
      <c r="B1098" s="10">
        <v>1497.0966796875</v>
      </c>
      <c r="C1098" s="10">
        <v>520.64453125</v>
      </c>
      <c r="D1098" s="10">
        <v>1746.699951171875</v>
      </c>
      <c r="E1098" s="10">
        <v>25157.5</v>
      </c>
      <c r="F1098" s="10">
        <v>788.2999877929688</v>
      </c>
      <c r="I1098" s="15">
        <f>LN(B1098/B1097)</f>
        <v>-0.014010408648544151</v>
      </c>
      <c r="J1098" s="15">
        <f>LN(C1098/C1097)</f>
        <v>0.006348064339631165</v>
      </c>
      <c r="K1098" s="15">
        <f>LN(D1098/D1097)</f>
        <v>-0.020456923981001476</v>
      </c>
      <c r="L1098" s="15">
        <f>LN(E1098/E1097)</f>
        <v>-0.0029767833055262707</v>
      </c>
      <c r="M1098" s="15">
        <f>LN(F1098/F1097)</f>
        <v>-0.007078826902528368</v>
      </c>
      <c r="O1098" s="14">
        <v>46063</v>
      </c>
      <c r="P1098" s="15">
        <f>I1111</f>
        <v>0.002936298397888258</v>
      </c>
      <c r="Q1098" s="15">
        <f>J1111</f>
        <v>0.002212748578243006</v>
      </c>
      <c r="R1098" s="15">
        <f>K1111</f>
        <v>0.00478764228476512</v>
      </c>
      <c r="S1098" s="15">
        <f>L1111</f>
        <v>0.0026195535786092045</v>
      </c>
      <c r="T1098" s="15">
        <f>M1111</f>
        <v>0.0035972898330758566</v>
      </c>
    </row>
    <row r="1099" spans="1:20">
      <c r="A1099" s="14">
        <v>46044</v>
      </c>
      <c r="B1099" s="10">
        <v>1474.778686523438</v>
      </c>
      <c r="C1099" s="10">
        <v>536.8179321289062</v>
      </c>
      <c r="D1099" s="10">
        <v>1768.199951171875</v>
      </c>
      <c r="E1099" s="10">
        <v>25289.900390625</v>
      </c>
      <c r="F1099" s="10">
        <v>782.5</v>
      </c>
      <c r="I1099" s="15">
        <f>LN(B1099/B1098)</f>
        <v>-0.015019750142480975</v>
      </c>
      <c r="J1099" s="15">
        <f>LN(C1099/C1098)</f>
        <v>0.03059146348134295</v>
      </c>
      <c r="K1099" s="15">
        <f>LN(D1099/D1098)</f>
        <v>0.012233786877262958</v>
      </c>
      <c r="L1099" s="15">
        <f>LN(E1099/E1098)</f>
        <v>0.005249059162526262</v>
      </c>
      <c r="M1099" s="15">
        <f>LN(F1099/F1098)</f>
        <v>-0.007384790166293151</v>
      </c>
      <c r="O1099" s="14">
        <v>46064</v>
      </c>
      <c r="P1099" s="15">
        <f>I1112</f>
        <v>0.0053398234217468185</v>
      </c>
      <c r="Q1099" s="15">
        <f>J1112</f>
        <v>-0.0026558430973135276</v>
      </c>
      <c r="R1099" s="15">
        <f>K1112</f>
        <v>0.014283162161396662</v>
      </c>
      <c r="S1099" s="15">
        <f>L1112</f>
        <v>0.0007207392533858182</v>
      </c>
      <c r="T1099" s="15">
        <f>M1112</f>
        <v>0.006278781897524756</v>
      </c>
    </row>
    <row r="1100" spans="1:20">
      <c r="A1100" s="14">
        <v>46045</v>
      </c>
      <c r="B1100" s="10">
        <v>1450.535034179688</v>
      </c>
      <c r="C1100" s="10">
        <v>500.5774841308594</v>
      </c>
      <c r="D1100" s="10">
        <v>1726.5</v>
      </c>
      <c r="E1100" s="10">
        <v>25048.650390625</v>
      </c>
      <c r="F1100" s="10">
        <v>756.3499755859375</v>
      </c>
      <c r="I1100" s="15">
        <f>LN(B1100/B1099)</f>
        <v>-0.016575458037052994</v>
      </c>
      <c r="J1100" s="15">
        <f>LN(C1100/C1099)</f>
        <v>-0.06989659048360168</v>
      </c>
      <c r="K1100" s="15">
        <f>LN(D1100/D1099)</f>
        <v>-0.02386581452706267</v>
      </c>
      <c r="L1100" s="15">
        <f>LN(E1100/E1099)</f>
        <v>-0.009585172530157553</v>
      </c>
      <c r="M1100" s="15">
        <f>LN(F1100/F1099)</f>
        <v>-0.033989722684890096</v>
      </c>
      <c r="O1100" s="14">
        <v>46065</v>
      </c>
      <c r="P1100" s="15">
        <f>I1113</f>
        <v>-0.006806894890043029</v>
      </c>
      <c r="Q1100" s="15">
        <f>J1113</f>
        <v>-0.027317690572164096</v>
      </c>
      <c r="R1100" s="15">
        <f>K1113</f>
        <v>-0.0028066254741195788</v>
      </c>
      <c r="S1100" s="15">
        <f>L1113</f>
        <v>-0.005666453301894332</v>
      </c>
      <c r="T1100" s="15">
        <f>M1113</f>
        <v>-0.014613452670473967</v>
      </c>
    </row>
    <row r="1101" spans="1:20">
      <c r="A1101" s="14">
        <v>46049</v>
      </c>
      <c r="B1101" s="10">
        <v>1464.203369140625</v>
      </c>
      <c r="C1101" s="10">
        <v>489.345947265625</v>
      </c>
      <c r="D1101" s="10">
        <v>1728.300048828125</v>
      </c>
      <c r="E1101" s="10">
        <v>25175.400390625</v>
      </c>
      <c r="F1101" s="10">
        <v>759.4000244140625</v>
      </c>
      <c r="I1101" s="15">
        <f>LN(B1101/B1100)</f>
        <v>0.009378841776785435</v>
      </c>
      <c r="J1101" s="15">
        <f>LN(C1101/C1100)</f>
        <v>-0.02269270225628406</v>
      </c>
      <c r="K1101" s="15">
        <f>LN(D1101/D1100)</f>
        <v>0.0010420568285117063</v>
      </c>
      <c r="L1101" s="15">
        <f>LN(E1101/E1100)</f>
        <v>0.0050473933153695125</v>
      </c>
      <c r="M1101" s="15">
        <f>LN(F1101/F1100)</f>
        <v>0.00402448021743055</v>
      </c>
      <c r="O1101" s="14">
        <v>46066</v>
      </c>
      <c r="P1101" s="15">
        <f>I1114</f>
        <v>-0.01220234056727</v>
      </c>
      <c r="Q1101" s="15">
        <f>J1114</f>
        <v>-0.029210003967393282</v>
      </c>
      <c r="R1101" s="15">
        <f>K1114</f>
        <v>-0.024755852363994205</v>
      </c>
      <c r="S1101" s="15">
        <f>L1114</f>
        <v>-0.013109031702560043</v>
      </c>
      <c r="T1101" s="15">
        <f>M1114</f>
        <v>-0.02251063033840924</v>
      </c>
    </row>
    <row r="1102" spans="1:20">
      <c r="A1102" s="14">
        <v>46050</v>
      </c>
      <c r="B1102" s="10">
        <v>1479.767211914062</v>
      </c>
      <c r="C1102" s="10">
        <v>488.8467407226562</v>
      </c>
      <c r="D1102" s="10">
        <v>1726.199951171875</v>
      </c>
      <c r="E1102" s="10">
        <v>25342.75</v>
      </c>
      <c r="F1102" s="10">
        <v>771.2999877929688</v>
      </c>
      <c r="I1102" s="15">
        <f>LN(B1102/B1101)</f>
        <v>0.010573466918542126</v>
      </c>
      <c r="J1102" s="15">
        <f>LN(C1102/C1101)</f>
        <v>-0.0010206712694481644</v>
      </c>
      <c r="K1102" s="15">
        <f>LN(D1102/D1101)</f>
        <v>-0.0012158621594836273</v>
      </c>
      <c r="L1102" s="15">
        <f>LN(E1102/E1101)</f>
        <v>0.006625350304204862</v>
      </c>
      <c r="M1102" s="15">
        <f>LN(F1102/F1101)</f>
        <v>0.015548707166537348</v>
      </c>
      <c r="O1102" s="14">
        <v>46069</v>
      </c>
      <c r="P1102" s="15">
        <f>I1115</f>
        <v>0.010605222090786738</v>
      </c>
      <c r="Q1102" s="15">
        <f>J1115</f>
        <v>0.01969048577515406</v>
      </c>
      <c r="R1102" s="15">
        <f>K1115</f>
        <v>0.021603065410876462</v>
      </c>
      <c r="S1102" s="15">
        <f>L1115</f>
        <v>0.008275099528577884</v>
      </c>
      <c r="T1102" s="15">
        <f>M1115</f>
        <v>0.015780652380521377</v>
      </c>
    </row>
    <row r="1103" spans="1:20">
      <c r="A1103" s="14">
        <v>46051</v>
      </c>
      <c r="B1103" s="10">
        <v>1498.423950195312</v>
      </c>
      <c r="C1103" s="10">
        <v>488.8467407226562</v>
      </c>
      <c r="D1103" s="10">
        <v>1686.900024414062</v>
      </c>
      <c r="E1103" s="10">
        <v>25418.900390625</v>
      </c>
      <c r="F1103" s="10">
        <v>776.5</v>
      </c>
      <c r="I1103" s="15">
        <f>LN(B1103/B1102)</f>
        <v>0.012529069708794688</v>
      </c>
      <c r="J1103" s="15">
        <f>LN(C1103/C1102)</f>
        <v>0.0</v>
      </c>
      <c r="K1103" s="15">
        <f>LN(D1103/D1102)</f>
        <v>-0.023029893060070847</v>
      </c>
      <c r="L1103" s="15">
        <f>LN(E1103/E1102)</f>
        <v>0.003000314101836464</v>
      </c>
      <c r="M1103" s="15">
        <f>LN(F1103/F1102)</f>
        <v>0.00671925547535547</v>
      </c>
      <c r="O1103" s="14">
        <v>46070</v>
      </c>
      <c r="P1103" s="15">
        <f>I1116</f>
        <v>-0.008475160926073403</v>
      </c>
      <c r="Q1103" s="15">
        <f>J1116</f>
        <v>0.0011030119049751357</v>
      </c>
      <c r="R1103" s="15">
        <f>K1116</f>
        <v>-0.003502276237030539</v>
      </c>
      <c r="S1103" s="15">
        <f>L1116</f>
        <v>0.0016592855446634625</v>
      </c>
      <c r="T1103" s="15">
        <f>M1116</f>
        <v>-0.0030523263211744036</v>
      </c>
    </row>
    <row r="1104" spans="1:20">
      <c r="A1104" s="14">
        <v>46052</v>
      </c>
      <c r="B1104" s="10">
        <v>1487.449462890625</v>
      </c>
      <c r="C1104" s="10">
        <v>503.4727172851562</v>
      </c>
      <c r="D1104" s="10">
        <v>1670.699951171875</v>
      </c>
      <c r="E1104" s="10">
        <v>25320.650390625</v>
      </c>
      <c r="F1104" s="10">
        <v>783</v>
      </c>
      <c r="I1104" s="15">
        <f>LN(B1104/B1103)</f>
        <v>-0.007350972533122988</v>
      </c>
      <c r="J1104" s="15">
        <f>LN(C1104/C1103)</f>
        <v>0.029480497868247548</v>
      </c>
      <c r="K1104" s="15">
        <f>LN(D1104/D1103)</f>
        <v>-0.009649868401419579</v>
      </c>
      <c r="L1104" s="15">
        <f>LN(E1104/E1103)</f>
        <v>-0.003872723399525638</v>
      </c>
      <c r="M1104" s="15">
        <f>LN(F1104/F1103)</f>
        <v>0.008336053402061266</v>
      </c>
      <c r="O1104" s="14">
        <v>46071</v>
      </c>
      <c r="P1104" s="15">
        <f>I1117</f>
        <v>-0.006209097293177656</v>
      </c>
      <c r="Q1104" s="15">
        <f>J1117</f>
        <v>0.02162936836221863</v>
      </c>
      <c r="R1104" s="15">
        <f>K1117</f>
        <v>0.0018091780512921281</v>
      </c>
      <c r="S1104" s="15">
        <f>L1117</f>
        <v>0.0036453498285502696</v>
      </c>
      <c r="T1104" s="15">
        <f>M1117</f>
        <v>0.006154924974606988</v>
      </c>
    </row>
    <row r="1105" spans="1:20">
      <c r="A1105" s="14">
        <v>46055</v>
      </c>
      <c r="B1105" s="10">
        <v>1470.588623046875</v>
      </c>
      <c r="C1105" s="10">
        <v>557.2843017578125</v>
      </c>
      <c r="D1105" s="10">
        <v>1631.5</v>
      </c>
      <c r="E1105" s="10">
        <v>25088.400390625</v>
      </c>
      <c r="F1105" s="10">
        <v>778</v>
      </c>
      <c r="I1105" s="15">
        <f>LN(B1105/B1104)</f>
        <v>-0.01140013884936462</v>
      </c>
      <c r="J1105" s="15">
        <f>LN(C1105/C1104)</f>
        <v>0.10154600122785666</v>
      </c>
      <c r="K1105" s="15">
        <f>LN(D1105/D1104)</f>
        <v>-0.023742834004209176</v>
      </c>
      <c r="L1105" s="15">
        <f>LN(E1105/E1104)</f>
        <v>-0.00921468029121448</v>
      </c>
      <c r="M1105" s="15">
        <f>LN(F1105/F1104)</f>
        <v>-0.006406171812411516</v>
      </c>
      <c r="O1105" s="14">
        <v>46072</v>
      </c>
      <c r="P1105" s="15">
        <f>I1118</f>
        <v>-0.025362858003884655</v>
      </c>
      <c r="Q1105" s="15">
        <f>J1118</f>
        <v>-0.018877037644696015</v>
      </c>
      <c r="R1105" s="15">
        <f>K1118</f>
        <v>-0.015884659892300045</v>
      </c>
      <c r="S1105" s="15">
        <f>L1118</f>
        <v>-0.014237559265090531</v>
      </c>
      <c r="T1105" s="15">
        <f>M1118</f>
        <v>-0.025889280691463398</v>
      </c>
    </row>
    <row r="1106" spans="1:20">
      <c r="A1106" s="14">
        <v>46056</v>
      </c>
      <c r="B1106" s="10">
        <v>1524.463500976562</v>
      </c>
      <c r="C1106" s="10">
        <v>565.62060546875</v>
      </c>
      <c r="D1106" s="10">
        <v>1679.400024414062</v>
      </c>
      <c r="E1106" s="10">
        <v>25727.55078125</v>
      </c>
      <c r="F1106" s="10">
        <v>815.2999877929688</v>
      </c>
      <c r="I1106" s="15">
        <f>LN(B1106/B1105)</f>
        <v>0.035979801040164835</v>
      </c>
      <c r="J1106" s="15">
        <f>LN(C1106/C1105)</f>
        <v>0.014848019295439949</v>
      </c>
      <c r="K1106" s="15">
        <f>LN(D1106/D1105)</f>
        <v>0.028936764253459413</v>
      </c>
      <c r="L1106" s="15">
        <f>LN(E1106/E1105)</f>
        <v>0.025156829049839922</v>
      </c>
      <c r="M1106" s="15">
        <f>LN(F1106/F1105)</f>
        <v>0.04682960451803221</v>
      </c>
      <c r="O1106" s="14">
        <v>46073</v>
      </c>
      <c r="P1106" s="15">
        <f>I1119</f>
        <v>0.013549949855446575</v>
      </c>
      <c r="Q1106" s="15">
        <f>J1119</f>
        <v>0.005390902838570229</v>
      </c>
      <c r="R1106" s="15">
        <f>K1119</f>
        <v>-0.005351480941164246</v>
      </c>
      <c r="S1106" s="15">
        <f>L1119</f>
        <v>0.00458203709696536</v>
      </c>
      <c r="T1106" s="15">
        <f>M1119</f>
        <v>0.003478733656574086</v>
      </c>
    </row>
    <row r="1107" spans="1:20">
      <c r="A1107" s="14">
        <v>46057</v>
      </c>
      <c r="B1107" s="10">
        <v>1541.424194335938</v>
      </c>
      <c r="C1107" s="10">
        <v>554.2393188476562</v>
      </c>
      <c r="D1107" s="10">
        <v>1719.099975585938</v>
      </c>
      <c r="E1107" s="10">
        <v>25776</v>
      </c>
      <c r="F1107" s="10">
        <v>824.4500122070312</v>
      </c>
      <c r="I1107" s="15">
        <f>LN(B1107/B1106)</f>
        <v>0.011064245052933094</v>
      </c>
      <c r="J1107" s="15">
        <f>LN(C1107/C1106)</f>
        <v>-0.020326968138185998</v>
      </c>
      <c r="K1107" s="15">
        <f>LN(D1107/D1106)</f>
        <v>0.023364282558959636</v>
      </c>
      <c r="L1107" s="15">
        <f>LN(E1107/E1106)</f>
        <v>0.0018813938963879184</v>
      </c>
      <c r="M1107" s="15">
        <f>LN(F1107/F1106)</f>
        <v>0.011160383456825676</v>
      </c>
      <c r="O1107" s="14">
        <v>46076</v>
      </c>
      <c r="P1107" s="15">
        <f>I1120</f>
        <v>-0.0009195196772696623</v>
      </c>
      <c r="Q1107" s="15">
        <f>J1120</f>
        <v>-0.0019154494924204647</v>
      </c>
      <c r="R1107" s="15">
        <f>K1120</f>
        <v>-0.00979854330127775</v>
      </c>
      <c r="S1107" s="15">
        <f>L1120</f>
        <v>0.00552802706402003</v>
      </c>
      <c r="T1107" s="15">
        <f>M1120</f>
        <v>-0.0018904024391785852</v>
      </c>
    </row>
    <row r="1108" spans="1:20">
      <c r="A1108" s="14">
        <v>46058</v>
      </c>
      <c r="B1108" s="10">
        <v>1545.315307617188</v>
      </c>
      <c r="C1108" s="10">
        <v>546.6517944335938</v>
      </c>
      <c r="D1108" s="10">
        <v>1709</v>
      </c>
      <c r="E1108" s="10">
        <v>25642.80078125</v>
      </c>
      <c r="F1108" s="10">
        <v>819.7000122070312</v>
      </c>
      <c r="I1108" s="15">
        <f>LN(B1108/B1107)</f>
        <v>0.0025211815508863955</v>
      </c>
      <c r="J1108" s="15">
        <f>LN(C1108/C1107)</f>
        <v>-0.013784550473144795</v>
      </c>
      <c r="K1108" s="15">
        <f>LN(D1108/D1107)</f>
        <v>-0.005892479730203399</v>
      </c>
      <c r="L1108" s="15">
        <f>LN(E1108/E1107)</f>
        <v>-0.005180965509696233</v>
      </c>
      <c r="M1108" s="15">
        <f>LN(F1108/F1107)</f>
        <v>-0.005778077602192858</v>
      </c>
      <c r="O1108" s="14">
        <v>46077</v>
      </c>
      <c r="P1108" s="15">
        <f>I1121</f>
        <v>-0.006526698604010018</v>
      </c>
      <c r="Q1108" s="15">
        <f>J1121</f>
        <v>-0.006870966142549114</v>
      </c>
      <c r="R1108" s="15">
        <f>K1121</f>
        <v>-0.013905045580231508</v>
      </c>
      <c r="S1108" s="15">
        <f>L1121</f>
        <v>-0.011277509359324957</v>
      </c>
      <c r="T1108" s="15">
        <f>M1121</f>
        <v>-0.025720179865354267</v>
      </c>
    </row>
    <row r="1109" spans="1:20">
      <c r="A1109" s="14">
        <v>46059</v>
      </c>
      <c r="B1109" s="10">
        <v>1529.052978515625</v>
      </c>
      <c r="C1109" s="10">
        <v>546.8514404296875</v>
      </c>
      <c r="D1109" s="10">
        <v>1735.199951171875</v>
      </c>
      <c r="E1109" s="10">
        <v>25693.69921875</v>
      </c>
      <c r="F1109" s="10">
        <v>824.8499755859375</v>
      </c>
      <c r="I1109" s="15">
        <f>LN(B1109/B1108)</f>
        <v>-0.010579396653861966</v>
      </c>
      <c r="J1109" s="15">
        <f>LN(C1109/C1108)</f>
        <v>0.00036514935108911714</v>
      </c>
      <c r="K1109" s="15">
        <f>LN(D1109/D1108)</f>
        <v>0.015214248257305637</v>
      </c>
      <c r="L1109" s="15">
        <f>LN(E1109/E1108)</f>
        <v>0.001982934332408332</v>
      </c>
      <c r="M1109" s="15">
        <f>LN(F1109/F1108)</f>
        <v>0.006263087472691799</v>
      </c>
      <c r="O1109" s="14">
        <v>46078</v>
      </c>
      <c r="P1109" s="15">
        <f>I1122</f>
        <v>0.004092346334373331</v>
      </c>
      <c r="Q1109" s="15">
        <f>J1122</f>
        <v>-0.011743770752455704</v>
      </c>
      <c r="R1109" s="15">
        <f>K1122</f>
        <v>0.0008268023999942653</v>
      </c>
      <c r="S1109" s="15">
        <f>L1122</f>
        <v>0.0022727508349003555</v>
      </c>
      <c r="T1109" s="15">
        <f>M1122</f>
        <v>-0.0018806425376330432</v>
      </c>
    </row>
    <row r="1110" spans="1:20">
      <c r="A1110" s="14">
        <v>46062</v>
      </c>
      <c r="B1110" s="10">
        <v>1560.679565429688</v>
      </c>
      <c r="C1110" s="10">
        <v>563.374267578125</v>
      </c>
      <c r="D1110" s="10">
        <v>1750.300048828125</v>
      </c>
      <c r="E1110" s="10">
        <v>25867.30078125</v>
      </c>
      <c r="F1110" s="10">
        <v>846.3499755859375</v>
      </c>
      <c r="I1110" s="15">
        <f>LN(B1110/B1109)</f>
        <v>0.020472769798330886</v>
      </c>
      <c r="J1110" s="15">
        <f>LN(C1110/C1109)</f>
        <v>0.029767005122200377</v>
      </c>
      <c r="K1110" s="15">
        <f>LN(D1110/D1109)</f>
        <v>0.00866457732089631</v>
      </c>
      <c r="L1110" s="15">
        <f>LN(E1110/E1109)</f>
        <v>0.006733857702297746</v>
      </c>
      <c r="M1110" s="15">
        <f>LN(F1110/F1109)</f>
        <v>0.025731434765061456</v>
      </c>
      <c r="O1110" s="14">
        <v>46079</v>
      </c>
      <c r="P1110" s="15">
        <f>I1123</f>
        <v>0.017175936287102237</v>
      </c>
      <c r="Q1110" s="15">
        <f>J1123</f>
        <v>-0.0030740596580667275</v>
      </c>
      <c r="R1110" s="15">
        <f>K1123</f>
        <v>0.012845142307713777</v>
      </c>
      <c r="S1110" s="15">
        <f>L1123</f>
        <v>0.000551237474627977</v>
      </c>
      <c r="T1110" s="15">
        <f>M1123</f>
        <v>0.002256408137702732</v>
      </c>
    </row>
    <row r="1111" spans="1:20">
      <c r="A1111" s="14">
        <v>46063</v>
      </c>
      <c r="B1111" s="10">
        <v>1565.268920898438</v>
      </c>
      <c r="C1111" s="10">
        <v>564.6222534179688</v>
      </c>
      <c r="D1111" s="10">
        <v>1758.699951171875</v>
      </c>
      <c r="E1111" s="10">
        <v>25935.150390625</v>
      </c>
      <c r="F1111" s="10">
        <v>849.4000244140625</v>
      </c>
      <c r="I1111" s="15">
        <f>LN(B1111/B1110)</f>
        <v>0.002936298397888258</v>
      </c>
      <c r="J1111" s="15">
        <f>LN(C1111/C1110)</f>
        <v>0.002212748578243006</v>
      </c>
      <c r="K1111" s="15">
        <f>LN(D1111/D1110)</f>
        <v>0.00478764228476512</v>
      </c>
      <c r="L1111" s="15">
        <f>LN(E1111/E1110)</f>
        <v>0.0026195535786092045</v>
      </c>
      <c r="M1111" s="15">
        <f>LN(F1111/F1110)</f>
        <v>0.0035972898330758566</v>
      </c>
      <c r="O1111" s="14">
        <v>46080</v>
      </c>
      <c r="P1111" s="15">
        <f>I1124</f>
        <v>-0.014084686503890732</v>
      </c>
      <c r="Q1111" s="15">
        <f>J1124</f>
        <v>-0.01144806206443524</v>
      </c>
      <c r="R1111" s="15">
        <f>K1124</f>
        <v>-0.03396388022229102</v>
      </c>
      <c r="S1111" s="15">
        <f>L1124</f>
        <v>-0.012546750821351201</v>
      </c>
      <c r="T1111" s="15">
        <f>M1124</f>
        <v>-0.022860009334636243</v>
      </c>
    </row>
    <row r="1112" spans="1:20">
      <c r="A1112" s="14">
        <v>46064</v>
      </c>
      <c r="B1112" s="10">
        <v>1573.649536132812</v>
      </c>
      <c r="C1112" s="10">
        <v>563.1246948242188</v>
      </c>
      <c r="D1112" s="10">
        <v>1784</v>
      </c>
      <c r="E1112" s="10">
        <v>25953.849609375</v>
      </c>
      <c r="F1112" s="10">
        <v>854.75</v>
      </c>
      <c r="I1112" s="15">
        <f>LN(B1112/B1111)</f>
        <v>0.0053398234217468185</v>
      </c>
      <c r="J1112" s="15">
        <f>LN(C1112/C1111)</f>
        <v>-0.0026558430973135276</v>
      </c>
      <c r="K1112" s="15">
        <f>LN(D1112/D1111)</f>
        <v>0.014283162161396662</v>
      </c>
      <c r="L1112" s="15">
        <f>LN(E1112/E1111)</f>
        <v>0.0007207392533858182</v>
      </c>
      <c r="M1112" s="15">
        <f>LN(F1112/F1111)</f>
        <v>0.006278781897524756</v>
      </c>
      <c r="O1112" s="14">
        <v>46083</v>
      </c>
      <c r="P1112" s="15">
        <f>I1125</f>
        <v>-0.021304970185998355</v>
      </c>
      <c r="Q1112" s="15">
        <f>J1125</f>
        <v>-0.039855121301559784</v>
      </c>
      <c r="R1112" s="15">
        <f>K1125</f>
        <v>-0.006047430227262218</v>
      </c>
      <c r="S1112" s="15">
        <f>L1125</f>
        <v>-0.012507116341135643</v>
      </c>
      <c r="T1112" s="15">
        <f>M1125</f>
        <v>-0.016208004168875273</v>
      </c>
    </row>
    <row r="1113" spans="1:20">
      <c r="A1113" s="14">
        <v>46065</v>
      </c>
      <c r="B1113" s="10">
        <v>1562.974243164062</v>
      </c>
      <c r="C1113" s="10">
        <v>547.9496459960938</v>
      </c>
      <c r="D1113" s="10">
        <v>1779</v>
      </c>
      <c r="E1113" s="10">
        <v>25807.19921875</v>
      </c>
      <c r="F1113" s="10">
        <v>842.3499755859375</v>
      </c>
      <c r="I1113" s="15">
        <f>LN(B1113/B1112)</f>
        <v>-0.006806894890043029</v>
      </c>
      <c r="J1113" s="15">
        <f>LN(C1113/C1112)</f>
        <v>-0.027317690572164096</v>
      </c>
      <c r="K1113" s="15">
        <f>LN(D1113/D1112)</f>
        <v>-0.0028066254741195788</v>
      </c>
      <c r="L1113" s="15">
        <f>LN(E1113/E1112)</f>
        <v>-0.005666453301894332</v>
      </c>
      <c r="M1113" s="15">
        <f>LN(F1113/F1112)</f>
        <v>-0.014613452670473967</v>
      </c>
      <c r="O1113" s="14">
        <v>46085</v>
      </c>
      <c r="P1113" s="15">
        <f>I1126</f>
        <v>-0.024652333683455985</v>
      </c>
      <c r="Q1113" s="15">
        <f>J1126</f>
        <v>-0.03966871978443583</v>
      </c>
      <c r="R1113" s="15">
        <f>K1126</f>
        <v>-0.023071323893185905</v>
      </c>
      <c r="S1113" s="15">
        <f>L1126</f>
        <v>-0.015612430100429392</v>
      </c>
      <c r="T1113" s="15">
        <f>M1126</f>
        <v>-0.03161215907846459</v>
      </c>
    </row>
    <row r="1114" spans="1:20">
      <c r="A1114" s="14">
        <v>46066</v>
      </c>
      <c r="B1114" s="10">
        <v>1544.018188476562</v>
      </c>
      <c r="C1114" s="10">
        <v>532.175537109375</v>
      </c>
      <c r="D1114" s="10">
        <v>1735.5</v>
      </c>
      <c r="E1114" s="10">
        <v>25471.099609375</v>
      </c>
      <c r="F1114" s="10">
        <v>823.5999755859375</v>
      </c>
      <c r="I1114" s="15">
        <f>LN(B1114/B1113)</f>
        <v>-0.01220234056727</v>
      </c>
      <c r="J1114" s="15">
        <f>LN(C1114/C1113)</f>
        <v>-0.029210003967393282</v>
      </c>
      <c r="K1114" s="15">
        <f>LN(D1114/D1113)</f>
        <v>-0.024755852363994205</v>
      </c>
      <c r="L1114" s="15">
        <f>LN(E1114/E1113)</f>
        <v>-0.013109031702560043</v>
      </c>
      <c r="M1114" s="15">
        <f>LN(F1114/F1113)</f>
        <v>-0.02251063033840924</v>
      </c>
      <c r="O1114" s="14">
        <v>46086</v>
      </c>
      <c r="P1114" s="15">
        <f>I1127</f>
        <v>0.01886653838728038</v>
      </c>
      <c r="Q1114" s="15">
        <f>J1127</f>
        <v>0.005096355596922786</v>
      </c>
      <c r="R1114" s="15">
        <f>K1127</f>
        <v>0.013931049288481495</v>
      </c>
      <c r="S1114" s="15">
        <f>L1127</f>
        <v>0.011590840491558407</v>
      </c>
      <c r="T1114" s="15">
        <f>M1127</f>
        <v>0.01817682225283448</v>
      </c>
    </row>
    <row r="1115" spans="1:20">
      <c r="A1115" s="14">
        <v>46069</v>
      </c>
      <c r="B1115" s="10">
        <v>1560.47998046875</v>
      </c>
      <c r="C1115" s="10">
        <v>542.7581787109375</v>
      </c>
      <c r="D1115" s="10">
        <v>1773.400024414062</v>
      </c>
      <c r="E1115" s="10">
        <v>25682.75</v>
      </c>
      <c r="F1115" s="10">
        <v>836.7000122070312</v>
      </c>
      <c r="I1115" s="15">
        <f>LN(B1115/B1114)</f>
        <v>0.010605222090786738</v>
      </c>
      <c r="J1115" s="15">
        <f>LN(C1115/C1114)</f>
        <v>0.01969048577515406</v>
      </c>
      <c r="K1115" s="15">
        <f>LN(D1115/D1114)</f>
        <v>0.021603065410876462</v>
      </c>
      <c r="L1115" s="15">
        <f>LN(E1115/E1114)</f>
        <v>0.008275099528577884</v>
      </c>
      <c r="M1115" s="15">
        <f>LN(F1115/F1114)</f>
        <v>0.015780652380521377</v>
      </c>
      <c r="O1115" s="14">
        <v>46087</v>
      </c>
      <c r="P1115" s="15">
        <f>I1128</f>
        <v>-0.005073250827452883</v>
      </c>
      <c r="Q1115" s="15">
        <f>J1128</f>
        <v>-0.005402954444352325</v>
      </c>
      <c r="R1115" s="15">
        <f>K1128</f>
        <v>-0.01834797490043742</v>
      </c>
      <c r="S1115" s="15">
        <f>L1128</f>
        <v>-0.012819134056590225</v>
      </c>
      <c r="T1115" s="15">
        <f>M1128</f>
        <v>-0.02107023930860671</v>
      </c>
    </row>
    <row r="1116" spans="1:20">
      <c r="A1116" s="14">
        <v>46070</v>
      </c>
      <c r="B1116" s="10">
        <v>1547.310546875</v>
      </c>
      <c r="C1116" s="10">
        <v>543.357177734375</v>
      </c>
      <c r="D1116" s="10">
        <v>1767.199951171875</v>
      </c>
      <c r="E1116" s="10">
        <v>25725.400390625</v>
      </c>
      <c r="F1116" s="10">
        <v>834.1500244140625</v>
      </c>
      <c r="I1116" s="15">
        <f>LN(B1116/B1115)</f>
        <v>-0.008475160926073403</v>
      </c>
      <c r="J1116" s="15">
        <f>LN(C1116/C1115)</f>
        <v>0.0011030119049751357</v>
      </c>
      <c r="K1116" s="15">
        <f>LN(D1116/D1115)</f>
        <v>-0.003502276237030539</v>
      </c>
      <c r="L1116" s="15">
        <f>LN(E1116/E1115)</f>
        <v>0.0016592855446634625</v>
      </c>
      <c r="M1116" s="15">
        <f>LN(F1116/F1115)</f>
        <v>-0.0030523263211744036</v>
      </c>
      <c r="O1116" s="14">
        <v>46090</v>
      </c>
      <c r="P1116" s="15">
        <f>I1129</f>
        <v>-0.0034646009323242937</v>
      </c>
      <c r="Q1116" s="15">
        <f>J1129</f>
        <v>-0.03315098065840579</v>
      </c>
      <c r="R1116" s="15">
        <f>K1129</f>
        <v>-0.016026487389011194</v>
      </c>
      <c r="S1116" s="15">
        <f>L1129</f>
        <v>-0.017426658301668632</v>
      </c>
      <c r="T1116" s="15">
        <f>M1129</f>
        <v>-0.012476446465526791</v>
      </c>
    </row>
    <row r="1117" spans="1:20">
      <c r="A1117" s="14">
        <v>46071</v>
      </c>
      <c r="B1117" s="10">
        <v>1537.73291015625</v>
      </c>
      <c r="C1117" s="10">
        <v>555.2376708984375</v>
      </c>
      <c r="D1117" s="10">
        <v>1770.400024414062</v>
      </c>
      <c r="E1117" s="10">
        <v>25819.349609375</v>
      </c>
      <c r="F1117" s="10">
        <v>839.2999877929688</v>
      </c>
      <c r="I1117" s="15">
        <f>LN(B1117/B1116)</f>
        <v>-0.006209097293177656</v>
      </c>
      <c r="J1117" s="15">
        <f>LN(C1117/C1116)</f>
        <v>0.02162936836221863</v>
      </c>
      <c r="K1117" s="15">
        <f>LN(D1117/D1116)</f>
        <v>0.0018091780512921281</v>
      </c>
      <c r="L1117" s="15">
        <f>LN(E1117/E1116)</f>
        <v>0.0036453498285502696</v>
      </c>
      <c r="M1117" s="15">
        <f>LN(F1117/F1116)</f>
        <v>0.006154924974606988</v>
      </c>
      <c r="O1117" s="14">
        <v>46091</v>
      </c>
      <c r="P1117" s="15">
        <f>I1130</f>
        <v>0.016534922802327483</v>
      </c>
      <c r="Q1117" s="15">
        <f>J1130</f>
        <v>0.025352141172967527</v>
      </c>
      <c r="R1117" s="15">
        <f>K1130</f>
        <v>0.017023543353561505</v>
      </c>
      <c r="S1117" s="15">
        <f>L1130</f>
        <v>0.009672907019832675</v>
      </c>
      <c r="T1117" s="15">
        <f>M1130</f>
        <v>0.015369863521298951</v>
      </c>
    </row>
    <row r="1118" spans="1:20">
      <c r="A1118" s="14">
        <v>46072</v>
      </c>
      <c r="B1118" s="10">
        <v>1499.222045898438</v>
      </c>
      <c r="C1118" s="10">
        <v>544.854736328125</v>
      </c>
      <c r="D1118" s="10">
        <v>1742.5</v>
      </c>
      <c r="E1118" s="10">
        <v>25454.349609375</v>
      </c>
      <c r="F1118" s="10">
        <v>817.8499755859375</v>
      </c>
      <c r="I1118" s="15">
        <f>LN(B1118/B1117)</f>
        <v>-0.025362858003884655</v>
      </c>
      <c r="J1118" s="15">
        <f>LN(C1118/C1117)</f>
        <v>-0.018877037644696015</v>
      </c>
      <c r="K1118" s="15">
        <f>LN(D1118/D1117)</f>
        <v>-0.015884659892300045</v>
      </c>
      <c r="L1118" s="15">
        <f>LN(E1118/E1117)</f>
        <v>-0.014237559265090531</v>
      </c>
      <c r="M1118" s="15">
        <f>LN(F1118/F1117)</f>
        <v>-0.025889280691463398</v>
      </c>
      <c r="O1118" s="14">
        <v>46092</v>
      </c>
      <c r="P1118" s="15">
        <f>I1131</f>
        <v>-0.00348659389251259</v>
      </c>
      <c r="Q1118" s="15">
        <f>J1131</f>
        <v>-0.026726759640350227</v>
      </c>
      <c r="R1118" s="15">
        <f>K1131</f>
        <v>-0.018735647549780785</v>
      </c>
      <c r="S1118" s="15">
        <f>L1131</f>
        <v>-0.016404386958885315</v>
      </c>
      <c r="T1118" s="15">
        <f>M1131</f>
        <v>-0.01728212112796746</v>
      </c>
    </row>
    <row r="1119" spans="1:20">
      <c r="A1119" s="14">
        <v>46073</v>
      </c>
      <c r="B1119" s="10">
        <v>1519.674682617188</v>
      </c>
      <c r="C1119" s="10">
        <v>547.7999267578125</v>
      </c>
      <c r="D1119" s="10">
        <v>1733.199951171875</v>
      </c>
      <c r="E1119" s="10">
        <v>25571.25</v>
      </c>
      <c r="F1119" s="10">
        <v>820.7000122070312</v>
      </c>
      <c r="I1119" s="15">
        <f>LN(B1119/B1118)</f>
        <v>0.013549949855446575</v>
      </c>
      <c r="J1119" s="15">
        <f>LN(C1119/C1118)</f>
        <v>0.005390902838570229</v>
      </c>
      <c r="K1119" s="15">
        <f>LN(D1119/D1118)</f>
        <v>-0.005351480941164246</v>
      </c>
      <c r="L1119" s="15">
        <f>LN(E1119/E1118)</f>
        <v>0.00458203709696536</v>
      </c>
      <c r="M1119" s="15">
        <f>LN(F1119/F1118)</f>
        <v>0.003478733656574086</v>
      </c>
      <c r="O1119" s="14">
        <v>46093</v>
      </c>
      <c r="P1119" s="15">
        <f>I1132</f>
        <v>-0.012504026905412696</v>
      </c>
      <c r="Q1119" s="15">
        <f>J1132</f>
        <v>-0.006262291232870545</v>
      </c>
      <c r="R1119" s="15">
        <f>K1132</f>
        <v>-0.009885600121643384</v>
      </c>
      <c r="S1119" s="15">
        <f>L1132</f>
        <v>-0.009586198057198514</v>
      </c>
      <c r="T1119" s="15">
        <f>M1132</f>
        <v>-0.016404012767762783</v>
      </c>
    </row>
    <row r="1120" spans="1:20">
      <c r="A1120" s="14">
        <v>46076</v>
      </c>
      <c r="B1120" s="10">
        <v>1518.277954101562</v>
      </c>
      <c r="C1120" s="10">
        <v>546.7516479492188</v>
      </c>
      <c r="D1120" s="10">
        <v>1716.300048828125</v>
      </c>
      <c r="E1120" s="10">
        <v>25713</v>
      </c>
      <c r="F1120" s="10">
        <v>819.1500244140625</v>
      </c>
      <c r="I1120" s="15">
        <f>LN(B1120/B1119)</f>
        <v>-0.0009195196772696623</v>
      </c>
      <c r="J1120" s="15">
        <f>LN(C1120/C1119)</f>
        <v>-0.0019154494924204647</v>
      </c>
      <c r="K1120" s="15">
        <f>LN(D1120/D1119)</f>
        <v>-0.00979854330127775</v>
      </c>
      <c r="L1120" s="15">
        <f>LN(E1120/E1119)</f>
        <v>0.00552802706402003</v>
      </c>
      <c r="M1120" s="15">
        <f>LN(F1120/F1119)</f>
        <v>-0.0018904024391785852</v>
      </c>
      <c r="O1120" s="14">
        <v>46094</v>
      </c>
      <c r="P1120" s="15">
        <f>I1133</f>
        <v>-0.012455733369046136</v>
      </c>
      <c r="Q1120" s="15">
        <f>J1133</f>
        <v>-0.04263367047433916</v>
      </c>
      <c r="R1120" s="15">
        <f>K1133</f>
        <v>0.003391274908315913</v>
      </c>
      <c r="S1120" s="15">
        <f>L1133</f>
        <v>-0.020861973679950938</v>
      </c>
      <c r="T1120" s="15">
        <f>M1133</f>
        <v>-0.013573303312872818</v>
      </c>
    </row>
    <row r="1121" spans="1:20">
      <c r="A1121" s="14">
        <v>46077</v>
      </c>
      <c r="B1121" s="10">
        <v>1508.40087890625</v>
      </c>
      <c r="C1121" s="10">
        <v>543.0078125</v>
      </c>
      <c r="D1121" s="10">
        <v>1692.599975585938</v>
      </c>
      <c r="E1121" s="10">
        <v>25424.650390625</v>
      </c>
      <c r="F1121" s="10">
        <v>798.3499755859375</v>
      </c>
      <c r="I1121" s="15">
        <f>LN(B1121/B1120)</f>
        <v>-0.006526698604010018</v>
      </c>
      <c r="J1121" s="15">
        <f>LN(C1121/C1120)</f>
        <v>-0.006870966142549114</v>
      </c>
      <c r="K1121" s="15">
        <f>LN(D1121/D1120)</f>
        <v>-0.013905045580231508</v>
      </c>
      <c r="L1121" s="15">
        <f>LN(E1121/E1120)</f>
        <v>-0.011277509359324957</v>
      </c>
      <c r="M1121" s="15">
        <f>LN(F1121/F1120)</f>
        <v>-0.025720179865354267</v>
      </c>
      <c r="O1121" s="14">
        <v>46097</v>
      </c>
      <c r="P1121" s="15">
        <f>I1134</f>
        <v>-0.02369272050451378</v>
      </c>
      <c r="Q1121" s="15">
        <f>J1134</f>
        <v>-0.01805085099845173</v>
      </c>
      <c r="R1121" s="15">
        <f>K1134</f>
        <v>-0.00846752827872271</v>
      </c>
      <c r="S1121" s="15">
        <f>L1134</f>
        <v>0.011069774688696974</v>
      </c>
      <c r="T1121" s="15">
        <f>M1134</f>
        <v>-0.015833286543468102</v>
      </c>
    </row>
    <row r="1122" spans="1:20">
      <c r="A1122" s="14">
        <v>46078</v>
      </c>
      <c r="B1122" s="10">
        <v>1514.58642578125</v>
      </c>
      <c r="C1122" s="10">
        <v>536.6681518554688</v>
      </c>
      <c r="D1122" s="10">
        <v>1694</v>
      </c>
      <c r="E1122" s="10">
        <v>25482.5</v>
      </c>
      <c r="F1122" s="10">
        <v>796.8499755859375</v>
      </c>
      <c r="I1122" s="15">
        <f>LN(B1122/B1121)</f>
        <v>0.004092346334373331</v>
      </c>
      <c r="J1122" s="15">
        <f>LN(C1122/C1121)</f>
        <v>-0.011743770752455704</v>
      </c>
      <c r="K1122" s="15">
        <f>LN(D1122/D1121)</f>
        <v>0.0008268023999942653</v>
      </c>
      <c r="L1122" s="15">
        <f>LN(E1122/E1121)</f>
        <v>0.0022727508349003555</v>
      </c>
      <c r="M1122" s="15">
        <f>LN(F1122/F1121)</f>
        <v>-0.0018806425376330432</v>
      </c>
      <c r="O1122" s="14">
        <v>46098</v>
      </c>
      <c r="P1122" s="15">
        <f>I1135</f>
        <v>0.02795340647937901</v>
      </c>
      <c r="Q1122" s="15">
        <f>J1135</f>
        <v>0.015714788409331135</v>
      </c>
      <c r="R1122" s="15">
        <f>K1135</f>
        <v>0.027637474984340108</v>
      </c>
      <c r="S1122" s="15">
        <f>L1135</f>
        <v>0.007335627211391066</v>
      </c>
      <c r="T1122" s="15">
        <f>M1135</f>
        <v>0.01787404896945905</v>
      </c>
    </row>
    <row r="1123" spans="1:20">
      <c r="A1123" s="14">
        <v>46079</v>
      </c>
      <c r="B1123" s="10">
        <v>1540.825561523438</v>
      </c>
      <c r="C1123" s="10">
        <v>535.0209350585938</v>
      </c>
      <c r="D1123" s="10">
        <v>1715.900024414062</v>
      </c>
      <c r="E1123" s="10">
        <v>25496.55078125</v>
      </c>
      <c r="F1123" s="10">
        <v>798.6500244140625</v>
      </c>
      <c r="I1123" s="15">
        <f>LN(B1123/B1122)</f>
        <v>0.017175936287102237</v>
      </c>
      <c r="J1123" s="15">
        <f>LN(C1123/C1122)</f>
        <v>-0.0030740596580667275</v>
      </c>
      <c r="K1123" s="15">
        <f>LN(D1123/D1122)</f>
        <v>0.012845142307713777</v>
      </c>
      <c r="L1123" s="15">
        <f>LN(E1123/E1122)</f>
        <v>0.000551237474627977</v>
      </c>
      <c r="M1123" s="15">
        <f>LN(F1123/F1122)</f>
        <v>0.002256408137702732</v>
      </c>
      <c r="O1123" s="14">
        <v>46099</v>
      </c>
      <c r="P1123" s="15">
        <f>I1136</f>
        <v>0.009893969918926607</v>
      </c>
      <c r="Q1123" s="15">
        <f>J1136</f>
        <v>0.04752183374161847</v>
      </c>
      <c r="R1123" s="15">
        <f>K1136</f>
        <v>0.019547021200097905</v>
      </c>
      <c r="S1123" s="15">
        <f>L1136</f>
        <v>0.008304724491583992</v>
      </c>
      <c r="T1123" s="15">
        <f>M1136</f>
        <v>0.027115822359655557</v>
      </c>
    </row>
    <row r="1124" spans="1:20">
      <c r="A1124" s="14">
        <v>46080</v>
      </c>
      <c r="B1124" s="10">
        <v>1519.275634765625</v>
      </c>
      <c r="C1124" s="10">
        <v>528.930908203125</v>
      </c>
      <c r="D1124" s="10">
        <v>1658.599975585938</v>
      </c>
      <c r="E1124" s="10">
        <v>25178.650390625</v>
      </c>
      <c r="F1124" s="10">
        <v>780.5999755859375</v>
      </c>
      <c r="I1124" s="15">
        <f>LN(B1124/B1123)</f>
        <v>-0.014084686503890732</v>
      </c>
      <c r="J1124" s="15">
        <f>LN(C1124/C1123)</f>
        <v>-0.01144806206443524</v>
      </c>
      <c r="K1124" s="15">
        <f>LN(D1124/D1123)</f>
        <v>-0.03396388022229102</v>
      </c>
      <c r="L1124" s="15">
        <f>LN(E1124/E1123)</f>
        <v>-0.012546750821351201</v>
      </c>
      <c r="M1124" s="15">
        <f>LN(F1124/F1123)</f>
        <v>-0.022860009334636243</v>
      </c>
      <c r="O1124" s="14">
        <v>46100</v>
      </c>
      <c r="P1124" s="15">
        <f>I1137</f>
        <v>-0.018502541515150243</v>
      </c>
      <c r="Q1124" s="15">
        <f>J1137</f>
        <v>-0.05008669462309558</v>
      </c>
      <c r="R1124" s="15">
        <f>K1137</f>
        <v>-0.032286093070514166</v>
      </c>
      <c r="S1124" s="15">
        <f>L1137</f>
        <v>-0.03316469831760482</v>
      </c>
      <c r="T1124" s="15">
        <f>M1137</f>
        <v>-0.03885402490884687</v>
      </c>
    </row>
    <row r="1125" spans="1:20">
      <c r="A1125" s="14">
        <v>46083</v>
      </c>
      <c r="B1125" s="10">
        <v>1487.249877929688</v>
      </c>
      <c r="C1125" s="10">
        <v>508.2648620605469</v>
      </c>
      <c r="D1125" s="10">
        <v>1648.599975585938</v>
      </c>
      <c r="E1125" s="10">
        <v>24865.69921875</v>
      </c>
      <c r="F1125" s="10">
        <v>768.0499877929688</v>
      </c>
      <c r="I1125" s="15">
        <f>LN(B1125/B1124)</f>
        <v>-0.021304970185998355</v>
      </c>
      <c r="J1125" s="15">
        <f>LN(C1125/C1124)</f>
        <v>-0.039855121301559784</v>
      </c>
      <c r="K1125" s="15">
        <f>LN(D1125/D1124)</f>
        <v>-0.006047430227262218</v>
      </c>
      <c r="L1125" s="15">
        <f>LN(E1125/E1124)</f>
        <v>-0.012507116341135643</v>
      </c>
      <c r="M1125" s="15">
        <f>LN(F1125/F1124)</f>
        <v>-0.016208004168875273</v>
      </c>
      <c r="O1125" s="14">
        <v>46101</v>
      </c>
      <c r="P1125" s="15">
        <f>I1138</f>
        <v>0.0</v>
      </c>
      <c r="Q1125" s="15">
        <f>J1138</f>
        <v>0.03951704709178585</v>
      </c>
      <c r="R1125" s="15">
        <f>K1138</f>
        <v>-0.020842772345941528</v>
      </c>
      <c r="S1125" s="15">
        <f>L1138</f>
        <v>0.004872419427371909</v>
      </c>
      <c r="T1125" s="15">
        <f>M1138</f>
        <v>-0.00936153993978804</v>
      </c>
    </row>
    <row r="1126" spans="1:20">
      <c r="A1126" s="14">
        <v>46085</v>
      </c>
      <c r="B1126" s="10">
        <v>1451.033935546875</v>
      </c>
      <c r="C1126" s="10">
        <v>488.497314453125</v>
      </c>
      <c r="D1126" s="10">
        <v>1611</v>
      </c>
      <c r="E1126" s="10">
        <v>24480.5</v>
      </c>
      <c r="F1126" s="10">
        <v>744.1500244140625</v>
      </c>
      <c r="I1126" s="15">
        <f>LN(B1126/B1125)</f>
        <v>-0.024652333683455985</v>
      </c>
      <c r="J1126" s="15">
        <f>LN(C1126/C1125)</f>
        <v>-0.03966871978443583</v>
      </c>
      <c r="K1126" s="15">
        <f>LN(D1126/D1125)</f>
        <v>-0.023071323893185905</v>
      </c>
      <c r="L1126" s="15">
        <f>LN(E1126/E1125)</f>
        <v>-0.015612430100429392</v>
      </c>
      <c r="M1126" s="15">
        <f>LN(F1126/F1125)</f>
        <v>-0.03161215907846459</v>
      </c>
      <c r="O1126" s="14">
        <v>46104</v>
      </c>
      <c r="P1126" s="15">
        <f>I1139</f>
        <v>-0.02400989439873595</v>
      </c>
      <c r="Q1126" s="15">
        <f>J1139</f>
        <v>-0.05221452667878684</v>
      </c>
      <c r="R1126" s="15">
        <f>K1139</f>
        <v>-0.043509561636064134</v>
      </c>
      <c r="S1126" s="15">
        <f>L1139</f>
        <v>-0.02638273543442679</v>
      </c>
      <c r="T1126" s="15">
        <f>M1139</f>
        <v>-0.04854607963718923</v>
      </c>
    </row>
    <row r="1127" spans="1:20">
      <c r="A1127" s="14">
        <v>46086</v>
      </c>
      <c r="B1127" s="10">
        <v>1478.669799804688</v>
      </c>
      <c r="C1127" s="10">
        <v>490.9932250976562</v>
      </c>
      <c r="D1127" s="10">
        <v>1633.599975585938</v>
      </c>
      <c r="E1127" s="10">
        <v>24765.900390625</v>
      </c>
      <c r="F1127" s="10">
        <v>757.7999877929688</v>
      </c>
      <c r="I1127" s="15">
        <f>LN(B1127/B1126)</f>
        <v>0.01886653838728038</v>
      </c>
      <c r="J1127" s="15">
        <f>LN(C1127/C1126)</f>
        <v>0.005096355596922786</v>
      </c>
      <c r="K1127" s="15">
        <f>LN(D1127/D1126)</f>
        <v>0.013931049288481495</v>
      </c>
      <c r="L1127" s="15">
        <f>LN(E1127/E1126)</f>
        <v>0.011590840491558407</v>
      </c>
      <c r="M1127" s="15">
        <f>LN(F1127/F1126)</f>
        <v>0.01817682225283448</v>
      </c>
      <c r="O1127" s="14">
        <v>46105</v>
      </c>
      <c r="P1127" s="15">
        <f>I1140</f>
        <v>0.02262554166308493</v>
      </c>
      <c r="Q1127" s="15">
        <f>J1140</f>
        <v>0.016041566475644007</v>
      </c>
      <c r="R1127" s="15">
        <f>K1140</f>
        <v>0.017511920808927803</v>
      </c>
      <c r="S1127" s="15">
        <f>L1140</f>
        <v>0.017600874978779452</v>
      </c>
      <c r="T1127" s="15">
        <f>M1140</f>
        <v>0.01577777898257246</v>
      </c>
    </row>
    <row r="1128" spans="1:20">
      <c r="A1128" s="14">
        <v>46087</v>
      </c>
      <c r="B1128" s="10">
        <v>1471.187133789062</v>
      </c>
      <c r="C1128" s="10">
        <v>488.3475646972656</v>
      </c>
      <c r="D1128" s="10">
        <v>1603.900024414062</v>
      </c>
      <c r="E1128" s="10">
        <v>24450.44921875</v>
      </c>
      <c r="F1128" s="10">
        <v>742</v>
      </c>
      <c r="I1128" s="15">
        <f>LN(B1128/B1127)</f>
        <v>-0.005073250827452883</v>
      </c>
      <c r="J1128" s="15">
        <f>LN(C1128/C1127)</f>
        <v>-0.005402954444352325</v>
      </c>
      <c r="K1128" s="15">
        <f>LN(D1128/D1127)</f>
        <v>-0.01834797490043742</v>
      </c>
      <c r="L1128" s="15">
        <f>LN(E1128/E1127)</f>
        <v>-0.012819134056590225</v>
      </c>
      <c r="M1128" s="15">
        <f>LN(F1128/F1127)</f>
        <v>-0.02107023930860671</v>
      </c>
      <c r="O1128" s="14">
        <v>46106</v>
      </c>
      <c r="P1128" s="15">
        <f>I1141</f>
        <v>0.03798656708416544</v>
      </c>
      <c r="Q1128" s="15">
        <f>J1141</f>
        <v>0.014253672853846912</v>
      </c>
      <c r="R1128" s="15">
        <f>K1141</f>
        <v>0.044552970560568</v>
      </c>
      <c r="S1128" s="15">
        <f>L1141</f>
        <v>0.0170518470014907</v>
      </c>
      <c r="T1128" s="15">
        <f>M1141</f>
        <v>0.026574476275533086</v>
      </c>
    </row>
    <row r="1129" spans="1:20">
      <c r="A1129" s="14">
        <v>46090</v>
      </c>
      <c r="B1129" s="10">
        <v>1466.098876953125</v>
      </c>
      <c r="C1129" s="10">
        <v>472.4237670898438</v>
      </c>
      <c r="D1129" s="10">
        <v>1578.400024414062</v>
      </c>
      <c r="E1129" s="10">
        <v>24028.05078125</v>
      </c>
      <c r="F1129" s="10">
        <v>732.7999877929688</v>
      </c>
      <c r="I1129" s="15">
        <f>LN(B1129/B1128)</f>
        <v>-0.0034646009323242937</v>
      </c>
      <c r="J1129" s="15">
        <f>LN(C1129/C1128)</f>
        <v>-0.03315098065840579</v>
      </c>
      <c r="K1129" s="15">
        <f>LN(D1129/D1128)</f>
        <v>-0.016026487389011194</v>
      </c>
      <c r="L1129" s="15">
        <f>LN(E1129/E1128)</f>
        <v>-0.017426658301668632</v>
      </c>
      <c r="M1129" s="15">
        <f>LN(F1129/F1128)</f>
        <v>-0.012476446465526791</v>
      </c>
      <c r="O1129" s="14">
        <v>46108</v>
      </c>
      <c r="P1129" s="15">
        <f>I1142</f>
        <v>-0.028885493249975545</v>
      </c>
      <c r="Q1129" s="15">
        <f>J1142</f>
        <v>-0.04132503522508904</v>
      </c>
      <c r="R1129" s="15">
        <f>K1142</f>
        <v>-0.04595067158938508</v>
      </c>
      <c r="S1129" s="15">
        <f>L1142</f>
        <v>-0.0211103140979646</v>
      </c>
      <c r="T1129" s="15">
        <f>M1142</f>
        <v>-0.03222881421722935</v>
      </c>
    </row>
    <row r="1130" spans="1:20">
      <c r="A1130" s="14">
        <v>46091</v>
      </c>
      <c r="B1130" s="10">
        <v>1490.542236328125</v>
      </c>
      <c r="C1130" s="10">
        <v>484.5538330078125</v>
      </c>
      <c r="D1130" s="10">
        <v>1605.5</v>
      </c>
      <c r="E1130" s="10">
        <v>24261.599609375</v>
      </c>
      <c r="F1130" s="10">
        <v>744.1500244140625</v>
      </c>
      <c r="I1130" s="15">
        <f>LN(B1130/B1129)</f>
        <v>0.016534922802327483</v>
      </c>
      <c r="J1130" s="15">
        <f>LN(C1130/C1129)</f>
        <v>0.025352141172967527</v>
      </c>
      <c r="K1130" s="15">
        <f>LN(D1130/D1129)</f>
        <v>0.017023543353561505</v>
      </c>
      <c r="L1130" s="15">
        <f>LN(E1130/E1129)</f>
        <v>0.009672907019832675</v>
      </c>
      <c r="M1130" s="15">
        <f>LN(F1130/F1129)</f>
        <v>0.015369863521298951</v>
      </c>
      <c r="O1130" s="14">
        <v>46111</v>
      </c>
      <c r="P1130" s="15">
        <f>I1143</f>
        <v>-0.026427168804071803</v>
      </c>
      <c r="Q1130" s="15">
        <f>J1143</f>
        <v>-0.07500540400475689</v>
      </c>
      <c r="R1130" s="15">
        <f>K1143</f>
        <v>0.003258322724938641</v>
      </c>
      <c r="S1130" s="15">
        <f>L1143</f>
        <v>-0.021626021374847804</v>
      </c>
      <c r="T1130" s="15">
        <f>M1143</f>
        <v>-0.028761536447775564</v>
      </c>
    </row>
    <row r="1131" spans="1:20">
      <c r="A1131" s="14">
        <v>46092</v>
      </c>
      <c r="B1131" s="10">
        <v>1485.354370117188</v>
      </c>
      <c r="C1131" s="10">
        <v>471.7748107910156</v>
      </c>
      <c r="D1131" s="10">
        <v>1575.699951171875</v>
      </c>
      <c r="E1131" s="10">
        <v>23866.849609375</v>
      </c>
      <c r="F1131" s="10">
        <v>731.4000244140625</v>
      </c>
      <c r="I1131" s="15">
        <f>LN(B1131/B1130)</f>
        <v>-0.00348659389251259</v>
      </c>
      <c r="J1131" s="15">
        <f>LN(C1131/C1130)</f>
        <v>-0.026726759640350227</v>
      </c>
      <c r="K1131" s="15">
        <f>LN(D1131/D1130)</f>
        <v>-0.018735647549780785</v>
      </c>
      <c r="L1131" s="15">
        <f>LN(E1131/E1130)</f>
        <v>-0.016404386958885315</v>
      </c>
      <c r="M1131" s="15">
        <f>LN(F1131/F1130)</f>
        <v>-0.01728212112796746</v>
      </c>
      <c r="O1131" s="14">
        <v>46113</v>
      </c>
      <c r="P1131" s="15">
        <f>I1144</f>
        <v>0.03836657355066849</v>
      </c>
      <c r="Q1131" s="15">
        <f>J1144</f>
        <v>0.0996255572808315</v>
      </c>
      <c r="R1131" s="15">
        <f>K1144</f>
        <v>0.007473778408814815</v>
      </c>
      <c r="S1131" s="15">
        <f>L1144</f>
        <v>0.0154632634032261</v>
      </c>
      <c r="T1131" s="15">
        <f>M1144</f>
        <v>0.021046972748381545</v>
      </c>
    </row>
    <row r="1132" spans="1:20">
      <c r="A1132" s="14">
        <v>46093</v>
      </c>
      <c r="B1132" s="10">
        <v>1466.897094726562</v>
      </c>
      <c r="C1132" s="10">
        <v>468.8296508789062</v>
      </c>
      <c r="D1132" s="10">
        <v>1560.199951171875</v>
      </c>
      <c r="E1132" s="10">
        <v>23639.150390625</v>
      </c>
      <c r="F1132" s="10">
        <v>719.5</v>
      </c>
      <c r="I1132" s="15">
        <f>LN(B1132/B1131)</f>
        <v>-0.012504026905412696</v>
      </c>
      <c r="J1132" s="15">
        <f>LN(C1132/C1131)</f>
        <v>-0.006262291232870545</v>
      </c>
      <c r="K1132" s="15">
        <f>LN(D1132/D1131)</f>
        <v>-0.009885600121643384</v>
      </c>
      <c r="L1132" s="15">
        <f>LN(E1132/E1131)</f>
        <v>-0.009586198057198514</v>
      </c>
      <c r="M1132" s="15">
        <f>LN(F1132/F1131)</f>
        <v>-0.016404012767762783</v>
      </c>
      <c r="O1132" s="14">
        <v>46114</v>
      </c>
      <c r="P1132" s="15">
        <f>I1145</f>
        <v>0.021735651163545835</v>
      </c>
      <c r="Q1132" s="15">
        <f>J1145</f>
        <v>0.007889397008878253</v>
      </c>
      <c r="R1132" s="15">
        <f>K1145</f>
        <v>0.004995393435643981</v>
      </c>
      <c r="S1132" s="15">
        <f>L1145</f>
        <v>0.0014847926393626724</v>
      </c>
      <c r="T1132" s="15">
        <f>M1145</f>
        <v>0.010620061995020812</v>
      </c>
    </row>
    <row r="1133" spans="1:20">
      <c r="A1133" s="14">
        <v>46094</v>
      </c>
      <c r="B1133" s="10">
        <v>1448.739135742188</v>
      </c>
      <c r="C1133" s="10">
        <v>449.2618103027344</v>
      </c>
      <c r="D1133" s="10">
        <v>1565.5</v>
      </c>
      <c r="E1133" s="10">
        <v>23151.099609375</v>
      </c>
      <c r="F1133" s="10">
        <v>709.7999877929688</v>
      </c>
      <c r="I1133" s="15">
        <f>LN(B1133/B1132)</f>
        <v>-0.012455733369046136</v>
      </c>
      <c r="J1133" s="15">
        <f>LN(C1133/C1132)</f>
        <v>-0.04263367047433916</v>
      </c>
      <c r="K1133" s="15">
        <f>LN(D1133/D1132)</f>
        <v>0.003391274908315913</v>
      </c>
      <c r="L1133" s="15">
        <f>LN(E1133/E1132)</f>
        <v>-0.020861973679950938</v>
      </c>
      <c r="M1133" s="15">
        <f>LN(F1133/F1132)</f>
        <v>-0.013573303312872818</v>
      </c>
      <c r="O1133" s="14">
        <v>46118</v>
      </c>
      <c r="P1133" s="15">
        <f>I1146</f>
        <v>0.008589940206632805</v>
      </c>
      <c r="Q1133" s="15">
        <f>J1146</f>
        <v>0.008376474333099243</v>
      </c>
      <c r="R1133" s="15">
        <f>K1146</f>
        <v>0.01915705257974789</v>
      </c>
      <c r="S1133" s="15">
        <f>L1146</f>
        <v>0.01117099412238686</v>
      </c>
      <c r="T1133" s="15">
        <f>M1146</f>
        <v>0.022072703854117904</v>
      </c>
    </row>
    <row r="1134" spans="1:20">
      <c r="A1134" s="14">
        <v>46097</v>
      </c>
      <c r="B1134" s="10">
        <v>1414.817993164062</v>
      </c>
      <c r="C1134" s="10">
        <v>441.2250061035156</v>
      </c>
      <c r="D1134" s="10">
        <v>1552.300048828125</v>
      </c>
      <c r="E1134" s="10">
        <v>23408.80078125</v>
      </c>
      <c r="F1134" s="10">
        <v>698.6500244140625</v>
      </c>
      <c r="I1134" s="15">
        <f>LN(B1134/B1133)</f>
        <v>-0.02369272050451378</v>
      </c>
      <c r="J1134" s="15">
        <f>LN(C1134/C1133)</f>
        <v>-0.01805085099845173</v>
      </c>
      <c r="K1134" s="15">
        <f>LN(D1134/D1133)</f>
        <v>-0.00846752827872271</v>
      </c>
      <c r="L1134" s="15">
        <f>LN(E1134/E1133)</f>
        <v>0.011069774688696974</v>
      </c>
      <c r="M1134" s="15">
        <f>LN(F1134/F1133)</f>
        <v>-0.015833286543468102</v>
      </c>
      <c r="O1134" s="14">
        <v>46119</v>
      </c>
      <c r="P1134" s="15">
        <f>I1147</f>
        <v>0.026233580622861262</v>
      </c>
      <c r="Q1134" s="15">
        <f>J1147</f>
        <v>0.00852473806765522</v>
      </c>
      <c r="R1134" s="15">
        <f>K1147</f>
        <v>0.02684429966610049</v>
      </c>
      <c r="S1134" s="15">
        <f>L1147</f>
        <v>0.006743092740219248</v>
      </c>
      <c r="T1134" s="15">
        <f>M1147</f>
        <v>0.016598490920611855</v>
      </c>
    </row>
    <row r="1135" spans="1:20">
      <c r="A1135" s="14">
        <v>46098</v>
      </c>
      <c r="B1135" s="10">
        <v>1454.924926757812</v>
      </c>
      <c r="C1135" s="10">
        <v>448.2135314941406</v>
      </c>
      <c r="D1135" s="10">
        <v>1595.800048828125</v>
      </c>
      <c r="E1135" s="10">
        <v>23581.150390625</v>
      </c>
      <c r="F1135" s="10">
        <v>711.25</v>
      </c>
      <c r="I1135" s="15">
        <f>LN(B1135/B1134)</f>
        <v>0.02795340647937901</v>
      </c>
      <c r="J1135" s="15">
        <f>LN(C1135/C1134)</f>
        <v>0.015714788409331135</v>
      </c>
      <c r="K1135" s="15">
        <f>LN(D1135/D1134)</f>
        <v>0.027637474984340108</v>
      </c>
      <c r="L1135" s="15">
        <f>LN(E1135/E1134)</f>
        <v>0.007335627211391066</v>
      </c>
      <c r="M1135" s="15">
        <f>LN(F1135/F1134)</f>
        <v>0.01787404896945905</v>
      </c>
      <c r="O1135" s="14">
        <v>46120</v>
      </c>
      <c r="P1135" s="15">
        <f>I1148</f>
        <v>0.04725382946903937</v>
      </c>
      <c r="Q1135" s="15">
        <f>J1148</f>
        <v>0.05453106316514863</v>
      </c>
      <c r="R1135" s="15">
        <f>K1148</f>
        <v>0.07017771127000667</v>
      </c>
      <c r="S1135" s="15">
        <f>L1148</f>
        <v>0.03708747109816642</v>
      </c>
      <c r="T1135" s="15">
        <f>M1148</f>
        <v>0.06531212596925325</v>
      </c>
    </row>
    <row r="1136" spans="1:20">
      <c r="A1136" s="14">
        <v>46099</v>
      </c>
      <c r="B1136" s="10">
        <v>1469.391357421875</v>
      </c>
      <c r="C1136" s="10">
        <v>470.0276794433594</v>
      </c>
      <c r="D1136" s="10">
        <v>1627.300048828125</v>
      </c>
      <c r="E1136" s="10">
        <v>23777.80078125</v>
      </c>
      <c r="F1136" s="10">
        <v>730.7999877929688</v>
      </c>
      <c r="I1136" s="15">
        <f>LN(B1136/B1135)</f>
        <v>0.009893969918926607</v>
      </c>
      <c r="J1136" s="15">
        <f>LN(C1136/C1135)</f>
        <v>0.04752183374161847</v>
      </c>
      <c r="K1136" s="15">
        <f>LN(D1136/D1135)</f>
        <v>0.019547021200097905</v>
      </c>
      <c r="L1136" s="15">
        <f>LN(E1136/E1135)</f>
        <v>0.008304724491583992</v>
      </c>
      <c r="M1136" s="15">
        <f>LN(F1136/F1135)</f>
        <v>0.027115822359655557</v>
      </c>
      <c r="O1136" s="14">
        <v>46121</v>
      </c>
      <c r="P1136" s="15">
        <f>I1149</f>
        <v>0.010762286193821082</v>
      </c>
      <c r="Q1136" s="15">
        <f>J1149</f>
        <v>-0.017568971486322672</v>
      </c>
      <c r="R1136" s="15">
        <f>K1149</f>
        <v>-0.0018696769524073895</v>
      </c>
      <c r="S1136" s="15">
        <f>L1149</f>
        <v>-0.009304593215623836</v>
      </c>
      <c r="T1136" s="15">
        <f>M1149</f>
        <v>-0.0026854665350183296</v>
      </c>
    </row>
    <row r="1137" spans="1:20">
      <c r="A1137" s="14">
        <v>46100</v>
      </c>
      <c r="B1137" s="10">
        <v>1442.453857421875</v>
      </c>
      <c r="C1137" s="10">
        <v>447.0653991699219</v>
      </c>
      <c r="D1137" s="10">
        <v>1575.599975585938</v>
      </c>
      <c r="E1137" s="10">
        <v>23002.150390625</v>
      </c>
      <c r="F1137" s="10">
        <v>702.9500122070312</v>
      </c>
      <c r="I1137" s="15">
        <f>LN(B1137/B1136)</f>
        <v>-0.018502541515150243</v>
      </c>
      <c r="J1137" s="15">
        <f>LN(C1137/C1136)</f>
        <v>-0.05008669462309558</v>
      </c>
      <c r="K1137" s="15">
        <f>LN(D1137/D1136)</f>
        <v>-0.032286093070514166</v>
      </c>
      <c r="L1137" s="15">
        <f>LN(E1137/E1136)</f>
        <v>-0.03316469831760482</v>
      </c>
      <c r="M1137" s="15">
        <f>LN(F1137/F1136)</f>
        <v>-0.03885402490884687</v>
      </c>
      <c r="O1137" s="14">
        <v>46122</v>
      </c>
      <c r="P1137" s="15">
        <f>I1150</f>
        <v>0.01094679499005074</v>
      </c>
      <c r="Q1137" s="15">
        <f>J1150</f>
        <v>0.023528077367839982</v>
      </c>
      <c r="R1137" s="15">
        <f>K1150</f>
        <v>0.030865567143495056</v>
      </c>
      <c r="S1137" s="15">
        <f>L1150</f>
        <v>0.011521129932275736</v>
      </c>
      <c r="T1137" s="15">
        <f>M1150</f>
        <v>0.020626147066018646</v>
      </c>
    </row>
    <row r="1138" spans="1:20">
      <c r="A1138" s="14">
        <v>46101</v>
      </c>
      <c r="B1138" s="10">
        <v>1442.453857421875</v>
      </c>
      <c r="C1138" s="10">
        <v>465.0858154296875</v>
      </c>
      <c r="D1138" s="10">
        <v>1543.099975585938</v>
      </c>
      <c r="E1138" s="10">
        <v>23114.5</v>
      </c>
      <c r="F1138" s="10">
        <v>696.4000244140625</v>
      </c>
      <c r="I1138" s="15">
        <f>LN(B1138/B1137)</f>
        <v>0.0</v>
      </c>
      <c r="J1138" s="15">
        <f>LN(C1138/C1137)</f>
        <v>0.03951704709178585</v>
      </c>
      <c r="K1138" s="15">
        <f>LN(D1138/D1137)</f>
        <v>-0.020842772345941528</v>
      </c>
      <c r="L1138" s="15">
        <f>LN(E1138/E1137)</f>
        <v>0.004872419427371909</v>
      </c>
      <c r="M1138" s="15">
        <f>LN(F1138/F1137)</f>
        <v>-0.00936153993978804</v>
      </c>
      <c r="O1138" s="14">
        <v>46125</v>
      </c>
      <c r="P1138" s="15">
        <f>I1151</f>
        <v>0.0080431754733246</v>
      </c>
      <c r="Q1138" s="15">
        <f>J1151</f>
        <v>-0.0057531162828225926</v>
      </c>
      <c r="R1138" s="15">
        <f>K1151</f>
        <v>-0.007741813296715022</v>
      </c>
      <c r="S1138" s="15">
        <f>L1151</f>
        <v>-0.008683917902558702</v>
      </c>
      <c r="T1138" s="15">
        <f>M1151</f>
        <v>-0.0027036684694130967</v>
      </c>
    </row>
    <row r="1139" spans="1:20">
      <c r="A1139" s="14">
        <v>46104</v>
      </c>
      <c r="B1139" s="10">
        <v>1408.233154296875</v>
      </c>
      <c r="C1139" s="10">
        <v>441.4246826171875</v>
      </c>
      <c r="D1139" s="10">
        <v>1477.400024414062</v>
      </c>
      <c r="E1139" s="10">
        <v>22512.650390625</v>
      </c>
      <c r="F1139" s="10">
        <v>663.4000244140625</v>
      </c>
      <c r="I1139" s="15">
        <f>LN(B1139/B1138)</f>
        <v>-0.02400989439873595</v>
      </c>
      <c r="J1139" s="15">
        <f>LN(C1139/C1138)</f>
        <v>-0.05221452667878684</v>
      </c>
      <c r="K1139" s="15">
        <f>LN(D1139/D1138)</f>
        <v>-0.043509561636064134</v>
      </c>
      <c r="L1139" s="15">
        <f>LN(E1139/E1138)</f>
        <v>-0.02638273543442679</v>
      </c>
      <c r="M1139" s="15">
        <f>LN(F1139/F1138)</f>
        <v>-0.04854607963718923</v>
      </c>
      <c r="O1139" s="14">
        <v>46127</v>
      </c>
      <c r="P1139" s="15">
        <f>I1152</f>
        <v>0.012091381326793715</v>
      </c>
      <c r="Q1139" s="15">
        <f>J1152</f>
        <v>0.036518550291242007</v>
      </c>
      <c r="R1139" s="15">
        <f>K1152</f>
        <v>0.018233773100058966</v>
      </c>
      <c r="S1139" s="15">
        <f>L1152</f>
        <v>0.01616920800628811</v>
      </c>
      <c r="T1139" s="15">
        <f>M1152</f>
        <v>0.025233580840005976</v>
      </c>
    </row>
    <row r="1140" spans="1:20">
      <c r="A1140" s="14">
        <v>46105</v>
      </c>
      <c r="B1140" s="10">
        <v>1440.458374023438</v>
      </c>
      <c r="C1140" s="10">
        <v>448.5629272460938</v>
      </c>
      <c r="D1140" s="10">
        <v>1503.5</v>
      </c>
      <c r="E1140" s="10">
        <v>22912.400390625</v>
      </c>
      <c r="F1140" s="10">
        <v>673.9500122070312</v>
      </c>
      <c r="I1140" s="15">
        <f>LN(B1140/B1139)</f>
        <v>0.02262554166308493</v>
      </c>
      <c r="J1140" s="15">
        <f>LN(C1140/C1139)</f>
        <v>0.016041566475644007</v>
      </c>
      <c r="K1140" s="15">
        <f>LN(D1140/D1139)</f>
        <v>0.017511920808927803</v>
      </c>
      <c r="L1140" s="15">
        <f>LN(E1140/E1139)</f>
        <v>0.017600874978779452</v>
      </c>
      <c r="M1140" s="15">
        <f>LN(F1140/F1139)</f>
        <v>0.01577777898257246</v>
      </c>
      <c r="O1140" s="14">
        <v>46128</v>
      </c>
      <c r="P1140" s="15">
        <f>I1153</f>
        <v>0.00275165688940966</v>
      </c>
      <c r="Q1140" s="15">
        <f>J1153</f>
        <v>0.01312498815375217</v>
      </c>
      <c r="R1140" s="15">
        <f>K1153</f>
        <v>0.0001122619464859493</v>
      </c>
      <c r="S1140" s="15">
        <f>L1153</f>
        <v>-0.0014268915041919185</v>
      </c>
      <c r="T1140" s="15">
        <f>M1153</f>
        <v>0.0038557981670352967</v>
      </c>
    </row>
    <row r="1141" spans="1:20">
      <c r="A1141" s="14">
        <v>46106</v>
      </c>
      <c r="B1141" s="10">
        <v>1496.22900390625</v>
      </c>
      <c r="C1141" s="10">
        <v>455.0023803710938</v>
      </c>
      <c r="D1141" s="10">
        <v>1572</v>
      </c>
      <c r="E1141" s="10">
        <v>23306.44921875</v>
      </c>
      <c r="F1141" s="10">
        <v>692.0999755859375</v>
      </c>
      <c r="I1141" s="15">
        <f>LN(B1141/B1140)</f>
        <v>0.03798656708416544</v>
      </c>
      <c r="J1141" s="15">
        <f>LN(C1141/C1140)</f>
        <v>0.014253672853846912</v>
      </c>
      <c r="K1141" s="15">
        <f>LN(D1141/D1140)</f>
        <v>0.044552970560568</v>
      </c>
      <c r="L1141" s="15">
        <f>LN(E1141/E1140)</f>
        <v>0.0170518470014907</v>
      </c>
      <c r="M1141" s="15">
        <f>LN(F1141/F1140)</f>
        <v>0.026574476275533086</v>
      </c>
      <c r="O1141" s="14">
        <v>46129</v>
      </c>
      <c r="P1141" s="15">
        <f>I1154</f>
        <v>0.00011688138448365591</v>
      </c>
      <c r="Q1141" s="15">
        <f>J1154</f>
        <v>0.006644516521166164</v>
      </c>
      <c r="R1141" s="15">
        <f>K1154</f>
        <v>0.00553919577938537</v>
      </c>
      <c r="S1141" s="15">
        <f>L1154</f>
        <v>0.0064593349128548826</v>
      </c>
      <c r="T1141" s="15">
        <f>M1154</f>
        <v>0.009384392103073697</v>
      </c>
    </row>
    <row r="1142" spans="1:20">
      <c r="A1142" s="14">
        <v>46108</v>
      </c>
      <c r="B1142" s="10">
        <v>1453.6279296875</v>
      </c>
      <c r="C1142" s="10">
        <v>436.5826110839844</v>
      </c>
      <c r="D1142" s="10">
        <v>1501.400024414062</v>
      </c>
      <c r="E1142" s="10">
        <v>22819.599609375</v>
      </c>
      <c r="F1142" s="10">
        <v>670.1500244140625</v>
      </c>
      <c r="I1142" s="15">
        <f>LN(B1142/B1141)</f>
        <v>-0.028885493249975545</v>
      </c>
      <c r="J1142" s="15">
        <f>LN(C1142/C1141)</f>
        <v>-0.04132503522508904</v>
      </c>
      <c r="K1142" s="15">
        <f>LN(D1142/D1141)</f>
        <v>-0.04595067158938508</v>
      </c>
      <c r="L1142" s="15">
        <f>LN(E1142/E1141)</f>
        <v>-0.0211103140979646</v>
      </c>
      <c r="M1142" s="15">
        <f>LN(F1142/F1141)</f>
        <v>-0.03222881421722935</v>
      </c>
      <c r="O1142" s="14">
        <v>46132</v>
      </c>
      <c r="P1142" s="15">
        <f>I1155</f>
        <v>-0.0092203917173403</v>
      </c>
      <c r="Q1142" s="15">
        <f>J1155</f>
        <v>-0.01293881848628898</v>
      </c>
      <c r="R1142" s="15">
        <f>K1155</f>
        <v>-0.013651472883704593</v>
      </c>
      <c r="S1142" s="15">
        <f>L1155</f>
        <v>0.0004638423362418336</v>
      </c>
      <c r="T1142" s="15">
        <f>M1155</f>
        <v>-0.006182545055325786</v>
      </c>
    </row>
    <row r="1143" spans="1:20">
      <c r="A1143" s="14">
        <v>46111</v>
      </c>
      <c r="B1143" s="10">
        <v>1415.7158203125</v>
      </c>
      <c r="C1143" s="10">
        <v>405.0344848632813</v>
      </c>
      <c r="D1143" s="10">
        <v>1506.300048828125</v>
      </c>
      <c r="E1143" s="10">
        <v>22331.400390625</v>
      </c>
      <c r="F1143" s="10">
        <v>651.1500244140625</v>
      </c>
      <c r="I1143" s="15">
        <f>LN(B1143/B1142)</f>
        <v>-0.026427168804071803</v>
      </c>
      <c r="J1143" s="15">
        <f>LN(C1143/C1142)</f>
        <v>-0.07500540400475689</v>
      </c>
      <c r="K1143" s="15">
        <f>LN(D1143/D1142)</f>
        <v>0.003258322724938641</v>
      </c>
      <c r="L1143" s="15">
        <f>LN(E1143/E1142)</f>
        <v>-0.021626021374847804</v>
      </c>
      <c r="M1143" s="15">
        <f>LN(F1143/F1142)</f>
        <v>-0.028761536447775564</v>
      </c>
      <c r="O1143" s="14">
        <v>46133</v>
      </c>
      <c r="P1143" s="15">
        <f>I1156</f>
        <v>0.016965411908900694</v>
      </c>
      <c r="Q1143" s="15">
        <f>J1156</f>
        <v>0.014884708342355035</v>
      </c>
      <c r="R1143" s="15">
        <f>K1156</f>
        <v>0.021875596270611225</v>
      </c>
      <c r="S1143" s="15">
        <f>L1156</f>
        <v>0.00865325096320232</v>
      </c>
      <c r="T1143" s="15">
        <f>M1156</f>
        <v>0.021129344180510438</v>
      </c>
    </row>
    <row r="1144" spans="1:20">
      <c r="A1144" s="14">
        <v>46113</v>
      </c>
      <c r="B1144" s="10">
        <v>1471.08740234375</v>
      </c>
      <c r="C1144" s="10">
        <v>447.4647521972656</v>
      </c>
      <c r="D1144" s="10">
        <v>1517.599975585938</v>
      </c>
      <c r="E1144" s="10">
        <v>22679.400390625</v>
      </c>
      <c r="F1144" s="10">
        <v>665</v>
      </c>
      <c r="I1144" s="15">
        <f>LN(B1144/B1143)</f>
        <v>0.03836657355066849</v>
      </c>
      <c r="J1144" s="15">
        <f>LN(C1144/C1143)</f>
        <v>0.0996255572808315</v>
      </c>
      <c r="K1144" s="15">
        <f>LN(D1144/D1143)</f>
        <v>0.007473778408814815</v>
      </c>
      <c r="L1144" s="15">
        <f>LN(E1144/E1143)</f>
        <v>0.0154632634032261</v>
      </c>
      <c r="M1144" s="15">
        <f>LN(F1144/F1143)</f>
        <v>0.021046972748381545</v>
      </c>
      <c r="O1144" s="14">
        <v>46134</v>
      </c>
      <c r="P1144" s="15">
        <f>I1157</f>
        <v>0.005610970742689821</v>
      </c>
      <c r="Q1144" s="15">
        <f>J1157</f>
        <v>0.007746032088909683</v>
      </c>
      <c r="R1144" s="15">
        <f>K1157</f>
        <v>0.0013273004923178768</v>
      </c>
      <c r="S1144" s="15">
        <f>L1157</f>
        <v>-0.00810958257469758</v>
      </c>
      <c r="T1144" s="15">
        <f>M1157</f>
        <v>0.005742448407280393</v>
      </c>
    </row>
    <row r="1145" spans="1:20">
      <c r="A1145" s="14">
        <v>46114</v>
      </c>
      <c r="B1145" s="10">
        <v>1503.412475585938</v>
      </c>
      <c r="C1145" s="10">
        <v>451.0089416503906</v>
      </c>
      <c r="D1145" s="10">
        <v>1525.199951171875</v>
      </c>
      <c r="E1145" s="10">
        <v>22713.099609375</v>
      </c>
      <c r="F1145" s="10">
        <v>672.0999755859375</v>
      </c>
      <c r="I1145" s="15">
        <f>LN(B1145/B1144)</f>
        <v>0.021735651163545835</v>
      </c>
      <c r="J1145" s="15">
        <f>LN(C1145/C1144)</f>
        <v>0.007889397008878253</v>
      </c>
      <c r="K1145" s="15">
        <f>LN(D1145/D1144)</f>
        <v>0.004995393435643981</v>
      </c>
      <c r="L1145" s="15">
        <f>LN(E1145/E1144)</f>
        <v>0.0014847926393626724</v>
      </c>
      <c r="M1145" s="15">
        <f>LN(F1145/F1144)</f>
        <v>0.010620061995020812</v>
      </c>
      <c r="O1145" s="14">
        <v>46135</v>
      </c>
      <c r="P1145" s="15">
        <f>I1158</f>
        <v>-0.015052754398200932</v>
      </c>
      <c r="Q1145" s="15">
        <f>J1158</f>
        <v>-0.01584639614839081</v>
      </c>
      <c r="R1145" s="15">
        <f>K1158</f>
        <v>-0.013408816415535305</v>
      </c>
      <c r="S1145" s="15">
        <f>L1158</f>
        <v>-0.008446763696540498</v>
      </c>
      <c r="T1145" s="15">
        <f>M1158</f>
        <v>-0.018467800208765022</v>
      </c>
    </row>
    <row r="1146" spans="1:20">
      <c r="A1146" s="14">
        <v>46118</v>
      </c>
      <c r="B1146" s="10">
        <v>1516.38232421875</v>
      </c>
      <c r="C1146" s="10">
        <v>454.8026733398438</v>
      </c>
      <c r="D1146" s="10">
        <v>1554.699951171875</v>
      </c>
      <c r="E1146" s="10">
        <v>22968.25</v>
      </c>
      <c r="F1146" s="10">
        <v>687.0999755859375</v>
      </c>
      <c r="I1146" s="15">
        <f>LN(B1146/B1145)</f>
        <v>0.008589940206632805</v>
      </c>
      <c r="J1146" s="15">
        <f>LN(C1146/C1145)</f>
        <v>0.008376474333099243</v>
      </c>
      <c r="K1146" s="15">
        <f>LN(D1146/D1145)</f>
        <v>0.01915705257974789</v>
      </c>
      <c r="L1146" s="15">
        <f>LN(E1146/E1145)</f>
        <v>0.01117099412238686</v>
      </c>
      <c r="M1146" s="15">
        <f>LN(F1146/F1145)</f>
        <v>0.022072703854117904</v>
      </c>
      <c r="O1146" s="14">
        <v>46136</v>
      </c>
      <c r="P1146" s="15">
        <f>I1159</f>
        <v>-0.012195565400615359</v>
      </c>
      <c r="Q1146" s="15">
        <f>J1159</f>
        <v>-0.09847050620755485</v>
      </c>
      <c r="R1146" s="15">
        <f>K1159</f>
        <v>-0.005279145261030682</v>
      </c>
      <c r="S1146" s="15">
        <f>L1159</f>
        <v>-0.011445760055327719</v>
      </c>
      <c r="T1146" s="15">
        <f>M1159</f>
        <v>-0.013596129711868375</v>
      </c>
    </row>
    <row r="1147" spans="1:20">
      <c r="A1147" s="14">
        <v>46119</v>
      </c>
      <c r="B1147" s="10">
        <v>1556.688842773438</v>
      </c>
      <c r="C1147" s="10">
        <v>458.6963195800781</v>
      </c>
      <c r="D1147" s="10">
        <v>1597</v>
      </c>
      <c r="E1147" s="10">
        <v>23123.650390625</v>
      </c>
      <c r="F1147" s="10">
        <v>698.5999755859375</v>
      </c>
      <c r="I1147" s="15">
        <f>LN(B1147/B1146)</f>
        <v>0.026233580622861262</v>
      </c>
      <c r="J1147" s="15">
        <f>LN(C1147/C1146)</f>
        <v>0.00852473806765522</v>
      </c>
      <c r="K1147" s="15">
        <f>LN(D1147/D1146)</f>
        <v>0.02684429966610049</v>
      </c>
      <c r="L1147" s="15">
        <f>LN(E1147/E1146)</f>
        <v>0.006743092740219248</v>
      </c>
      <c r="M1147" s="15">
        <f>LN(F1147/F1146)</f>
        <v>0.016598490920611855</v>
      </c>
      <c r="O1147" s="14">
        <v>46139</v>
      </c>
      <c r="P1147" s="15">
        <f>I1160</f>
        <v>0.0212892279553081</v>
      </c>
      <c r="Q1147" s="15">
        <f>J1160</f>
        <v>0.07997619706835161</v>
      </c>
      <c r="R1147" s="15">
        <f>K1160</f>
        <v>0.013312606787918513</v>
      </c>
      <c r="S1147" s="15">
        <f>L1160</f>
        <v>0.008116209111611542</v>
      </c>
      <c r="T1147" s="15">
        <f>M1160</f>
        <v>0.024316373301667884</v>
      </c>
    </row>
    <row r="1148" spans="1:20">
      <c r="A1148" s="14">
        <v>46120</v>
      </c>
      <c r="B1148" s="10">
        <v>1632.014038085938</v>
      </c>
      <c r="C1148" s="10">
        <v>484.4040832519531</v>
      </c>
      <c r="D1148" s="10">
        <v>1713.099975585938</v>
      </c>
      <c r="E1148" s="10">
        <v>23997.349609375</v>
      </c>
      <c r="F1148" s="10">
        <v>745.75</v>
      </c>
      <c r="I1148" s="15">
        <f>LN(B1148/B1147)</f>
        <v>0.04725382946903937</v>
      </c>
      <c r="J1148" s="15">
        <f>LN(C1148/C1147)</f>
        <v>0.05453106316514863</v>
      </c>
      <c r="K1148" s="15">
        <f>LN(D1148/D1147)</f>
        <v>0.07017771127000667</v>
      </c>
      <c r="L1148" s="15">
        <f>LN(E1148/E1147)</f>
        <v>0.03708747109816642</v>
      </c>
      <c r="M1148" s="15">
        <f>LN(F1148/F1147)</f>
        <v>0.06531212596925325</v>
      </c>
      <c r="O1148" s="14">
        <v>46140</v>
      </c>
      <c r="P1148" s="15">
        <f>I1161</f>
        <v>-0.007572226290838406</v>
      </c>
      <c r="Q1148" s="15">
        <f>J1161</f>
        <v>-0.01569447959656304</v>
      </c>
      <c r="R1148" s="15">
        <f>K1161</f>
        <v>-0.021227171142647838</v>
      </c>
      <c r="S1148" s="15">
        <f>L1161</f>
        <v>-0.004034242549507945</v>
      </c>
      <c r="T1148" s="15">
        <f>M1161</f>
        <v>-0.004148401710539055</v>
      </c>
    </row>
    <row r="1149" spans="1:20">
      <c r="A1149" s="14">
        <v>46121</v>
      </c>
      <c r="B1149" s="10">
        <v>1649.673095703125</v>
      </c>
      <c r="C1149" s="10">
        <v>475.9679260253906</v>
      </c>
      <c r="D1149" s="10">
        <v>1709.900024414062</v>
      </c>
      <c r="E1149" s="10">
        <v>23775.099609375</v>
      </c>
      <c r="F1149" s="10">
        <v>743.75</v>
      </c>
      <c r="I1149" s="15">
        <f>LN(B1149/B1148)</f>
        <v>0.010762286193821082</v>
      </c>
      <c r="J1149" s="15">
        <f>LN(C1149/C1148)</f>
        <v>-0.017568971486322672</v>
      </c>
      <c r="K1149" s="15">
        <f>LN(D1149/D1148)</f>
        <v>-0.0018696769524073895</v>
      </c>
      <c r="L1149" s="15">
        <f>LN(E1149/E1148)</f>
        <v>-0.009304593215623836</v>
      </c>
      <c r="M1149" s="15">
        <f>LN(F1149/F1148)</f>
        <v>-0.0026854665350183296</v>
      </c>
      <c r="O1149" s="14">
        <v>46141</v>
      </c>
      <c r="P1149" s="15">
        <f>I1162</f>
        <v>-0.005864130528699127</v>
      </c>
      <c r="Q1149" s="15">
        <f>J1162</f>
        <v>-0.00447159310609466</v>
      </c>
      <c r="R1149" s="15">
        <f>K1162</f>
        <v>0.01599044477768721</v>
      </c>
      <c r="S1149" s="15">
        <f>L1162</f>
        <v>0.0075540537904852266</v>
      </c>
      <c r="T1149" s="15">
        <f>M1162</f>
        <v>0.014692815329391444</v>
      </c>
    </row>
    <row r="1150" spans="1:20">
      <c r="A1150" s="14">
        <v>46122</v>
      </c>
      <c r="B1150" s="10">
        <v>1667.830932617188</v>
      </c>
      <c r="C1150" s="10">
        <v>487.29931640625</v>
      </c>
      <c r="D1150" s="10">
        <v>1763.5</v>
      </c>
      <c r="E1150" s="10">
        <v>24050.599609375</v>
      </c>
      <c r="F1150" s="10">
        <v>759.25</v>
      </c>
      <c r="I1150" s="15">
        <f>LN(B1150/B1149)</f>
        <v>0.01094679499005074</v>
      </c>
      <c r="J1150" s="15">
        <f>LN(C1150/C1149)</f>
        <v>0.023528077367839982</v>
      </c>
      <c r="K1150" s="15">
        <f>LN(D1150/D1149)</f>
        <v>0.030865567143495056</v>
      </c>
      <c r="L1150" s="15">
        <f>LN(E1150/E1149)</f>
        <v>0.011521129932275736</v>
      </c>
      <c r="M1150" s="15">
        <f>LN(F1150/F1149)</f>
        <v>0.020626147066018646</v>
      </c>
      <c r="O1150" s="14">
        <v>46142</v>
      </c>
      <c r="P1150" s="15">
        <f>I1163</f>
        <v>-0.018220605147147628</v>
      </c>
      <c r="Q1150" s="15">
        <f>J1163</f>
        <v>-0.008181679064711428</v>
      </c>
      <c r="R1150" s="15">
        <f>K1163</f>
        <v>-0.014232540463540928</v>
      </c>
      <c r="S1150" s="15">
        <f>L1163</f>
        <v>-0.007476894502422098</v>
      </c>
      <c r="T1150" s="15">
        <f>M1163</f>
        <v>-0.015070776528157578</v>
      </c>
    </row>
    <row r="1151" spans="1:20">
      <c r="A1151" s="14">
        <v>46125</v>
      </c>
      <c r="B1151" s="10">
        <v>1681.299682617188</v>
      </c>
      <c r="C1151" s="10">
        <v>484.5038757324219</v>
      </c>
      <c r="D1151" s="10">
        <v>1749.900024414062</v>
      </c>
      <c r="E1151" s="10">
        <v>23842.650390625</v>
      </c>
      <c r="F1151" s="10">
        <v>757.2000122070312</v>
      </c>
      <c r="I1151" s="15">
        <f>LN(B1151/B1150)</f>
        <v>0.0080431754733246</v>
      </c>
      <c r="J1151" s="15">
        <f>LN(C1151/C1150)</f>
        <v>-0.0057531162828225926</v>
      </c>
      <c r="K1151" s="15">
        <f>LN(D1151/D1150)</f>
        <v>-0.007741813296715022</v>
      </c>
      <c r="L1151" s="15">
        <f>LN(E1151/E1150)</f>
        <v>-0.008683917902558702</v>
      </c>
      <c r="M1151" s="15">
        <f>LN(F1151/F1150)</f>
        <v>-0.0027036684694130967</v>
      </c>
      <c r="O1151" s="14">
        <v>46146</v>
      </c>
      <c r="P1151" s="15">
        <f>I1164</f>
        <v>0.014331388628842352</v>
      </c>
      <c r="Q1151" s="15">
        <f>J1164</f>
        <v>0.04703805853030937</v>
      </c>
      <c r="R1151" s="15">
        <f>K1164</f>
        <v>0.012611373238875193</v>
      </c>
      <c r="S1151" s="15">
        <f>L1164</f>
        <v>0.005060607910890723</v>
      </c>
      <c r="T1151" s="15">
        <f>M1164</f>
        <v>0.02384551820874574</v>
      </c>
    </row>
    <row r="1152" spans="1:20">
      <c r="A1152" s="14">
        <v>46127</v>
      </c>
      <c r="B1152" s="10">
        <v>1701.752319335938</v>
      </c>
      <c r="C1152" s="10">
        <v>502.5242919921875</v>
      </c>
      <c r="D1152" s="10">
        <v>1782.099975585938</v>
      </c>
      <c r="E1152" s="10">
        <v>24231.30078125</v>
      </c>
      <c r="F1152" s="10">
        <v>776.5499877929688</v>
      </c>
      <c r="I1152" s="15">
        <f>LN(B1152/B1151)</f>
        <v>0.012091381326793715</v>
      </c>
      <c r="J1152" s="15">
        <f>LN(C1152/C1151)</f>
        <v>0.036518550291242007</v>
      </c>
      <c r="K1152" s="15">
        <f>LN(D1152/D1151)</f>
        <v>0.018233773100058966</v>
      </c>
      <c r="L1152" s="15">
        <f>LN(E1152/E1151)</f>
        <v>0.01616920800628811</v>
      </c>
      <c r="M1152" s="15">
        <f>LN(F1152/F1151)</f>
        <v>0.025233580840005976</v>
      </c>
      <c r="O1152" s="14">
        <v>46147</v>
      </c>
      <c r="P1152" s="15">
        <f>I1165</f>
        <v>-0.01630986343717634</v>
      </c>
      <c r="Q1152" s="15">
        <f>J1165</f>
        <v>0.019597063245961218</v>
      </c>
      <c r="R1152" s="15">
        <f>K1165</f>
        <v>0.0036299707082615563</v>
      </c>
      <c r="S1152" s="15">
        <f>L1165</f>
        <v>-0.0035927857866665616</v>
      </c>
      <c r="T1152" s="15">
        <f>M1165</f>
        <v>-0.014189044544620395</v>
      </c>
    </row>
    <row r="1153" spans="1:20">
      <c r="A1153" s="14">
        <v>46128</v>
      </c>
      <c r="B1153" s="10">
        <v>1706.44140625</v>
      </c>
      <c r="C1153" s="10">
        <v>509.1633911132813</v>
      </c>
      <c r="D1153" s="10">
        <v>1782.300048828125</v>
      </c>
      <c r="E1153" s="10">
        <v>24196.75</v>
      </c>
      <c r="F1153" s="10">
        <v>779.5499877929688</v>
      </c>
      <c r="I1153" s="15">
        <f>LN(B1153/B1152)</f>
        <v>0.00275165688940966</v>
      </c>
      <c r="J1153" s="15">
        <f>LN(C1153/C1152)</f>
        <v>0.01312498815375217</v>
      </c>
      <c r="K1153" s="15">
        <f>LN(D1153/D1152)</f>
        <v>0.0001122619464859493</v>
      </c>
      <c r="L1153" s="15">
        <f>LN(E1153/E1152)</f>
        <v>-0.0014268915041919185</v>
      </c>
      <c r="M1153" s="15">
        <f>LN(F1153/F1152)</f>
        <v>0.0038557981670352967</v>
      </c>
      <c r="O1153" s="14">
        <v>46148</v>
      </c>
      <c r="P1153" s="15">
        <f>I1166</f>
        <v>0.004251915593895738</v>
      </c>
      <c r="Q1153" s="15">
        <f>J1166</f>
        <v>0.06724286784538877</v>
      </c>
      <c r="R1153" s="15">
        <f>K1166</f>
        <v>0.024884273915395917</v>
      </c>
      <c r="S1153" s="15">
        <f>L1166</f>
        <v>0.012329573885162747</v>
      </c>
      <c r="T1153" s="15">
        <f>M1166</f>
        <v>0.025932268896984877</v>
      </c>
    </row>
    <row r="1154" spans="1:20">
      <c r="A1154" s="14">
        <v>46129</v>
      </c>
      <c r="B1154" s="10">
        <v>1706.640869140625</v>
      </c>
      <c r="C1154" s="10">
        <v>512.5578002929688</v>
      </c>
      <c r="D1154" s="10">
        <v>1792.199951171875</v>
      </c>
      <c r="E1154" s="10">
        <v>24353.55078125</v>
      </c>
      <c r="F1154" s="10">
        <v>786.9000244140625</v>
      </c>
      <c r="I1154" s="15">
        <f>LN(B1154/B1153)</f>
        <v>0.00011688138448365591</v>
      </c>
      <c r="J1154" s="15">
        <f>LN(C1154/C1153)</f>
        <v>0.006644516521166164</v>
      </c>
      <c r="K1154" s="15">
        <f>LN(D1154/D1153)</f>
        <v>0.00553919577938537</v>
      </c>
      <c r="L1154" s="15">
        <f>LN(E1154/E1153)</f>
        <v>0.0064593349128548826</v>
      </c>
      <c r="M1154" s="15">
        <f>LN(F1154/F1153)</f>
        <v>0.009384392103073697</v>
      </c>
      <c r="O1154" s="14">
        <v>46149</v>
      </c>
      <c r="P1154" s="15">
        <f>I1167</f>
        <v>0.0009556172248375351</v>
      </c>
      <c r="Q1154" s="15">
        <f>J1167</f>
        <v>-0.0013482714925174284</v>
      </c>
      <c r="R1154" s="15">
        <f>K1167</f>
        <v>-0.0052336027706682674</v>
      </c>
      <c r="S1154" s="15">
        <f>L1167</f>
        <v>-0.0001766970903084699</v>
      </c>
      <c r="T1154" s="15">
        <f>M1167</f>
        <v>0.0063038301193534515</v>
      </c>
    </row>
    <row r="1155" spans="1:20">
      <c r="A1155" s="14">
        <v>46132</v>
      </c>
      <c r="B1155" s="10">
        <v>1690.977294921875</v>
      </c>
      <c r="C1155" s="10">
        <v>505.9686279296875</v>
      </c>
      <c r="D1155" s="10">
        <v>1767.900024414062</v>
      </c>
      <c r="E1155" s="10">
        <v>24364.849609375</v>
      </c>
      <c r="F1155" s="10">
        <v>782.0499877929688</v>
      </c>
      <c r="I1155" s="15">
        <f>LN(B1155/B1154)</f>
        <v>-0.0092203917173403</v>
      </c>
      <c r="J1155" s="15">
        <f>LN(C1155/C1154)</f>
        <v>-0.01293881848628898</v>
      </c>
      <c r="K1155" s="15">
        <f>LN(D1155/D1154)</f>
        <v>-0.013651472883704593</v>
      </c>
      <c r="L1155" s="15">
        <f>LN(E1155/E1154)</f>
        <v>0.0004638423362418336</v>
      </c>
      <c r="M1155" s="15">
        <f>LN(F1155/F1154)</f>
        <v>-0.006182545055325786</v>
      </c>
      <c r="O1155" s="14">
        <v>46150</v>
      </c>
      <c r="P1155" s="15">
        <f>I1168</f>
        <v>0.0165782996278733</v>
      </c>
      <c r="Q1155" s="15">
        <f>J1168</f>
        <v>0.008864985098599787</v>
      </c>
      <c r="R1155" s="15">
        <f>K1168</f>
        <v>-0.00010929876976369865</v>
      </c>
      <c r="S1155" s="15">
        <f>L1168</f>
        <v>-0.0062058471093194715</v>
      </c>
      <c r="T1155" s="15">
        <f>M1168</f>
        <v>-0.004724161740690519</v>
      </c>
    </row>
    <row r="1156" spans="1:20">
      <c r="A1156" s="14">
        <v>46133</v>
      </c>
      <c r="B1156" s="10">
        <v>1719.91015625</v>
      </c>
      <c r="C1156" s="10">
        <v>513.55615234375</v>
      </c>
      <c r="D1156" s="10">
        <v>1807</v>
      </c>
      <c r="E1156" s="10">
        <v>24576.599609375</v>
      </c>
      <c r="F1156" s="10">
        <v>798.75</v>
      </c>
      <c r="I1156" s="15">
        <f>LN(B1156/B1155)</f>
        <v>0.016965411908900694</v>
      </c>
      <c r="J1156" s="15">
        <f>LN(C1156/C1155)</f>
        <v>0.014884708342355035</v>
      </c>
      <c r="K1156" s="15">
        <f>LN(D1156/D1155)</f>
        <v>0.021875596270611225</v>
      </c>
      <c r="L1156" s="15">
        <f>LN(E1156/E1155)</f>
        <v>0.00865325096320232</v>
      </c>
      <c r="M1156" s="15">
        <f>LN(F1156/F1155)</f>
        <v>0.021129344180510438</v>
      </c>
      <c r="O1156" s="14">
        <v>46153</v>
      </c>
      <c r="P1156" s="15">
        <f>I1169</f>
        <v>-0.04093220015554379</v>
      </c>
      <c r="Q1156" s="15">
        <f>J1169</f>
        <v>-0.040573167089621893</v>
      </c>
      <c r="R1156" s="15">
        <f>K1169</f>
        <v>-0.010109433960472465</v>
      </c>
      <c r="S1156" s="15">
        <f>L1169</f>
        <v>-0.015015317164036516</v>
      </c>
      <c r="T1156" s="15">
        <f>M1169</f>
        <v>-0.030949977855460324</v>
      </c>
    </row>
    <row r="1157" spans="1:20">
      <c r="A1157" s="14">
        <v>46134</v>
      </c>
      <c r="B1157" s="10">
        <v>1729.587646484375</v>
      </c>
      <c r="C1157" s="10">
        <v>517.5496215820312</v>
      </c>
      <c r="D1157" s="10">
        <v>1809.400024414062</v>
      </c>
      <c r="E1157" s="10">
        <v>24378.099609375</v>
      </c>
      <c r="F1157" s="10">
        <v>803.3499755859375</v>
      </c>
      <c r="I1157" s="15">
        <f>LN(B1157/B1156)</f>
        <v>0.005610970742689821</v>
      </c>
      <c r="J1157" s="15">
        <f>LN(C1157/C1156)</f>
        <v>0.007746032088909683</v>
      </c>
      <c r="K1157" s="15">
        <f>LN(D1157/D1156)</f>
        <v>0.0013273004923178768</v>
      </c>
      <c r="L1157" s="15">
        <f>LN(E1157/E1156)</f>
        <v>-0.00810958257469758</v>
      </c>
      <c r="M1157" s="15">
        <f>LN(F1157/F1156)</f>
        <v>0.005742448407280393</v>
      </c>
      <c r="O1157" s="14">
        <v>46154</v>
      </c>
      <c r="P1157" s="15">
        <f>I1170</f>
        <v>-0.004905854595338218</v>
      </c>
      <c r="Q1157" s="15">
        <f>J1170</f>
        <v>-0.06938413721905248</v>
      </c>
      <c r="R1157" s="15">
        <f>K1170</f>
        <v>-0.045124696552816146</v>
      </c>
      <c r="S1157" s="15">
        <f>L1170</f>
        <v>-0.018489566950081734</v>
      </c>
      <c r="T1157" s="15">
        <f>M1170</f>
        <v>-0.04194450359367363</v>
      </c>
    </row>
    <row r="1158" spans="1:20">
      <c r="A1158" s="14">
        <v>46135</v>
      </c>
      <c r="B1158" s="10">
        <v>1703.74755859375</v>
      </c>
      <c r="C1158" s="10">
        <v>509.4129638671875</v>
      </c>
      <c r="D1158" s="10">
        <v>1785.300048828125</v>
      </c>
      <c r="E1158" s="10">
        <v>24173.05078125</v>
      </c>
      <c r="F1158" s="10">
        <v>788.6500244140625</v>
      </c>
      <c r="I1158" s="15">
        <f>LN(B1158/B1157)</f>
        <v>-0.015052754398200932</v>
      </c>
      <c r="J1158" s="15">
        <f>LN(C1158/C1157)</f>
        <v>-0.01584639614839081</v>
      </c>
      <c r="K1158" s="15">
        <f>LN(D1158/D1157)</f>
        <v>-0.013408816415535305</v>
      </c>
      <c r="L1158" s="15">
        <f>LN(E1158/E1157)</f>
        <v>-0.008446763696540498</v>
      </c>
      <c r="M1158" s="15">
        <f>LN(F1158/F1157)</f>
        <v>-0.018467800208765022</v>
      </c>
      <c r="O1158" s="14">
        <v>46155</v>
      </c>
      <c r="P1158" s="15">
        <f>I1171</f>
        <v>-0.004930040706942754</v>
      </c>
      <c r="Q1158" s="15">
        <f>J1171</f>
        <v>-0.008896031190351735</v>
      </c>
      <c r="R1158" s="15">
        <f>K1171</f>
        <v>0.00426588780999494</v>
      </c>
      <c r="S1158" s="15">
        <f>L1171</f>
        <v>0.001412580244529267</v>
      </c>
      <c r="T1158" s="15">
        <f>M1171</f>
        <v>-0.0018955032904496368</v>
      </c>
    </row>
    <row r="1159" spans="1:20">
      <c r="A1159" s="14">
        <v>46136</v>
      </c>
      <c r="B1159" s="10">
        <v>1683.095581054688</v>
      </c>
      <c r="C1159" s="10">
        <v>461.6414489746094</v>
      </c>
      <c r="D1159" s="10">
        <v>1775.900024414062</v>
      </c>
      <c r="E1159" s="10">
        <v>23897.94921875</v>
      </c>
      <c r="F1159" s="10">
        <v>778</v>
      </c>
      <c r="I1159" s="15">
        <f>LN(B1159/B1158)</f>
        <v>-0.012195565400615359</v>
      </c>
      <c r="J1159" s="15">
        <f>LN(C1159/C1158)</f>
        <v>-0.09847050620755485</v>
      </c>
      <c r="K1159" s="15">
        <f>LN(D1159/D1158)</f>
        <v>-0.005279145261030682</v>
      </c>
      <c r="L1159" s="15">
        <f>LN(E1159/E1158)</f>
        <v>-0.011445760055327719</v>
      </c>
      <c r="M1159" s="15">
        <f>LN(F1159/F1158)</f>
        <v>-0.013596129711868375</v>
      </c>
      <c r="O1159" s="14">
        <v>46156</v>
      </c>
      <c r="P1159" s="15">
        <f>I1172</f>
        <v>0.012844731706538468</v>
      </c>
      <c r="Q1159" s="15">
        <f>J1172</f>
        <v>-0.007255214831137383</v>
      </c>
      <c r="R1159" s="15">
        <f>K1172</f>
        <v>0.012519112804246725</v>
      </c>
      <c r="S1159" s="15">
        <f>L1172</f>
        <v>0.011761794478008175</v>
      </c>
      <c r="T1159" s="15">
        <f>M1172</f>
        <v>0.007625384071802643</v>
      </c>
    </row>
    <row r="1160" spans="1:20">
      <c r="A1160" s="14">
        <v>46139</v>
      </c>
      <c r="B1160" s="10">
        <v>1719.3115234375</v>
      </c>
      <c r="C1160" s="10">
        <v>500.0783081054687</v>
      </c>
      <c r="D1160" s="10">
        <v>1799.699951171875</v>
      </c>
      <c r="E1160" s="10">
        <v>24092.69921875</v>
      </c>
      <c r="F1160" s="10">
        <v>797.1500244140625</v>
      </c>
      <c r="I1160" s="15">
        <f>LN(B1160/B1159)</f>
        <v>0.0212892279553081</v>
      </c>
      <c r="J1160" s="15">
        <f>LN(C1160/C1159)</f>
        <v>0.07997619706835161</v>
      </c>
      <c r="K1160" s="15">
        <f>LN(D1160/D1159)</f>
        <v>0.013312606787918513</v>
      </c>
      <c r="L1160" s="15">
        <f>LN(E1160/E1159)</f>
        <v>0.008116209111611542</v>
      </c>
      <c r="M1160" s="15">
        <f>LN(F1160/F1159)</f>
        <v>0.024316373301667884</v>
      </c>
      <c r="O1160" s="14">
        <v>46157</v>
      </c>
      <c r="P1160" s="15">
        <f>I1173</f>
        <v>-0.012535551029462192</v>
      </c>
      <c r="Q1160" s="15">
        <f>J1173</f>
        <v>-0.012619727997464062</v>
      </c>
      <c r="R1160" s="15">
        <f>K1173</f>
        <v>-0.012461604342534788</v>
      </c>
      <c r="S1160" s="15">
        <f>L1173</f>
        <v>-0.0019478810528585342</v>
      </c>
      <c r="T1160" s="15">
        <f>M1173</f>
        <v>-0.01808223812122456</v>
      </c>
    </row>
    <row r="1161" spans="1:20">
      <c r="A1161" s="14">
        <v>46140</v>
      </c>
      <c r="B1161" s="10">
        <v>1706.341674804688</v>
      </c>
      <c r="C1161" s="10">
        <v>492.2911071777344</v>
      </c>
      <c r="D1161" s="10">
        <v>1761.900024414062</v>
      </c>
      <c r="E1161" s="10">
        <v>23995.69921875</v>
      </c>
      <c r="F1161" s="10">
        <v>793.8499755859375</v>
      </c>
      <c r="I1161" s="15">
        <f>LN(B1161/B1160)</f>
        <v>-0.007572226290838406</v>
      </c>
      <c r="J1161" s="15">
        <f>LN(C1161/C1160)</f>
        <v>-0.01569447959656304</v>
      </c>
      <c r="K1161" s="15">
        <f>LN(D1161/D1160)</f>
        <v>-0.021227171142647838</v>
      </c>
      <c r="L1161" s="15">
        <f>LN(E1161/E1160)</f>
        <v>-0.004034242549507945</v>
      </c>
      <c r="M1161" s="15">
        <f>LN(F1161/F1160)</f>
        <v>-0.004148401710539055</v>
      </c>
      <c r="O1161" s="14">
        <v>46160</v>
      </c>
      <c r="P1161" s="15">
        <f>I1174</f>
        <v>-0.01025522648383041</v>
      </c>
      <c r="Q1161" s="15">
        <f>J1174</f>
        <v>-0.02478221597149078</v>
      </c>
      <c r="R1161" s="15">
        <f>K1174</f>
        <v>-0.008027547086054517</v>
      </c>
      <c r="S1161" s="15">
        <f>L1174</f>
        <v>0.0002727320124251536</v>
      </c>
      <c r="T1161" s="15">
        <f>M1174</f>
        <v>-0.005768258110066286</v>
      </c>
    </row>
    <row r="1162" spans="1:20">
      <c r="A1162" s="14">
        <v>46141</v>
      </c>
      <c r="B1162" s="10">
        <v>1696.36474609375</v>
      </c>
      <c r="C1162" s="10">
        <v>490.0946960449219</v>
      </c>
      <c r="D1162" s="10">
        <v>1790.300048828125</v>
      </c>
      <c r="E1162" s="10">
        <v>24177.650390625</v>
      </c>
      <c r="F1162" s="10">
        <v>805.5999755859375</v>
      </c>
      <c r="I1162" s="15">
        <f>LN(B1162/B1161)</f>
        <v>-0.005864130528699127</v>
      </c>
      <c r="J1162" s="15">
        <f>LN(C1162/C1161)</f>
        <v>-0.00447159310609466</v>
      </c>
      <c r="K1162" s="15">
        <f>LN(D1162/D1161)</f>
        <v>0.01599044477768721</v>
      </c>
      <c r="L1162" s="15">
        <f>LN(E1162/E1161)</f>
        <v>0.0075540537904852266</v>
      </c>
      <c r="M1162" s="15">
        <f>LN(F1162/F1161)</f>
        <v>0.014692815329391444</v>
      </c>
      <c r="O1162" s="14">
        <v>46161</v>
      </c>
      <c r="P1162" s="15">
        <f>I1175</f>
        <v>0.013218989508861561</v>
      </c>
      <c r="Q1162" s="15">
        <f>J1175</f>
        <v>0.012934341138512506</v>
      </c>
      <c r="R1162" s="15">
        <f>K1175</f>
        <v>-0.0016248417792407751</v>
      </c>
      <c r="S1162" s="15">
        <f>L1175</f>
        <v>-0.0013518345578153919</v>
      </c>
      <c r="T1162" s="15">
        <f>M1175</f>
        <v>0.014194936563760427</v>
      </c>
    </row>
    <row r="1163" spans="1:20">
      <c r="A1163" s="14">
        <v>46142</v>
      </c>
      <c r="B1163" s="10">
        <v>1665.73583984375</v>
      </c>
      <c r="C1163" s="10">
        <v>486.1012573242187</v>
      </c>
      <c r="D1163" s="10">
        <v>1765</v>
      </c>
      <c r="E1163" s="10">
        <v>23997.55078125</v>
      </c>
      <c r="F1163" s="10">
        <v>793.5499877929688</v>
      </c>
      <c r="I1163" s="15">
        <f>LN(B1163/B1162)</f>
        <v>-0.018220605147147628</v>
      </c>
      <c r="J1163" s="15">
        <f>LN(C1163/C1162)</f>
        <v>-0.008181679064711428</v>
      </c>
      <c r="K1163" s="15">
        <f>LN(D1163/D1162)</f>
        <v>-0.014232540463540928</v>
      </c>
      <c r="L1163" s="15">
        <f>LN(E1163/E1162)</f>
        <v>-0.007476894502422098</v>
      </c>
      <c r="M1163" s="15">
        <f>LN(F1163/F1162)</f>
        <v>-0.015070776528157578</v>
      </c>
      <c r="O1163" s="14">
        <v>46162</v>
      </c>
      <c r="P1163" s="15">
        <f>I1176</f>
        <v>0.0028934062531095752</v>
      </c>
      <c r="Q1163" s="15">
        <f>J1176</f>
        <v>0.01287151345010859</v>
      </c>
      <c r="R1163" s="15">
        <f>K1176</f>
        <v>0.01355620502509335</v>
      </c>
      <c r="S1163" s="15">
        <f>L1176</f>
        <v>0.0017344590510618102</v>
      </c>
      <c r="T1163" s="15">
        <f>M1176</f>
        <v>0.005687187201308759</v>
      </c>
    </row>
    <row r="1164" spans="1:20">
      <c r="A1164" s="14">
        <v>46146</v>
      </c>
      <c r="B1164" s="10">
        <v>1689.780029296875</v>
      </c>
      <c r="C1164" s="10">
        <v>509.5128173828125</v>
      </c>
      <c r="D1164" s="10">
        <v>1787.400024414062</v>
      </c>
      <c r="E1164" s="10">
        <v>24119.30078125</v>
      </c>
      <c r="F1164" s="10">
        <v>812.7000122070312</v>
      </c>
      <c r="I1164" s="15">
        <f>LN(B1164/B1163)</f>
        <v>0.014331388628842352</v>
      </c>
      <c r="J1164" s="15">
        <f>LN(C1164/C1163)</f>
        <v>0.04703805853030937</v>
      </c>
      <c r="K1164" s="15">
        <f>LN(D1164/D1163)</f>
        <v>0.012611373238875193</v>
      </c>
      <c r="L1164" s="15">
        <f>LN(E1164/E1163)</f>
        <v>0.005060607910890723</v>
      </c>
      <c r="M1164" s="15">
        <f>LN(F1164/F1163)</f>
        <v>0.02384551820874574</v>
      </c>
      <c r="O1164" s="14">
        <v>46163</v>
      </c>
      <c r="P1164" s="15">
        <f>I1177</f>
        <v>0.01688503644542547</v>
      </c>
      <c r="Q1164" s="15">
        <f>J1177</f>
        <v>0.04315199738932795</v>
      </c>
      <c r="R1164" s="15">
        <f>K1177</f>
        <v>0.02846840224844351</v>
      </c>
      <c r="S1164" s="15">
        <f>L1177</f>
        <v>-0.00018179856290503812</v>
      </c>
      <c r="T1164" s="15">
        <f>M1177</f>
        <v>0.01044004941298859</v>
      </c>
    </row>
    <row r="1165" spans="1:20">
      <c r="A1165" s="14">
        <v>46147</v>
      </c>
      <c r="B1165" s="10">
        <v>1662.443481445312</v>
      </c>
      <c r="C1165" s="10">
        <v>519.5962524414062</v>
      </c>
      <c r="D1165" s="10">
        <v>1793.900024414062</v>
      </c>
      <c r="E1165" s="10">
        <v>24032.80078125</v>
      </c>
      <c r="F1165" s="10">
        <v>801.25</v>
      </c>
      <c r="I1165" s="15">
        <f>LN(B1165/B1164)</f>
        <v>-0.01630986343717634</v>
      </c>
      <c r="J1165" s="15">
        <f>LN(C1165/C1164)</f>
        <v>0.019597063245961218</v>
      </c>
      <c r="K1165" s="15">
        <f>LN(D1165/D1164)</f>
        <v>0.0036299707082615563</v>
      </c>
      <c r="L1165" s="15">
        <f>LN(E1165/E1164)</f>
        <v>-0.0035927857866665616</v>
      </c>
      <c r="M1165" s="15">
        <f>LN(F1165/F1164)</f>
        <v>-0.014189044544620395</v>
      </c>
      <c r="O1165" s="14">
        <v>46164</v>
      </c>
      <c r="P1165" s="15">
        <f>I1178</f>
        <v>0.0031381757842740125</v>
      </c>
      <c r="Q1165" s="15">
        <f>J1178</f>
        <v>-0.012423699425105489</v>
      </c>
      <c r="R1165" s="15">
        <f>K1178</f>
        <v>-0.003011660025219619</v>
      </c>
      <c r="S1165" s="15">
        <f>L1178</f>
        <v>0.0027273020029192283</v>
      </c>
      <c r="T1165" s="15">
        <f>M1178</f>
        <v>-0.0009034543007229454</v>
      </c>
    </row>
    <row r="1166" spans="1:20">
      <c r="A1166" s="14">
        <v>46148</v>
      </c>
      <c r="B1166" s="10">
        <v>1669.527099609375</v>
      </c>
      <c r="C1166" s="10">
        <v>555.7368774414062</v>
      </c>
      <c r="D1166" s="10">
        <v>1839.099975585938</v>
      </c>
      <c r="E1166" s="10">
        <v>24330.94921875</v>
      </c>
      <c r="F1166" s="10">
        <v>822.2999877929688</v>
      </c>
      <c r="I1166" s="15">
        <f>LN(B1166/B1165)</f>
        <v>0.004251915593895738</v>
      </c>
      <c r="J1166" s="15">
        <f>LN(C1166/C1165)</f>
        <v>0.06724286784538877</v>
      </c>
      <c r="K1166" s="15">
        <f>LN(D1166/D1165)</f>
        <v>0.024884273915395917</v>
      </c>
      <c r="L1166" s="15">
        <f>LN(E1166/E1165)</f>
        <v>0.012329573885162747</v>
      </c>
      <c r="M1166" s="15">
        <f>LN(F1166/F1165)</f>
        <v>0.025932268896984877</v>
      </c>
      <c r="O1166" s="14">
        <v>46167</v>
      </c>
      <c r="P1166" s="15">
        <f>I1179</f>
        <v>0.03131933147832398</v>
      </c>
      <c r="Q1166" s="15">
        <f>J1179</f>
        <v>0.007019619275056359</v>
      </c>
      <c r="R1166" s="15">
        <f>K1179</f>
        <v>0.01072258203950398</v>
      </c>
      <c r="S1166" s="15">
        <f>L1179</f>
        <v>0.013084663968970206</v>
      </c>
      <c r="T1166" s="15">
        <f>M1179</f>
        <v>0.01493182061914605</v>
      </c>
    </row>
    <row r="1167" spans="1:20">
      <c r="A1167" s="14">
        <v>46149</v>
      </c>
      <c r="B1167" s="10">
        <v>1671.123291015625</v>
      </c>
      <c r="C1167" s="10">
        <v>554.9880981445312</v>
      </c>
      <c r="D1167" s="10">
        <v>1829.5</v>
      </c>
      <c r="E1167" s="10">
        <v>24326.650390625</v>
      </c>
      <c r="F1167" s="10">
        <v>827.5</v>
      </c>
      <c r="I1167" s="15">
        <f>LN(B1167/B1166)</f>
        <v>0.0009556172248375351</v>
      </c>
      <c r="J1167" s="15">
        <f>LN(C1167/C1166)</f>
        <v>-0.0013482714925174284</v>
      </c>
      <c r="K1167" s="15">
        <f>LN(D1167/D1166)</f>
        <v>-0.0052336027706682674</v>
      </c>
      <c r="L1167" s="15">
        <f>LN(E1167/E1166)</f>
        <v>-0.0001766970903084699</v>
      </c>
      <c r="M1167" s="15">
        <f>LN(F1167/F1166)</f>
        <v>0.0063038301193534515</v>
      </c>
      <c r="O1167" s="14">
        <v>46168</v>
      </c>
      <c r="P1167" s="15">
        <f>I1180</f>
        <v>-0.010980487850614987</v>
      </c>
      <c r="Q1167" s="15">
        <f>J1180</f>
        <v>-0.007317364512285714</v>
      </c>
      <c r="R1167" s="15">
        <f>K1180</f>
        <v>-0.013463319450898814</v>
      </c>
      <c r="S1167" s="15">
        <f>L1180</f>
        <v>-0.004922275842741698</v>
      </c>
      <c r="T1167" s="15">
        <f>M1180</f>
        <v>-0.005165647562625471</v>
      </c>
    </row>
    <row r="1168" spans="1:20">
      <c r="A1168" s="14">
        <v>46150</v>
      </c>
      <c r="B1168" s="10">
        <v>1699.05859375</v>
      </c>
      <c r="C1168" s="10">
        <v>559.929931640625</v>
      </c>
      <c r="D1168" s="10">
        <v>1829.300048828125</v>
      </c>
      <c r="E1168" s="10">
        <v>24176.150390625</v>
      </c>
      <c r="F1168" s="10">
        <v>823.5999755859375</v>
      </c>
      <c r="I1168" s="15">
        <f>LN(B1168/B1167)</f>
        <v>0.0165782996278733</v>
      </c>
      <c r="J1168" s="15">
        <f>LN(C1168/C1167)</f>
        <v>0.008864985098599787</v>
      </c>
      <c r="K1168" s="15">
        <f>LN(D1168/D1167)</f>
        <v>-0.00010929876976369865</v>
      </c>
      <c r="L1168" s="15">
        <f>LN(E1168/E1167)</f>
        <v>-0.0062058471093194715</v>
      </c>
      <c r="M1168" s="15">
        <f>LN(F1168/F1167)</f>
        <v>-0.004724161740690519</v>
      </c>
      <c r="O1168" s="14">
        <v>46169</v>
      </c>
      <c r="P1168" s="15">
        <f>I1181</f>
        <v>-0.0006496430493817047</v>
      </c>
      <c r="Q1168" s="15">
        <f>J1181</f>
        <v>0.008892454172077988</v>
      </c>
      <c r="R1168" s="15">
        <f>K1181</f>
        <v>-0.0076464868831259206</v>
      </c>
      <c r="S1168" s="15">
        <f>L1181</f>
        <v>-0.0002738900801400246</v>
      </c>
      <c r="T1168" s="15">
        <f>M1181</f>
        <v>0.003255548900488462</v>
      </c>
    </row>
    <row r="1169" spans="1:20">
      <c r="A1169" s="14">
        <v>46153</v>
      </c>
      <c r="B1169" s="10">
        <v>1630.91650390625</v>
      </c>
      <c r="C1169" s="10">
        <v>537.66650390625</v>
      </c>
      <c r="D1169" s="10">
        <v>1810.900024414062</v>
      </c>
      <c r="E1169" s="10">
        <v>23815.849609375</v>
      </c>
      <c r="F1169" s="10">
        <v>798.5</v>
      </c>
      <c r="I1169" s="15">
        <f>LN(B1169/B1168)</f>
        <v>-0.04093220015554379</v>
      </c>
      <c r="J1169" s="15">
        <f>LN(C1169/C1168)</f>
        <v>-0.040573167089621893</v>
      </c>
      <c r="K1169" s="15">
        <f>LN(D1169/D1168)</f>
        <v>-0.010109433960472465</v>
      </c>
      <c r="L1169" s="15">
        <f>LN(E1169/E1168)</f>
        <v>-0.015015317164036516</v>
      </c>
      <c r="M1169" s="15">
        <f>LN(F1169/F1168)</f>
        <v>-0.030949977855460324</v>
      </c>
      <c r="O1169" s="14">
        <v>46171</v>
      </c>
      <c r="P1169" s="15">
        <f>I1182</f>
        <v>0.008530238612392417</v>
      </c>
      <c r="Q1169" s="15">
        <f>J1182</f>
        <v>0.011443266680231807</v>
      </c>
      <c r="R1169" s="15">
        <f>K1182</f>
        <v>-0.0003387511498664951</v>
      </c>
      <c r="S1169" s="15">
        <f>L1182</f>
        <v>-0.015147319219471595</v>
      </c>
      <c r="T1169" s="15">
        <f>M1182</f>
        <v>-0.0025524869083313924</v>
      </c>
    </row>
    <row r="1170" spans="1:20">
      <c r="A1170" s="14">
        <v>46154</v>
      </c>
      <c r="B1170" s="10">
        <v>1622.93505859375</v>
      </c>
      <c r="C1170" s="10">
        <v>501.6257629394531</v>
      </c>
      <c r="D1170" s="10">
        <v>1731</v>
      </c>
      <c r="E1170" s="10">
        <v>23379.55078125</v>
      </c>
      <c r="F1170" s="10">
        <v>765.7000122070312</v>
      </c>
      <c r="I1170" s="15">
        <f>LN(B1170/B1169)</f>
        <v>-0.004905854595338218</v>
      </c>
      <c r="J1170" s="15">
        <f>LN(C1170/C1169)</f>
        <v>-0.06938413721905248</v>
      </c>
      <c r="K1170" s="15">
        <f>LN(D1170/D1169)</f>
        <v>-0.045124696552816146</v>
      </c>
      <c r="L1170" s="15">
        <f>LN(E1170/E1169)</f>
        <v>-0.018489566950081734</v>
      </c>
      <c r="M1170" s="15">
        <f>LN(F1170/F1169)</f>
        <v>-0.04194450359367363</v>
      </c>
      <c r="O1170" s="14">
        <v>46174</v>
      </c>
      <c r="P1170" s="15">
        <f>I1183</f>
        <v>-0.034384453044866176</v>
      </c>
      <c r="Q1170" s="15">
        <f>J1183</f>
        <v>0.04655101174823401</v>
      </c>
      <c r="R1170" s="15">
        <f>K1183</f>
        <v>-0.013299373256200899</v>
      </c>
      <c r="S1170" s="15">
        <f>L1183</f>
        <v>-0.007038135182494777</v>
      </c>
      <c r="T1170" s="15">
        <f>M1183</f>
        <v>-0.018507670735230037</v>
      </c>
    </row>
    <row r="1171" spans="1:20">
      <c r="A1171" s="14">
        <v>46155</v>
      </c>
      <c r="B1171" s="10">
        <v>1614.95361328125</v>
      </c>
      <c r="C1171" s="10">
        <v>497.1830749511719</v>
      </c>
      <c r="D1171" s="10">
        <v>1738.400024414062</v>
      </c>
      <c r="E1171" s="10">
        <v>23412.599609375</v>
      </c>
      <c r="F1171" s="10">
        <v>764.25</v>
      </c>
      <c r="I1171" s="15">
        <f>LN(B1171/B1170)</f>
        <v>-0.004930040706942754</v>
      </c>
      <c r="J1171" s="15">
        <f>LN(C1171/C1170)</f>
        <v>-0.008896031190351735</v>
      </c>
      <c r="K1171" s="15">
        <f>LN(D1171/D1170)</f>
        <v>0.00426588780999494</v>
      </c>
      <c r="L1171" s="15">
        <f>LN(E1171/E1170)</f>
        <v>0.001412580244529267</v>
      </c>
      <c r="M1171" s="15">
        <f>LN(F1171/F1170)</f>
        <v>-0.0018955032904496368</v>
      </c>
      <c r="O1171" s="14">
        <v>46175</v>
      </c>
      <c r="P1171" s="15">
        <f>I1184</f>
        <v>0.015222407071457904</v>
      </c>
      <c r="Q1171" s="15">
        <f>J1184</f>
        <v>0.0248442863739721</v>
      </c>
      <c r="R1171" s="15">
        <f>K1184</f>
        <v>-0.023737581208510942</v>
      </c>
      <c r="S1171" s="15">
        <f>L1184</f>
        <v>0.004308069989399964</v>
      </c>
      <c r="T1171" s="15">
        <f>M1184</f>
        <v>0.006681564112682167</v>
      </c>
    </row>
    <row r="1172" spans="1:20">
      <c r="A1172" s="14">
        <v>46156</v>
      </c>
      <c r="B1172" s="10">
        <v>1635.8310546875</v>
      </c>
      <c r="C1172" s="10">
        <v>493.5889587402344</v>
      </c>
      <c r="D1172" s="10">
        <v>1760.300048828125</v>
      </c>
      <c r="E1172" s="10">
        <v>23689.599609375</v>
      </c>
      <c r="F1172" s="10">
        <v>770.0999755859375</v>
      </c>
      <c r="I1172" s="15">
        <f>LN(B1172/B1171)</f>
        <v>0.012844731706538468</v>
      </c>
      <c r="J1172" s="15">
        <f>LN(C1172/C1171)</f>
        <v>-0.007255214831137383</v>
      </c>
      <c r="K1172" s="15">
        <f>LN(D1172/D1171)</f>
        <v>0.012519112804246725</v>
      </c>
      <c r="L1172" s="15">
        <f>LN(E1172/E1171)</f>
        <v>0.011761794478008175</v>
      </c>
      <c r="M1172" s="15">
        <f>LN(F1172/F1171)</f>
        <v>0.007625384071802643</v>
      </c>
      <c r="O1172" s="14">
        <v>46176</v>
      </c>
      <c r="P1172" s="15">
        <f>I1185</f>
        <v>-0.02252438870001541</v>
      </c>
      <c r="Q1172" s="15">
        <f>J1185</f>
        <v>-0.007635132836769606</v>
      </c>
      <c r="R1172" s="15">
        <f>K1185</f>
        <v>0.0021069746228322664</v>
      </c>
      <c r="S1172" s="15">
        <f>L1185</f>
        <v>-0.003324916021661275</v>
      </c>
      <c r="T1172" s="15">
        <f>M1185</f>
        <v>-0.013998080505701494</v>
      </c>
    </row>
    <row r="1173" spans="1:20">
      <c r="A1173" s="14">
        <v>46157</v>
      </c>
      <c r="B1173" s="10">
        <v>1615.453002929688</v>
      </c>
      <c r="C1173" s="10">
        <v>487.3991394042969</v>
      </c>
      <c r="D1173" s="10">
        <v>1738.5</v>
      </c>
      <c r="E1173" s="10">
        <v>23643.5</v>
      </c>
      <c r="F1173" s="10">
        <v>756.2999877929688</v>
      </c>
      <c r="I1173" s="15">
        <f>LN(B1173/B1172)</f>
        <v>-0.012535551029462192</v>
      </c>
      <c r="J1173" s="15">
        <f>LN(C1173/C1172)</f>
        <v>-0.012619727997464062</v>
      </c>
      <c r="K1173" s="15">
        <f>LN(D1173/D1172)</f>
        <v>-0.012461604342534788</v>
      </c>
      <c r="L1173" s="15">
        <f>LN(E1173/E1172)</f>
        <v>-0.0019478810528585342</v>
      </c>
      <c r="M1173" s="15">
        <f>LN(F1173/F1172)</f>
        <v>-0.01808223812122456</v>
      </c>
      <c r="O1173" s="14">
        <v>46177</v>
      </c>
      <c r="P1173" s="15">
        <f>I1186</f>
        <v>-0.0033646131690109648</v>
      </c>
      <c r="Q1173" s="15">
        <f>J1186</f>
        <v>0.072744947147213</v>
      </c>
      <c r="R1173" s="15">
        <f>K1186</f>
        <v>0.010931570011397638</v>
      </c>
      <c r="S1173" s="15">
        <f>L1186</f>
        <v>0.0004677774080569192</v>
      </c>
      <c r="T1173" s="15">
        <f>M1186</f>
        <v>0.002619173922590105</v>
      </c>
    </row>
    <row r="1174" spans="1:20">
      <c r="A1174" s="14">
        <v>46160</v>
      </c>
      <c r="B1174" s="10">
        <v>1598.970825195312</v>
      </c>
      <c r="C1174" s="10">
        <v>475.46875</v>
      </c>
      <c r="D1174" s="10">
        <v>1724.599975585938</v>
      </c>
      <c r="E1174" s="10">
        <v>23649.94921875</v>
      </c>
      <c r="F1174" s="10">
        <v>751.9500122070312</v>
      </c>
      <c r="I1174" s="15">
        <f>LN(B1174/B1173)</f>
        <v>-0.01025522648383041</v>
      </c>
      <c r="J1174" s="15">
        <f>LN(C1174/C1173)</f>
        <v>-0.02478221597149078</v>
      </c>
      <c r="K1174" s="15">
        <f>LN(D1174/D1173)</f>
        <v>-0.008027547086054517</v>
      </c>
      <c r="L1174" s="15">
        <f>LN(E1174/E1173)</f>
        <v>0.0002727320124251536</v>
      </c>
      <c r="M1174" s="15">
        <f>LN(F1174/F1173)</f>
        <v>-0.005768258110066286</v>
      </c>
      <c r="O1174" s="14">
        <v>46178</v>
      </c>
      <c r="P1174" s="15">
        <f>I1187</f>
        <v>0.0009187722571432498</v>
      </c>
      <c r="Q1174" s="15">
        <f>J1187</f>
        <v>-0.03329610911457301</v>
      </c>
      <c r="R1174" s="15">
        <f>K1187</f>
        <v>0.012585302379656767</v>
      </c>
      <c r="S1174" s="15">
        <f>L1187</f>
        <v>-0.0021311722194751305</v>
      </c>
      <c r="T1174" s="15">
        <f>M1187</f>
        <v>0.0056081644582601725</v>
      </c>
    </row>
    <row r="1175" spans="1:20">
      <c r="A1175" s="14">
        <v>46161</v>
      </c>
      <c r="B1175" s="10">
        <v>1620.247924804688</v>
      </c>
      <c r="C1175" s="10">
        <v>481.6585693359375</v>
      </c>
      <c r="D1175" s="10">
        <v>1721.800048828125</v>
      </c>
      <c r="E1175" s="10">
        <v>23618</v>
      </c>
      <c r="F1175" s="10">
        <v>762.7000122070312</v>
      </c>
      <c r="I1175" s="15">
        <f>LN(B1175/B1174)</f>
        <v>0.013218989508861561</v>
      </c>
      <c r="J1175" s="15">
        <f>LN(C1175/C1174)</f>
        <v>0.012934341138512506</v>
      </c>
      <c r="K1175" s="15">
        <f>LN(D1175/D1174)</f>
        <v>-0.0016248417792407751</v>
      </c>
      <c r="L1175" s="15">
        <f>LN(E1175/E1174)</f>
        <v>-0.0013518345578153919</v>
      </c>
      <c r="M1175" s="15">
        <f>LN(F1175/F1174)</f>
        <v>0.014194936563760427</v>
      </c>
      <c r="O1175" s="14">
        <v>46181</v>
      </c>
      <c r="P1175" s="15">
        <f>I1188</f>
        <v>-0.02041013499758872</v>
      </c>
      <c r="Q1175" s="15">
        <f>J1188</f>
        <v>-0.059167503554991764</v>
      </c>
      <c r="R1175" s="15">
        <f>K1188</f>
        <v>-0.005497337129669866</v>
      </c>
      <c r="S1175" s="15">
        <f>L1188</f>
        <v>-0.01048410529877786</v>
      </c>
      <c r="T1175" s="15">
        <f>M1188</f>
        <v>-0.02595496692671451</v>
      </c>
    </row>
    <row r="1176" spans="1:20">
      <c r="A1176" s="14">
        <v>46162</v>
      </c>
      <c r="B1176" s="10">
        <v>1624.942749023438</v>
      </c>
      <c r="C1176" s="10">
        <v>487.8983154296875</v>
      </c>
      <c r="D1176" s="10">
        <v>1745.300048828125</v>
      </c>
      <c r="E1176" s="10">
        <v>23659</v>
      </c>
      <c r="F1176" s="10">
        <v>767.0499877929688</v>
      </c>
      <c r="I1176" s="15">
        <f>LN(B1176/B1175)</f>
        <v>0.0028934062531095752</v>
      </c>
      <c r="J1176" s="15">
        <f>LN(C1176/C1175)</f>
        <v>0.01287151345010859</v>
      </c>
      <c r="K1176" s="15">
        <f>LN(D1176/D1175)</f>
        <v>0.01355620502509335</v>
      </c>
      <c r="L1176" s="15">
        <f>LN(E1176/E1175)</f>
        <v>0.0017344590510618102</v>
      </c>
      <c r="M1176" s="15">
        <f>LN(F1176/F1175)</f>
        <v>0.005687187201308759</v>
      </c>
      <c r="O1176" s="14">
        <v>46182</v>
      </c>
      <c r="P1176" s="15">
        <f>I1189</f>
        <v>0.01985897294659958</v>
      </c>
      <c r="Q1176" s="15">
        <f>J1189</f>
        <v>0.006400458829025226</v>
      </c>
      <c r="R1176" s="15">
        <f>K1189</f>
        <v>0.007209080125394169</v>
      </c>
      <c r="S1176" s="15">
        <f>L1189</f>
        <v>0.005137479368527299</v>
      </c>
      <c r="T1176" s="15">
        <f>M1189</f>
        <v>0.016152889149741757</v>
      </c>
    </row>
    <row r="1177" spans="1:20">
      <c r="A1177" s="14">
        <v>46163</v>
      </c>
      <c r="B1177" s="10">
        <v>1652.612915039062</v>
      </c>
      <c r="C1177" s="10">
        <v>509.4129638671875</v>
      </c>
      <c r="D1177" s="10">
        <v>1795.699951171875</v>
      </c>
      <c r="E1177" s="10">
        <v>23654.69921875</v>
      </c>
      <c r="F1177" s="10">
        <v>775.0999755859375</v>
      </c>
      <c r="I1177" s="15">
        <f>LN(B1177/B1176)</f>
        <v>0.01688503644542547</v>
      </c>
      <c r="J1177" s="15">
        <f>LN(C1177/C1176)</f>
        <v>0.04315199738932795</v>
      </c>
      <c r="K1177" s="15">
        <f>LN(D1177/D1176)</f>
        <v>0.02846840224844351</v>
      </c>
      <c r="L1177" s="15">
        <f>LN(E1177/E1176)</f>
        <v>-0.00018179856290503812</v>
      </c>
      <c r="M1177" s="15">
        <f>LN(F1177/F1176)</f>
        <v>0.01044004941298859</v>
      </c>
      <c r="O1177" s="14">
        <v>46183</v>
      </c>
      <c r="P1177" s="15">
        <f>I1190</f>
        <v>-0.025372792140580507</v>
      </c>
      <c r="Q1177" s="15">
        <f>J1190</f>
        <v>-0.04037910321980732</v>
      </c>
      <c r="R1177" s="15">
        <f>K1190</f>
        <v>0.006591293723609524</v>
      </c>
      <c r="S1177" s="15">
        <f>L1190</f>
        <v>-0.0011688385035597795</v>
      </c>
      <c r="T1177" s="15">
        <f>M1190</f>
        <v>-0.01755535075109145</v>
      </c>
    </row>
    <row r="1178" spans="1:20">
      <c r="A1178" s="14">
        <v>46164</v>
      </c>
      <c r="B1178" s="10">
        <v>1657.807250976562</v>
      </c>
      <c r="C1178" s="10">
        <v>503.1233215332031</v>
      </c>
      <c r="D1178" s="10">
        <v>1790.300048828125</v>
      </c>
      <c r="E1178" s="10">
        <v>23719.30078125</v>
      </c>
      <c r="F1178" s="10">
        <v>774.4000244140625</v>
      </c>
      <c r="I1178" s="15">
        <f>LN(B1178/B1177)</f>
        <v>0.0031381757842740125</v>
      </c>
      <c r="J1178" s="15">
        <f>LN(C1178/C1177)</f>
        <v>-0.012423699425105489</v>
      </c>
      <c r="K1178" s="15">
        <f>LN(D1178/D1177)</f>
        <v>-0.003011660025219619</v>
      </c>
      <c r="L1178" s="15">
        <f>LN(E1178/E1177)</f>
        <v>0.0027273020029192283</v>
      </c>
      <c r="M1178" s="15">
        <f>LN(F1178/F1177)</f>
        <v>-0.0009034543007229454</v>
      </c>
      <c r="O1178" s="14">
        <v>46184</v>
      </c>
      <c r="P1178" s="15">
        <f>I1191</f>
        <v>-0.005607624092076899</v>
      </c>
      <c r="Q1178" s="15">
        <f>J1191</f>
        <v>-0.011814921298860272</v>
      </c>
      <c r="R1178" s="15">
        <f>K1191</f>
        <v>-0.018808559229591335</v>
      </c>
      <c r="S1178" s="15">
        <f>L1191</f>
        <v>-0.0023007159547660506</v>
      </c>
      <c r="T1178" s="15">
        <f>M1191</f>
        <v>-0.0064365610459394575</v>
      </c>
    </row>
    <row r="1179" spans="1:20">
      <c r="A1179" s="14">
        <v>46167</v>
      </c>
      <c r="B1179" s="10">
        <v>1710.55029296875</v>
      </c>
      <c r="C1179" s="10">
        <v>506.66748046875</v>
      </c>
      <c r="D1179" s="10">
        <v>1809.599975585938</v>
      </c>
      <c r="E1179" s="10">
        <v>24031.69921875</v>
      </c>
      <c r="F1179" s="10">
        <v>786.0499877929688</v>
      </c>
      <c r="I1179" s="15">
        <f>LN(B1179/B1178)</f>
        <v>0.03131933147832398</v>
      </c>
      <c r="J1179" s="15">
        <f>LN(C1179/C1178)</f>
        <v>0.007019619275056359</v>
      </c>
      <c r="K1179" s="15">
        <f>LN(D1179/D1178)</f>
        <v>0.01072258203950398</v>
      </c>
      <c r="L1179" s="15">
        <f>LN(E1179/E1178)</f>
        <v>0.013084663968970206</v>
      </c>
      <c r="M1179" s="15">
        <f>LN(F1179/F1178)</f>
        <v>0.01493182061914605</v>
      </c>
      <c r="O1179" s="14">
        <v>46185</v>
      </c>
      <c r="P1179" s="15">
        <f>I1192</f>
        <v>0.025020928934822082</v>
      </c>
      <c r="Q1179" s="15">
        <f>J1192</f>
        <v>0.04103639168740363</v>
      </c>
      <c r="R1179" s="15">
        <f>K1192</f>
        <v>0.014210602754364077</v>
      </c>
      <c r="S1179" s="15">
        <f>L1192</f>
        <v>0.019720878993895297</v>
      </c>
      <c r="T1179" s="15">
        <f>M1192</f>
        <v>0.034703903412376655</v>
      </c>
    </row>
    <row r="1180" spans="1:20">
      <c r="A1180" s="14">
        <v>46168</v>
      </c>
      <c r="B1180" s="10">
        <v>1691.870361328125</v>
      </c>
      <c r="C1180" s="10">
        <v>502.9735412597656</v>
      </c>
      <c r="D1180" s="10">
        <v>1785.400024414062</v>
      </c>
      <c r="E1180" s="10">
        <v>23913.69921875</v>
      </c>
      <c r="F1180" s="10">
        <v>782</v>
      </c>
      <c r="I1180" s="15">
        <f>LN(B1180/B1179)</f>
        <v>-0.010980487850614987</v>
      </c>
      <c r="J1180" s="15">
        <f>LN(C1180/C1179)</f>
        <v>-0.007317364512285714</v>
      </c>
      <c r="K1180" s="15">
        <f>LN(D1180/D1179)</f>
        <v>-0.013463319450898814</v>
      </c>
      <c r="L1180" s="15">
        <f>LN(E1180/E1179)</f>
        <v>-0.004922275842741698</v>
      </c>
      <c r="M1180" s="15">
        <f>LN(F1180/F1179)</f>
        <v>-0.005165647562625471</v>
      </c>
      <c r="O1180" s="14">
        <v>46188</v>
      </c>
      <c r="P1180" s="15">
        <f>I1193</f>
        <v>0.028311165672850604</v>
      </c>
      <c r="Q1180" s="15">
        <f>J1193</f>
        <v>0.0047571740022388665</v>
      </c>
      <c r="R1180" s="15">
        <f>K1193</f>
        <v>0.04955934292097451</v>
      </c>
      <c r="S1180" s="15">
        <f>L1193</f>
        <v>0.009731145278463154</v>
      </c>
      <c r="T1180" s="15">
        <f>M1193</f>
        <v>0.03880334282860609</v>
      </c>
    </row>
    <row r="1181" spans="1:20">
      <c r="A1181" s="14">
        <v>46169</v>
      </c>
      <c r="B1181" s="10">
        <v>1690.771606445312</v>
      </c>
      <c r="C1181" s="10">
        <v>507.4661560058594</v>
      </c>
      <c r="D1181" s="10">
        <v>1771.800048828125</v>
      </c>
      <c r="E1181" s="10">
        <v>23907.150390625</v>
      </c>
      <c r="F1181" s="10">
        <v>784.5499877929688</v>
      </c>
      <c r="I1181" s="15">
        <f>LN(B1181/B1180)</f>
        <v>-0.0006496430493817047</v>
      </c>
      <c r="J1181" s="15">
        <f>LN(C1181/C1180)</f>
        <v>0.008892454172077988</v>
      </c>
      <c r="K1181" s="15">
        <f>LN(D1181/D1180)</f>
        <v>-0.0076464868831259206</v>
      </c>
      <c r="L1181" s="15">
        <f>LN(E1181/E1180)</f>
        <v>-0.0002738900801400246</v>
      </c>
      <c r="M1181" s="15">
        <f>LN(F1181/F1180)</f>
        <v>0.003255548900488462</v>
      </c>
      <c r="O1181" s="14">
        <v>46189</v>
      </c>
      <c r="P1181" s="15">
        <f>I1194</f>
        <v>0.020983554378792815</v>
      </c>
      <c r="Q1181" s="15">
        <f>J1194</f>
        <v>0.006308087183572381</v>
      </c>
      <c r="R1181" s="15">
        <f>K1194</f>
        <v>0.011466803201486315</v>
      </c>
      <c r="S1181" s="15">
        <f>L1194</f>
        <v>0.005653918723145327</v>
      </c>
      <c r="T1181" s="15">
        <f>M1194</f>
        <v>0.022310338220210016</v>
      </c>
    </row>
    <row r="1182" spans="1:20">
      <c r="A1182" s="14">
        <v>46171</v>
      </c>
      <c r="B1182" s="10">
        <v>1705.255981445312</v>
      </c>
      <c r="C1182" s="10">
        <v>513.3065795898438</v>
      </c>
      <c r="D1182" s="10">
        <v>1771.199951171875</v>
      </c>
      <c r="E1182" s="10">
        <v>23547.75</v>
      </c>
      <c r="F1182" s="10">
        <v>782.5499877929688</v>
      </c>
      <c r="I1182" s="15">
        <f>LN(B1182/B1181)</f>
        <v>0.008530238612392417</v>
      </c>
      <c r="J1182" s="15">
        <f>LN(C1182/C1181)</f>
        <v>0.011443266680231807</v>
      </c>
      <c r="K1182" s="15">
        <f>LN(D1182/D1181)</f>
        <v>-0.0003387511498664951</v>
      </c>
      <c r="L1182" s="15">
        <f>LN(E1182/E1181)</f>
        <v>-0.015147319219471595</v>
      </c>
      <c r="M1182" s="15">
        <f>LN(F1182/F1181)</f>
        <v>-0.0025524869083313924</v>
      </c>
      <c r="O1182" s="14">
        <v>46190</v>
      </c>
      <c r="P1182" s="15">
        <f>I1195</f>
        <v>-0.005883025184726466</v>
      </c>
      <c r="Q1182" s="15">
        <f>J1195</f>
        <v>-0.01829093796782096</v>
      </c>
      <c r="R1182" s="15">
        <f>K1195</f>
        <v>0.00048164420790408277</v>
      </c>
      <c r="S1182" s="15">
        <f>L1195</f>
        <v>0.004016609878660483</v>
      </c>
      <c r="T1182" s="15">
        <f>M1195</f>
        <v>-0.0042873834335608344</v>
      </c>
    </row>
    <row r="1183" spans="1:20">
      <c r="A1183" s="14">
        <v>46174</v>
      </c>
      <c r="B1183" s="10">
        <v>1647.618286132812</v>
      </c>
      <c r="C1183" s="10">
        <v>537.7664184570312</v>
      </c>
      <c r="D1183" s="10">
        <v>1747.800048828125</v>
      </c>
      <c r="E1183" s="10">
        <v>23382.599609375</v>
      </c>
      <c r="F1183" s="10">
        <v>768.2000122070312</v>
      </c>
      <c r="I1183" s="15">
        <f>LN(B1183/B1182)</f>
        <v>-0.034384453044866176</v>
      </c>
      <c r="J1183" s="15">
        <f>LN(C1183/C1182)</f>
        <v>0.04655101174823401</v>
      </c>
      <c r="K1183" s="15">
        <f>LN(D1183/D1182)</f>
        <v>-0.013299373256200899</v>
      </c>
      <c r="L1183" s="15">
        <f>LN(E1183/E1182)</f>
        <v>-0.007038135182494777</v>
      </c>
      <c r="M1183" s="15">
        <f>LN(F1183/F1182)</f>
        <v>-0.018507670735230037</v>
      </c>
      <c r="O1183" s="14">
        <v>46191</v>
      </c>
      <c r="P1183" s="15">
        <f>I1196</f>
        <v>-0.0003541667582613509</v>
      </c>
      <c r="Q1183" s="15">
        <f>J1196</f>
        <v>-0.004057970495941062</v>
      </c>
      <c r="R1183" s="15">
        <f>K1196</f>
        <v>-0.008273403116053245</v>
      </c>
      <c r="S1183" s="15">
        <f>L1196</f>
        <v>0.0034111731281746415</v>
      </c>
      <c r="T1183" s="15">
        <f>M1196</f>
        <v>0.006851062597254936</v>
      </c>
    </row>
    <row r="1184" spans="1:20">
      <c r="A1184" s="14">
        <v>46175</v>
      </c>
      <c r="B1184" s="10">
        <v>1672.890869140625</v>
      </c>
      <c r="C1184" s="10">
        <v>551.294189453125</v>
      </c>
      <c r="D1184" s="10">
        <v>1706.800048828125</v>
      </c>
      <c r="E1184" s="10">
        <v>23483.55078125</v>
      </c>
      <c r="F1184" s="10">
        <v>773.3499755859375</v>
      </c>
      <c r="I1184" s="15">
        <f>LN(B1184/B1183)</f>
        <v>0.015222407071457904</v>
      </c>
      <c r="J1184" s="15">
        <f>LN(C1184/C1183)</f>
        <v>0.0248442863739721</v>
      </c>
      <c r="K1184" s="15">
        <f>LN(D1184/D1183)</f>
        <v>-0.023737581208510942</v>
      </c>
      <c r="L1184" s="15">
        <f>LN(E1184/E1183)</f>
        <v>0.004308069989399964</v>
      </c>
      <c r="M1184" s="15">
        <f>LN(F1184/F1183)</f>
        <v>0.006681564112682167</v>
      </c>
      <c r="O1184" s="14">
        <v>46192</v>
      </c>
      <c r="P1184" s="15">
        <f>I1197</f>
        <v>-0.006335641639383664</v>
      </c>
      <c r="Q1184" s="15">
        <f>J1197</f>
        <v>-0.016302329736636374</v>
      </c>
      <c r="R1184" s="15">
        <f>K1197</f>
        <v>0.014673083726221257</v>
      </c>
      <c r="S1184" s="15">
        <f>L1197</f>
        <v>-0.006429945583083175</v>
      </c>
      <c r="T1184" s="15">
        <f>M1197</f>
        <v>-0.010171017902269298</v>
      </c>
    </row>
    <row r="1185" spans="1:20">
      <c r="A1185" s="14">
        <v>46176</v>
      </c>
      <c r="B1185" s="10">
        <v>1635.631225585938</v>
      </c>
      <c r="C1185" s="10">
        <v>547.1010131835938</v>
      </c>
      <c r="D1185" s="10">
        <v>1710.400024414062</v>
      </c>
      <c r="E1185" s="10">
        <v>23405.599609375</v>
      </c>
      <c r="F1185" s="10">
        <v>762.5999755859375</v>
      </c>
      <c r="I1185" s="15">
        <f>LN(B1185/B1184)</f>
        <v>-0.02252438870001541</v>
      </c>
      <c r="J1185" s="15">
        <f>LN(C1185/C1184)</f>
        <v>-0.007635132836769606</v>
      </c>
      <c r="K1185" s="15">
        <f>LN(D1185/D1184)</f>
        <v>0.0021069746228322664</v>
      </c>
      <c r="L1185" s="15">
        <f>LN(E1185/E1184)</f>
        <v>-0.003324916021661275</v>
      </c>
      <c r="M1185" s="15">
        <f>LN(F1185/F1184)</f>
        <v>-0.013998080505701494</v>
      </c>
      <c r="O1185" s="14">
        <v>46195</v>
      </c>
      <c r="P1185" s="15">
        <f>I1198</f>
        <v>0.004504176583918198</v>
      </c>
      <c r="Q1185" s="15">
        <f>J1198</f>
        <v>0.02299374904211373</v>
      </c>
      <c r="R1185" s="15">
        <f>K1198</f>
        <v>-0.005330218968151866</v>
      </c>
      <c r="S1185" s="15">
        <f>L1198</f>
        <v>0.003732682912776634</v>
      </c>
      <c r="T1185" s="15">
        <f>M1198</f>
        <v>0.00399496539737242</v>
      </c>
    </row>
    <row r="1186" spans="1:20">
      <c r="A1186" s="14">
        <v>46177</v>
      </c>
      <c r="B1186" s="10">
        <v>1630.13720703125</v>
      </c>
      <c r="C1186" s="10">
        <v>588.3831787109375</v>
      </c>
      <c r="D1186" s="10">
        <v>1729.199951171875</v>
      </c>
      <c r="E1186" s="10">
        <v>23416.55078125</v>
      </c>
      <c r="F1186" s="10">
        <v>764.5999755859375</v>
      </c>
      <c r="I1186" s="15">
        <f>LN(B1186/B1185)</f>
        <v>-0.0033646131690109648</v>
      </c>
      <c r="J1186" s="15">
        <f>LN(C1186/C1185)</f>
        <v>0.072744947147213</v>
      </c>
      <c r="K1186" s="15">
        <f>LN(D1186/D1185)</f>
        <v>0.010931570011397638</v>
      </c>
      <c r="L1186" s="15">
        <f>LN(E1186/E1185)</f>
        <v>0.0004677774080569192</v>
      </c>
      <c r="M1186" s="15">
        <f>LN(F1186/F1185)</f>
        <v>0.002619173922590105</v>
      </c>
      <c r="O1186" s="14">
        <v>46196</v>
      </c>
      <c r="P1186" s="15">
        <f>I1199</f>
        <v>0.007834016512946396</v>
      </c>
      <c r="Q1186" s="15">
        <f>J1199</f>
        <v>-0.018008181450906866</v>
      </c>
      <c r="R1186" s="15">
        <f>K1199</f>
        <v>-0.010476363180485004</v>
      </c>
      <c r="S1186" s="15">
        <f>L1199</f>
        <v>-0.011634524429481118</v>
      </c>
      <c r="T1186" s="15">
        <f>M1199</f>
        <v>-0.011226415158308677</v>
      </c>
    </row>
    <row r="1187" spans="1:20">
      <c r="A1187" s="14">
        <v>46178</v>
      </c>
      <c r="B1187" s="10">
        <v>1631.635620117188</v>
      </c>
      <c r="C1187" s="10">
        <v>569.1148681640625</v>
      </c>
      <c r="D1187" s="10">
        <v>1751.099975585938</v>
      </c>
      <c r="E1187" s="10">
        <v>23366.69921875</v>
      </c>
      <c r="F1187" s="10">
        <v>768.9000244140625</v>
      </c>
      <c r="I1187" s="15">
        <f>LN(B1187/B1186)</f>
        <v>0.0009187722571432498</v>
      </c>
      <c r="J1187" s="15">
        <f>LN(C1187/C1186)</f>
        <v>-0.03329610911457301</v>
      </c>
      <c r="K1187" s="15">
        <f>LN(D1187/D1186)</f>
        <v>0.012585302379656767</v>
      </c>
      <c r="L1187" s="15">
        <f>LN(E1187/E1186)</f>
        <v>-0.0021311722194751305</v>
      </c>
      <c r="M1187" s="15">
        <f>LN(F1187/F1186)</f>
        <v>0.0056081644582601725</v>
      </c>
      <c r="O1187" s="14">
        <v>46197</v>
      </c>
      <c r="P1187" s="15">
        <f>I1200</f>
        <v>0.028172474240674556</v>
      </c>
      <c r="Q1187" s="15">
        <f>J1200</f>
        <v>0.011032984051055121</v>
      </c>
      <c r="R1187" s="15">
        <f>K1200</f>
        <v>0.03225661463091576</v>
      </c>
      <c r="S1187" s="15">
        <f>L1200</f>
        <v>0.008257866325424086</v>
      </c>
      <c r="T1187" s="15">
        <f>M1200</f>
        <v>0.021478489228484776</v>
      </c>
    </row>
    <row r="1188" spans="1:20">
      <c r="A1188" s="14">
        <v>46181</v>
      </c>
      <c r="B1188" s="10">
        <v>1598.671264648438</v>
      </c>
      <c r="C1188" s="10">
        <v>536.4185791015625</v>
      </c>
      <c r="D1188" s="10">
        <v>1741.5</v>
      </c>
      <c r="E1188" s="10">
        <v>23123</v>
      </c>
      <c r="F1188" s="10">
        <v>749.2000122070312</v>
      </c>
      <c r="I1188" s="15">
        <f>LN(B1188/B1187)</f>
        <v>-0.02041013499758872</v>
      </c>
      <c r="J1188" s="15">
        <f>LN(C1188/C1187)</f>
        <v>-0.059167503554991764</v>
      </c>
      <c r="K1188" s="15">
        <f>LN(D1188/D1187)</f>
        <v>-0.005497337129669866</v>
      </c>
      <c r="L1188" s="15">
        <f>LN(E1188/E1187)</f>
        <v>-0.01048410529877786</v>
      </c>
      <c r="M1188" s="15">
        <f>LN(F1188/F1187)</f>
        <v>-0.02595496692671451</v>
      </c>
      <c r="O1188" s="14">
        <v>46198</v>
      </c>
      <c r="P1188" s="15">
        <f>I1201</f>
        <v>-0.002227158502625554</v>
      </c>
      <c r="Q1188" s="15">
        <f>J1201</f>
        <v>-0.011511376903515365</v>
      </c>
      <c r="R1188" s="15">
        <f>K1201</f>
        <v>-0.004034731661171036</v>
      </c>
      <c r="S1188" s="15">
        <f>L1201</f>
        <v>0.0014289223762208004</v>
      </c>
      <c r="T1188" s="15">
        <f>M1201</f>
        <v>0.0032731417596644137</v>
      </c>
    </row>
    <row r="1189" spans="1:20">
      <c r="A1189" s="14">
        <v>46182</v>
      </c>
      <c r="B1189" s="10">
        <v>1630.736572265625</v>
      </c>
      <c r="C1189" s="10">
        <v>539.8629150390625</v>
      </c>
      <c r="D1189" s="10">
        <v>1754.099975585938</v>
      </c>
      <c r="E1189" s="10">
        <v>23242.099609375</v>
      </c>
      <c r="F1189" s="10">
        <v>761.4000244140625</v>
      </c>
      <c r="I1189" s="15">
        <f>LN(B1189/B1188)</f>
        <v>0.01985897294659958</v>
      </c>
      <c r="J1189" s="15">
        <f>LN(C1189/C1188)</f>
        <v>0.006400458829025226</v>
      </c>
      <c r="K1189" s="15">
        <f>LN(D1189/D1188)</f>
        <v>0.007209080125394169</v>
      </c>
      <c r="L1189" s="15">
        <f>LN(E1189/E1188)</f>
        <v>0.005137479368527299</v>
      </c>
      <c r="M1189" s="15">
        <f>LN(F1189/F1188)</f>
        <v>0.016152889149741757</v>
      </c>
      <c r="O1189" s="14">
        <v>46202</v>
      </c>
      <c r="P1189" s="15">
        <f>I1202</f>
        <v>0.002797403473582844</v>
      </c>
      <c r="Q1189" s="15">
        <f>J1202</f>
        <v>-0.016983827275324225</v>
      </c>
      <c r="R1189" s="15">
        <f>K1202</f>
        <v>0.0038778146698735046</v>
      </c>
      <c r="S1189" s="15">
        <f>L1202</f>
        <v>-0.004572710289054184</v>
      </c>
      <c r="T1189" s="15">
        <f>M1202</f>
        <v>-0.008996504085080919</v>
      </c>
    </row>
    <row r="1190" spans="1:20">
      <c r="A1190" s="14">
        <v>46183</v>
      </c>
      <c r="B1190" s="10">
        <v>1589.880737304688</v>
      </c>
      <c r="C1190" s="10">
        <v>518.4979858398438</v>
      </c>
      <c r="D1190" s="10">
        <v>1765.699951171875</v>
      </c>
      <c r="E1190" s="10">
        <v>23214.94921875</v>
      </c>
      <c r="F1190" s="10">
        <v>748.1500244140625</v>
      </c>
      <c r="I1190" s="15">
        <f>LN(B1190/B1189)</f>
        <v>-0.025372792140580507</v>
      </c>
      <c r="J1190" s="15">
        <f>LN(C1190/C1189)</f>
        <v>-0.04037910321980732</v>
      </c>
      <c r="K1190" s="15">
        <f>LN(D1190/D1189)</f>
        <v>0.006591293723609524</v>
      </c>
      <c r="L1190" s="15">
        <f>LN(E1190/E1189)</f>
        <v>-0.0011688385035597795</v>
      </c>
      <c r="M1190" s="15">
        <f>LN(F1190/F1189)</f>
        <v>-0.01755535075109145</v>
      </c>
      <c r="O1190" s="14">
        <v>46203</v>
      </c>
      <c r="P1190" s="15">
        <f>I1203</f>
        <v>0.008571522176272021</v>
      </c>
      <c r="Q1190" s="15">
        <f>J1203</f>
        <v>0.014492957648543222</v>
      </c>
      <c r="R1190" s="15">
        <f>K1203</f>
        <v>0.01896133885086693</v>
      </c>
      <c r="S1190" s="15">
        <f>L1203</f>
        <v>-0.003367358657511833</v>
      </c>
      <c r="T1190" s="15">
        <f>M1203</f>
        <v>0.01298248329330447</v>
      </c>
    </row>
    <row r="1191" spans="1:20">
      <c r="A1191" s="14">
        <v>46184</v>
      </c>
      <c r="B1191" s="10">
        <v>1580.990234375</v>
      </c>
      <c r="C1191" s="10">
        <v>512.4080200195312</v>
      </c>
      <c r="D1191" s="10">
        <v>1732.800048828125</v>
      </c>
      <c r="E1191" s="10">
        <v>23161.599609375</v>
      </c>
      <c r="F1191" s="10">
        <v>743.3499755859375</v>
      </c>
      <c r="I1191" s="15">
        <f>LN(B1191/B1190)</f>
        <v>-0.005607624092076899</v>
      </c>
      <c r="J1191" s="15">
        <f>LN(C1191/C1190)</f>
        <v>-0.011814921298860272</v>
      </c>
      <c r="K1191" s="15">
        <f>LN(D1191/D1190)</f>
        <v>-0.018808559229591335</v>
      </c>
      <c r="L1191" s="15">
        <f>LN(E1191/E1190)</f>
        <v>-0.0023007159547660506</v>
      </c>
      <c r="M1191" s="15">
        <f>LN(F1191/F1190)</f>
        <v>-0.0064365610459394575</v>
      </c>
      <c r="O1191" s="14">
        <v>46204</v>
      </c>
      <c r="P1191" s="15">
        <f>I1204</f>
        <v>0.01981152536556475</v>
      </c>
      <c r="Q1191" s="15">
        <f>J1204</f>
        <v>-0.008380283901606176</v>
      </c>
      <c r="R1191" s="15">
        <f>K1204</f>
        <v>0.03524350783078187</v>
      </c>
      <c r="S1191" s="15">
        <f>L1204</f>
        <v>0.005853157634003401</v>
      </c>
      <c r="T1191" s="15">
        <f>M1204</f>
        <v>0.03517654535582378</v>
      </c>
    </row>
    <row r="1192" spans="1:20">
      <c r="A1192" s="14">
        <v>46185</v>
      </c>
      <c r="B1192" s="10">
        <v>1621.047119140625</v>
      </c>
      <c r="C1192" s="10">
        <v>533.872802734375</v>
      </c>
      <c r="D1192" s="10">
        <v>1757.599975585938</v>
      </c>
      <c r="E1192" s="10">
        <v>23622.900390625</v>
      </c>
      <c r="F1192" s="10">
        <v>769.5999755859375</v>
      </c>
      <c r="I1192" s="15">
        <f>LN(B1192/B1191)</f>
        <v>0.025020928934822082</v>
      </c>
      <c r="J1192" s="15">
        <f>LN(C1192/C1191)</f>
        <v>0.04103639168740363</v>
      </c>
      <c r="K1192" s="15">
        <f>LN(D1192/D1191)</f>
        <v>0.014210602754364077</v>
      </c>
      <c r="L1192" s="15">
        <f>LN(E1192/E1191)</f>
        <v>0.019720878993895297</v>
      </c>
      <c r="M1192" s="15">
        <f>LN(F1192/F1191)</f>
        <v>0.034703903412376655</v>
      </c>
      <c r="O1192" s="14">
        <v>46205</v>
      </c>
      <c r="P1192" s="15">
        <f>I1205</f>
        <v>0.032761197730607816</v>
      </c>
      <c r="Q1192" s="15">
        <f>J1205</f>
        <v>0.0393584374210458</v>
      </c>
      <c r="R1192" s="15">
        <f>K1205</f>
        <v>-0.002976931000277064</v>
      </c>
      <c r="S1192" s="15">
        <f>L1205</f>
        <v>0.007050429763556748</v>
      </c>
      <c r="T1192" s="15">
        <f>M1205</f>
        <v>0.014385426291293742</v>
      </c>
    </row>
    <row r="1193" spans="1:20">
      <c r="A1193" s="14">
        <v>46188</v>
      </c>
      <c r="B1193" s="10">
        <v>1667.5966796875</v>
      </c>
      <c r="C1193" s="10">
        <v>536.4185791015625</v>
      </c>
      <c r="D1193" s="10">
        <v>1846.900024414062</v>
      </c>
      <c r="E1193" s="10">
        <v>23853.900390625</v>
      </c>
      <c r="F1193" s="10">
        <v>800.0499877929688</v>
      </c>
      <c r="I1193" s="15">
        <f>LN(B1193/B1192)</f>
        <v>0.028311165672850604</v>
      </c>
      <c r="J1193" s="15">
        <f>LN(C1193/C1192)</f>
        <v>0.0047571740022388665</v>
      </c>
      <c r="K1193" s="15">
        <f>LN(D1193/D1192)</f>
        <v>0.04955934292097451</v>
      </c>
      <c r="L1193" s="15">
        <f>LN(E1193/E1192)</f>
        <v>0.009731145278463154</v>
      </c>
      <c r="M1193" s="15">
        <f>LN(F1193/F1192)</f>
        <v>0.03880334282860609</v>
      </c>
      <c r="O1193" s="14">
        <v>46206</v>
      </c>
      <c r="P1193" s="15">
        <f>I1206</f>
        <v>0.036697043920781894</v>
      </c>
      <c r="Q1193" s="15">
        <f>J1206</f>
        <v>0.031219528973250418</v>
      </c>
      <c r="R1193" s="15">
        <f>K1206</f>
        <v>0.017290633367451923</v>
      </c>
      <c r="S1193" s="15">
        <f>L1206</f>
        <v>0.003928061555321314</v>
      </c>
      <c r="T1193" s="15">
        <f>M1206</f>
        <v>0.02167457965852773</v>
      </c>
    </row>
    <row r="1194" spans="1:20">
      <c r="A1194" s="14">
        <v>46189</v>
      </c>
      <c r="B1194" s="10">
        <v>1702.95849609375</v>
      </c>
      <c r="C1194" s="10">
        <v>539.8130493164062</v>
      </c>
      <c r="D1194" s="10">
        <v>1868.199951171875</v>
      </c>
      <c r="E1194" s="10">
        <v>23989.150390625</v>
      </c>
      <c r="F1194" s="10">
        <v>818.0999755859375</v>
      </c>
      <c r="I1194" s="15">
        <f>LN(B1194/B1193)</f>
        <v>0.020983554378792815</v>
      </c>
      <c r="J1194" s="15">
        <f>LN(C1194/C1193)</f>
        <v>0.006308087183572381</v>
      </c>
      <c r="K1194" s="15">
        <f>LN(D1194/D1193)</f>
        <v>0.011466803201486315</v>
      </c>
      <c r="L1194" s="15">
        <f>LN(E1194/E1193)</f>
        <v>0.005653918723145327</v>
      </c>
      <c r="M1194" s="15">
        <f>LN(F1194/F1193)</f>
        <v>0.022310338220210016</v>
      </c>
      <c r="O1194" s="14">
        <v>46209</v>
      </c>
      <c r="P1194" s="15">
        <f>I1207</f>
        <v>0.009774251528946131</v>
      </c>
      <c r="Q1194" s="15">
        <f>J1207</f>
        <v>-0.006874115200272002</v>
      </c>
      <c r="R1194" s="15">
        <f>K1207</f>
        <v>0.028027101949934897</v>
      </c>
      <c r="S1194" s="15">
        <f>L1207</f>
        <v>0.0065501701327115155</v>
      </c>
      <c r="T1194" s="15">
        <f>M1207</f>
        <v>0.017967413583645026</v>
      </c>
    </row>
    <row r="1195" spans="1:20">
      <c r="A1195" s="14">
        <v>46190</v>
      </c>
      <c r="B1195" s="10">
        <v>1692.969360351562</v>
      </c>
      <c r="C1195" s="10">
        <v>530.0291137695312</v>
      </c>
      <c r="D1195" s="10">
        <v>1869.099975585938</v>
      </c>
      <c r="E1195" s="10">
        <v>24085.69921875</v>
      </c>
      <c r="F1195" s="10">
        <v>814.5999755859375</v>
      </c>
      <c r="I1195" s="15">
        <f>LN(B1195/B1194)</f>
        <v>-0.005883025184726466</v>
      </c>
      <c r="J1195" s="15">
        <f>LN(C1195/C1194)</f>
        <v>-0.01829093796782096</v>
      </c>
      <c r="K1195" s="15">
        <f>LN(D1195/D1194)</f>
        <v>0.00048164420790408277</v>
      </c>
      <c r="L1195" s="15">
        <f>LN(E1195/E1194)</f>
        <v>0.004016609878660483</v>
      </c>
      <c r="M1195" s="15">
        <f>LN(F1195/F1194)</f>
        <v>-0.0042873834335608344</v>
      </c>
      <c r="O1195" s="14">
        <v>46210</v>
      </c>
      <c r="P1195" s="15">
        <f>I1208</f>
        <v>-0.0243547912630523</v>
      </c>
      <c r="Q1195" s="15">
        <f>J1208</f>
        <v>-0.023508868329330208</v>
      </c>
      <c r="R1195" s="15">
        <f>K1208</f>
        <v>-0.014686073274472685</v>
      </c>
      <c r="S1195" s="15">
        <f>L1208</f>
        <v>-0.0012963756541323145</v>
      </c>
      <c r="T1195" s="15">
        <f>M1208</f>
        <v>-0.015948810419867853</v>
      </c>
    </row>
    <row r="1196" spans="1:20">
      <c r="A1196" s="14">
        <v>46191</v>
      </c>
      <c r="B1196" s="10">
        <v>1692.369873046875</v>
      </c>
      <c r="C1196" s="10">
        <v>527.8826293945312</v>
      </c>
      <c r="D1196" s="10">
        <v>1853.699951171875</v>
      </c>
      <c r="E1196" s="10">
        <v>24168</v>
      </c>
      <c r="F1196" s="10">
        <v>820.2000122070312</v>
      </c>
      <c r="I1196" s="15">
        <f>LN(B1196/B1195)</f>
        <v>-0.0003541667582613509</v>
      </c>
      <c r="J1196" s="15">
        <f>LN(C1196/C1195)</f>
        <v>-0.004057970495941062</v>
      </c>
      <c r="K1196" s="15">
        <f>LN(D1196/D1195)</f>
        <v>-0.008273403116053245</v>
      </c>
      <c r="L1196" s="15">
        <f>LN(E1196/E1195)</f>
        <v>0.0034111731281746415</v>
      </c>
      <c r="M1196" s="15">
        <f>LN(F1196/F1195)</f>
        <v>0.006851062597254936</v>
      </c>
      <c r="O1196" s="14">
        <v>46211</v>
      </c>
      <c r="P1196" s="15">
        <f>I1209</f>
        <v>-0.0192247819416374</v>
      </c>
      <c r="Q1196" s="15">
        <f>J1209</f>
        <v>0.012282571991184843</v>
      </c>
      <c r="R1196" s="15">
        <f>K1209</f>
        <v>-0.025675022402985852</v>
      </c>
      <c r="S1196" s="15">
        <f>L1209</f>
        <v>-0.021402656722269202</v>
      </c>
      <c r="T1196" s="15">
        <f>M1209</f>
        <v>-0.018829499225948346</v>
      </c>
    </row>
    <row r="1197" spans="1:20">
      <c r="A1197" s="14">
        <v>46192</v>
      </c>
      <c r="B1197" s="10">
        <v>1681.681518554688</v>
      </c>
      <c r="C1197" s="10">
        <v>519.3466796875</v>
      </c>
      <c r="D1197" s="10">
        <v>1881.099975585938</v>
      </c>
      <c r="E1197" s="10">
        <v>24013.099609375</v>
      </c>
      <c r="F1197" s="10">
        <v>811.9000244140625</v>
      </c>
      <c r="I1197" s="15">
        <f>LN(B1197/B1196)</f>
        <v>-0.006335641639383664</v>
      </c>
      <c r="J1197" s="15">
        <f>LN(C1197/C1196)</f>
        <v>-0.016302329736636374</v>
      </c>
      <c r="K1197" s="15">
        <f>LN(D1197/D1196)</f>
        <v>0.014673083726221257</v>
      </c>
      <c r="L1197" s="15">
        <f>LN(E1197/E1196)</f>
        <v>-0.006429945583083175</v>
      </c>
      <c r="M1197" s="15">
        <f>LN(F1197/F1196)</f>
        <v>-0.010171017902269298</v>
      </c>
      <c r="O1197" s="14">
        <v>46212</v>
      </c>
      <c r="P1197" s="15">
        <f>I1210</f>
        <v>0.0016563081573062889</v>
      </c>
      <c r="Q1197" s="15">
        <f>J1210</f>
        <v>0.04434401434486362</v>
      </c>
      <c r="R1197" s="15">
        <f>K1210</f>
        <v>0.03187230006988256</v>
      </c>
      <c r="S1197" s="15">
        <f>L1210</f>
        <v>0.003375497008972435</v>
      </c>
      <c r="T1197" s="15">
        <f>M1210</f>
        <v>0.034778309645816186</v>
      </c>
    </row>
    <row r="1198" spans="1:20">
      <c r="A1198" s="14">
        <v>46195</v>
      </c>
      <c r="B1198" s="10">
        <v>1689.273193359375</v>
      </c>
      <c r="C1198" s="10">
        <v>531.4267578125</v>
      </c>
      <c r="D1198" s="10">
        <v>1871.099975585938</v>
      </c>
      <c r="E1198" s="10">
        <v>24102.900390625</v>
      </c>
      <c r="F1198" s="10">
        <v>815.1500244140625</v>
      </c>
      <c r="I1198" s="15">
        <f>LN(B1198/B1197)</f>
        <v>0.004504176583918198</v>
      </c>
      <c r="J1198" s="15">
        <f>LN(C1198/C1197)</f>
        <v>0.02299374904211373</v>
      </c>
      <c r="K1198" s="15">
        <f>LN(D1198/D1197)</f>
        <v>-0.005330218968151866</v>
      </c>
      <c r="L1198" s="15">
        <f>LN(E1198/E1197)</f>
        <v>0.003732682912776634</v>
      </c>
      <c r="M1198" s="15">
        <f>LN(F1198/F1197)</f>
        <v>0.00399496539737242</v>
      </c>
      <c r="O1198" s="14">
        <v>46213</v>
      </c>
      <c r="P1198" s="15">
        <f>I1211</f>
        <v>0.027173894632248626</v>
      </c>
      <c r="Q1198" s="15">
        <f>J1211</f>
        <v>0.02839271519160123</v>
      </c>
      <c r="R1198" s="15">
        <f>K1211</f>
        <v>0.024084962511652083</v>
      </c>
      <c r="S1198" s="15">
        <f>L1211</f>
        <v>0.010135072168571098</v>
      </c>
      <c r="T1198" s="15">
        <f>M1211</f>
        <v>0.03430204208576055</v>
      </c>
    </row>
    <row r="1199" spans="1:20">
      <c r="A1199" s="14">
        <v>46196</v>
      </c>
      <c r="B1199" s="10">
        <v>1702.558959960938</v>
      </c>
      <c r="C1199" s="10">
        <v>521.9423828125</v>
      </c>
      <c r="D1199" s="10">
        <v>1851.599975585938</v>
      </c>
      <c r="E1199" s="10">
        <v>23824.099609375</v>
      </c>
      <c r="F1199" s="10">
        <v>806.0499877929688</v>
      </c>
      <c r="I1199" s="15">
        <f>LN(B1199/B1198)</f>
        <v>0.007834016512946396</v>
      </c>
      <c r="J1199" s="15">
        <f>LN(C1199/C1198)</f>
        <v>-0.018008181450906866</v>
      </c>
      <c r="K1199" s="15">
        <f>LN(D1199/D1198)</f>
        <v>-0.010476363180485004</v>
      </c>
      <c r="L1199" s="15">
        <f>LN(E1199/E1198)</f>
        <v>-0.011634524429481118</v>
      </c>
      <c r="M1199" s="15">
        <f>LN(F1199/F1198)</f>
        <v>-0.011226415158308677</v>
      </c>
      <c r="O1199" s="14">
        <v>46216</v>
      </c>
      <c r="P1199" s="15">
        <f>I1212</f>
        <v>0.00020777568020740673</v>
      </c>
      <c r="Q1199" s="15">
        <f>J1212</f>
        <v>0.005617087615237201</v>
      </c>
      <c r="R1199" s="15">
        <f>K1212</f>
        <v>0.007034946202152627</v>
      </c>
      <c r="S1199" s="15">
        <f>L1212</f>
        <v>0.0001693427162979961</v>
      </c>
      <c r="T1199" s="15">
        <f>M1212</f>
        <v>-0.0015459964927840774</v>
      </c>
    </row>
    <row r="1200" spans="1:20">
      <c r="A1200" s="14">
        <v>46197</v>
      </c>
      <c r="B1200" s="10">
        <v>1751.206298828125</v>
      </c>
      <c r="C1200" s="10">
        <v>527.7328491210938</v>
      </c>
      <c r="D1200" s="10">
        <v>1912.300048828125</v>
      </c>
      <c r="E1200" s="10">
        <v>24021.650390625</v>
      </c>
      <c r="F1200" s="10">
        <v>823.5499877929688</v>
      </c>
      <c r="I1200" s="15">
        <f>LN(B1200/B1199)</f>
        <v>0.028172474240674556</v>
      </c>
      <c r="J1200" s="15">
        <f>LN(C1200/C1199)</f>
        <v>0.011032984051055121</v>
      </c>
      <c r="K1200" s="15">
        <f>LN(D1200/D1199)</f>
        <v>0.03225661463091576</v>
      </c>
      <c r="L1200" s="15">
        <f>LN(E1200/E1199)</f>
        <v>0.008257866325424086</v>
      </c>
      <c r="M1200" s="15">
        <f>LN(F1200/F1199)</f>
        <v>0.021478489228484776</v>
      </c>
      <c r="O1200" s="14">
        <v>46217</v>
      </c>
      <c r="P1200" s="15">
        <f>I1213</f>
        <v>-0.004529226317420201</v>
      </c>
      <c r="Q1200" s="15">
        <f>J1213</f>
        <v>-0.026661322635703845</v>
      </c>
      <c r="R1200" s="15">
        <f>K1213</f>
        <v>-0.010031578350499688</v>
      </c>
      <c r="S1200" s="15">
        <f>L1213</f>
        <v>-0.0065868108566920726</v>
      </c>
      <c r="T1200" s="15">
        <f>M1213</f>
        <v>-0.019938153214620887</v>
      </c>
    </row>
    <row r="1201" spans="1:20">
      <c r="A1201" s="14">
        <v>46198</v>
      </c>
      <c r="B1201" s="10">
        <v>1747.310424804688</v>
      </c>
      <c r="C1201" s="10">
        <v>521.6927490234375</v>
      </c>
      <c r="D1201" s="10">
        <v>1904.599975585938</v>
      </c>
      <c r="E1201" s="10">
        <v>24056</v>
      </c>
      <c r="F1201" s="10">
        <v>826.25</v>
      </c>
      <c r="I1201" s="15">
        <f>LN(B1201/B1200)</f>
        <v>-0.002227158502625554</v>
      </c>
      <c r="J1201" s="15">
        <f>LN(C1201/C1200)</f>
        <v>-0.011511376903515365</v>
      </c>
      <c r="K1201" s="15">
        <f>LN(D1201/D1200)</f>
        <v>-0.004034731661171036</v>
      </c>
      <c r="L1201" s="15">
        <f>LN(E1201/E1200)</f>
        <v>0.0014289223762208004</v>
      </c>
      <c r="M1201" s="15">
        <f>LN(F1201/F1200)</f>
        <v>0.0032731417596644137</v>
      </c>
      <c r="O1201" s="14">
        <v>46218</v>
      </c>
      <c r="P1201" s="15">
        <f>I1214</f>
        <v>-0.015141465202076872</v>
      </c>
      <c r="Q1201" s="15">
        <f>J1214</f>
        <v>-0.0007847896847231824</v>
      </c>
      <c r="R1201" s="15">
        <f>K1214</f>
        <v>-4.694021363233472e-05</v>
      </c>
      <c r="S1201" s="15">
        <f>L1214</f>
        <v>0.001099061655563571</v>
      </c>
      <c r="T1201" s="15">
        <f>M1214</f>
        <v>-0.003817214698132353</v>
      </c>
    </row>
    <row r="1202" spans="1:20">
      <c r="A1202" s="14">
        <v>46202</v>
      </c>
      <c r="B1202" s="10">
        <v>1752.205200195312</v>
      </c>
      <c r="C1202" s="10">
        <v>512.9072265625</v>
      </c>
      <c r="D1202" s="10">
        <v>1912</v>
      </c>
      <c r="E1202" s="10">
        <v>23946.25</v>
      </c>
      <c r="F1202" s="10">
        <v>818.8499755859375</v>
      </c>
      <c r="I1202" s="15">
        <f>LN(B1202/B1201)</f>
        <v>0.002797403473582844</v>
      </c>
      <c r="J1202" s="15">
        <f>LN(C1202/C1201)</f>
        <v>-0.016983827275324225</v>
      </c>
      <c r="K1202" s="15">
        <f>LN(D1202/D1201)</f>
        <v>0.0038778146698735046</v>
      </c>
      <c r="L1202" s="15">
        <f>LN(E1202/E1201)</f>
        <v>-0.004572710289054184</v>
      </c>
      <c r="M1202" s="15">
        <f>LN(F1202/F1201)</f>
        <v>-0.008996504085080919</v>
      </c>
      <c r="O1202" s="14">
        <v>46219</v>
      </c>
      <c r="P1202" s="15">
        <f>I1215</f>
        <v>-0.014137748666143143</v>
      </c>
      <c r="Q1202" s="15">
        <f>J1215</f>
        <v>0.001307605347113706</v>
      </c>
      <c r="R1202" s="15">
        <f>K1215</f>
        <v>-0.021903854315625634</v>
      </c>
      <c r="S1202" s="15">
        <f>L1215</f>
        <v>-0.00023883076876853854</v>
      </c>
      <c r="T1202" s="15">
        <f>M1215</f>
        <v>-0.00988313074814523</v>
      </c>
    </row>
    <row r="1203" spans="1:20">
      <c r="A1203" s="14">
        <v>46203</v>
      </c>
      <c r="B1203" s="10">
        <v>1767.288818359375</v>
      </c>
      <c r="C1203" s="10">
        <v>520.3948974609375</v>
      </c>
      <c r="D1203" s="10">
        <v>1948.599975585938</v>
      </c>
      <c r="E1203" s="10">
        <v>23865.75</v>
      </c>
      <c r="F1203" s="10">
        <v>829.5499877929688</v>
      </c>
      <c r="I1203" s="15">
        <f>LN(B1203/B1202)</f>
        <v>0.008571522176272021</v>
      </c>
      <c r="J1203" s="15">
        <f>LN(C1203/C1202)</f>
        <v>0.014492957648543222</v>
      </c>
      <c r="K1203" s="15">
        <f>LN(D1203/D1202)</f>
        <v>0.01896133885086693</v>
      </c>
      <c r="L1203" s="15">
        <f>LN(E1203/E1202)</f>
        <v>-0.003367358657511833</v>
      </c>
      <c r="M1203" s="15">
        <f>LN(F1203/F1202)</f>
        <v>0.01298248329330447</v>
      </c>
      <c r="O1203" s="14">
        <v>46220</v>
      </c>
      <c r="P1203" s="15">
        <f>I1216</f>
        <v>0.017891924471145633</v>
      </c>
      <c r="Q1203" s="15">
        <f>J1216</f>
        <v>0.03113317340694754</v>
      </c>
      <c r="R1203" s="15">
        <f>K1216</f>
        <v>-0.004997560782830161</v>
      </c>
      <c r="S1203" s="15">
        <f>L1216</f>
        <v>0.010806414450711182</v>
      </c>
      <c r="T1203" s="15">
        <f>M1216</f>
        <v>0.013754758369220847</v>
      </c>
    </row>
    <row r="1204" spans="1:20">
      <c r="A1204" s="14">
        <v>46204</v>
      </c>
      <c r="B1204" s="10">
        <v>1802.650634765625</v>
      </c>
      <c r="C1204" s="10">
        <v>516.0520629882812</v>
      </c>
      <c r="D1204" s="10">
        <v>2018.5</v>
      </c>
      <c r="E1204" s="10">
        <v>24005.849609375</v>
      </c>
      <c r="F1204" s="10">
        <v>859.25</v>
      </c>
      <c r="I1204" s="15">
        <f>LN(B1204/B1203)</f>
        <v>0.01981152536556475</v>
      </c>
      <c r="J1204" s="15">
        <f>LN(C1204/C1203)</f>
        <v>-0.008380283901606176</v>
      </c>
      <c r="K1204" s="15">
        <f>LN(D1204/D1203)</f>
        <v>0.03524350783078187</v>
      </c>
      <c r="L1204" s="15">
        <f>LN(E1204/E1203)</f>
        <v>0.005853157634003401</v>
      </c>
      <c r="M1204" s="15">
        <f>LN(F1204/F1203)</f>
        <v>0.03517654535582378</v>
      </c>
    </row>
    <row r="1205" spans="1:20">
      <c r="A1205" s="14">
        <v>46205</v>
      </c>
      <c r="B1205" s="10">
        <v>1862.685668945312</v>
      </c>
      <c r="C1205" s="10">
        <v>536.76806640625</v>
      </c>
      <c r="D1205" s="10">
        <v>2012.5</v>
      </c>
      <c r="E1205" s="10">
        <v>24175.69921875</v>
      </c>
      <c r="F1205" s="10">
        <v>871.7000122070312</v>
      </c>
      <c r="I1205" s="15">
        <f>LN(B1205/B1204)</f>
        <v>0.032761197730607816</v>
      </c>
      <c r="J1205" s="15">
        <f>LN(C1205/C1204)</f>
        <v>0.0393584374210458</v>
      </c>
      <c r="K1205" s="15">
        <f>LN(D1205/D1204)</f>
        <v>-0.002976931000277064</v>
      </c>
      <c r="L1205" s="15">
        <f>LN(E1205/E1204)</f>
        <v>0.007050429763556748</v>
      </c>
      <c r="M1205" s="15">
        <f>LN(F1205/F1204)</f>
        <v>0.014385426291293742</v>
      </c>
      <c r="O1205" s="16" t="s">
        <v>20</v>
      </c>
    </row>
    <row r="1206" spans="1:20">
      <c r="A1206" s="14">
        <v>46206</v>
      </c>
      <c r="B1206" s="10">
        <v>1932.310424804688</v>
      </c>
      <c r="C1206" s="10">
        <v>553.7900390625</v>
      </c>
      <c r="D1206" s="10">
        <v>2047.599975585938</v>
      </c>
      <c r="E1206" s="10">
        <v>24270.849609375</v>
      </c>
      <c r="F1206" s="10">
        <v>890.7999877929688</v>
      </c>
      <c r="I1206" s="15">
        <f>LN(B1206/B1205)</f>
        <v>0.036697043920781894</v>
      </c>
      <c r="J1206" s="15">
        <f>LN(C1206/C1205)</f>
        <v>0.031219528973250418</v>
      </c>
      <c r="K1206" s="15">
        <f>LN(D1206/D1205)</f>
        <v>0.017290633367451923</v>
      </c>
      <c r="L1206" s="15">
        <f>LN(E1206/E1205)</f>
        <v>0.003928061555321314</v>
      </c>
      <c r="M1206" s="15">
        <f>LN(F1206/F1205)</f>
        <v>0.02167457965852773</v>
      </c>
    </row>
    <row r="1207" spans="1:20">
      <c r="A1207" s="14">
        <v>46209</v>
      </c>
      <c r="B1207" s="10">
        <v>1951.289916992188</v>
      </c>
      <c r="C1207" s="10">
        <v>549.9962768554688</v>
      </c>
      <c r="D1207" s="10">
        <v>2105.800048828125</v>
      </c>
      <c r="E1207" s="10">
        <v>24430.349609375</v>
      </c>
      <c r="F1207" s="10">
        <v>906.9500122070312</v>
      </c>
      <c r="I1207" s="15">
        <f>LN(B1207/B1206)</f>
        <v>0.009774251528946131</v>
      </c>
      <c r="J1207" s="15">
        <f>LN(C1207/C1206)</f>
        <v>-0.006874115200272002</v>
      </c>
      <c r="K1207" s="15">
        <f>LN(D1207/D1206)</f>
        <v>0.028027101949934897</v>
      </c>
      <c r="L1207" s="15">
        <f>LN(E1207/E1206)</f>
        <v>0.0065501701327115155</v>
      </c>
      <c r="M1207" s="15">
        <f>LN(F1207/F1206)</f>
        <v>0.017967413583645026</v>
      </c>
    </row>
    <row r="1208" spans="1:20">
      <c r="A1208" s="14">
        <v>46210</v>
      </c>
      <c r="B1208" s="10">
        <v>1904.340698242188</v>
      </c>
      <c r="C1208" s="10">
        <v>537.21728515625</v>
      </c>
      <c r="D1208" s="10">
        <v>2075.10009765625</v>
      </c>
      <c r="E1208" s="10">
        <v>24398.69921875</v>
      </c>
      <c r="F1208" s="10">
        <v>892.5999755859375</v>
      </c>
      <c r="I1208" s="15">
        <f>LN(B1208/B1207)</f>
        <v>-0.0243547912630523</v>
      </c>
      <c r="J1208" s="15">
        <f>LN(C1208/C1207)</f>
        <v>-0.023508868329330208</v>
      </c>
      <c r="K1208" s="15">
        <f>LN(D1208/D1207)</f>
        <v>-0.014686073274472685</v>
      </c>
      <c r="L1208" s="15">
        <f>LN(E1208/E1207)</f>
        <v>-0.0012963756541323145</v>
      </c>
      <c r="M1208" s="15">
        <f>LN(F1208/F1207)</f>
        <v>-0.015948810419867853</v>
      </c>
    </row>
    <row r="1209" spans="1:20">
      <c r="A1209" s="14">
        <v>46211</v>
      </c>
      <c r="B1209" s="10">
        <v>1868.079833984375</v>
      </c>
      <c r="C1209" s="10">
        <v>543.8563842773438</v>
      </c>
      <c r="D1209" s="10">
        <v>2022.5</v>
      </c>
      <c r="E1209" s="10">
        <v>23882.05078125</v>
      </c>
      <c r="F1209" s="10">
        <v>875.9500122070312</v>
      </c>
      <c r="I1209" s="15">
        <f>LN(B1209/B1208)</f>
        <v>-0.0192247819416374</v>
      </c>
      <c r="J1209" s="15">
        <f>LN(C1209/C1208)</f>
        <v>0.012282571991184843</v>
      </c>
      <c r="K1209" s="15">
        <f>LN(D1209/D1208)</f>
        <v>-0.025675022402985852</v>
      </c>
      <c r="L1209" s="15">
        <f>LN(E1209/E1208)</f>
        <v>-0.021402656722269202</v>
      </c>
      <c r="M1209" s="15">
        <f>LN(F1209/F1208)</f>
        <v>-0.018829499225948346</v>
      </c>
    </row>
    <row r="1210" spans="1:20">
      <c r="A1210" s="14">
        <v>46212</v>
      </c>
      <c r="B1210" s="10">
        <v>1871.176513671875</v>
      </c>
      <c r="C1210" s="10">
        <v>568.515869140625</v>
      </c>
      <c r="D1210" s="10">
        <v>2088</v>
      </c>
      <c r="E1210" s="10">
        <v>23962.80078125</v>
      </c>
      <c r="F1210" s="10">
        <v>906.9500122070312</v>
      </c>
      <c r="I1210" s="15">
        <f>LN(B1210/B1209)</f>
        <v>0.0016563081573062889</v>
      </c>
      <c r="J1210" s="15">
        <f>LN(C1210/C1209)</f>
        <v>0.04434401434486362</v>
      </c>
      <c r="K1210" s="15">
        <f>LN(D1210/D1209)</f>
        <v>0.03187230006988256</v>
      </c>
      <c r="L1210" s="15">
        <f>LN(E1210/E1209)</f>
        <v>0.003375497008972435</v>
      </c>
      <c r="M1210" s="15">
        <f>LN(F1210/F1209)</f>
        <v>0.034778309645816186</v>
      </c>
    </row>
    <row r="1211" spans="1:20">
      <c r="A1211" s="14">
        <v>46213</v>
      </c>
      <c r="B1211" s="10">
        <v>1922.720825195312</v>
      </c>
      <c r="C1211" s="10">
        <v>584.888916015625</v>
      </c>
      <c r="D1211" s="10">
        <v>2138.89990234375</v>
      </c>
      <c r="E1211" s="10">
        <v>24206.900390625</v>
      </c>
      <c r="F1211" s="10">
        <v>938.5999755859376</v>
      </c>
      <c r="I1211" s="15">
        <f>LN(B1211/B1210)</f>
        <v>0.027173894632248626</v>
      </c>
      <c r="J1211" s="15">
        <f>LN(C1211/C1210)</f>
        <v>0.02839271519160123</v>
      </c>
      <c r="K1211" s="15">
        <f>LN(D1211/D1210)</f>
        <v>0.024084962511652083</v>
      </c>
      <c r="L1211" s="15">
        <f>LN(E1211/E1210)</f>
        <v>0.010135072168571098</v>
      </c>
      <c r="M1211" s="15">
        <f>LN(F1211/F1210)</f>
        <v>0.03430204208576055</v>
      </c>
    </row>
    <row r="1212" spans="1:20">
      <c r="A1212" s="14">
        <v>46216</v>
      </c>
      <c r="B1212" s="10">
        <v>1923.120361328125</v>
      </c>
      <c r="C1212" s="10">
        <v>588.1835327148438</v>
      </c>
      <c r="D1212" s="10">
        <v>2154</v>
      </c>
      <c r="E1212" s="10">
        <v>24211</v>
      </c>
      <c r="F1212" s="10">
        <v>937.1500244140624</v>
      </c>
      <c r="I1212" s="15">
        <f>LN(B1212/B1211)</f>
        <v>0.00020777568020740673</v>
      </c>
      <c r="J1212" s="15">
        <f>LN(C1212/C1211)</f>
        <v>0.005617087615237201</v>
      </c>
      <c r="K1212" s="15">
        <f>LN(D1212/D1211)</f>
        <v>0.007034946202152627</v>
      </c>
      <c r="L1212" s="15">
        <f>LN(E1212/E1211)</f>
        <v>0.0001693427162979961</v>
      </c>
      <c r="M1212" s="15">
        <f>LN(F1212/F1211)</f>
        <v>-0.0015459964927840774</v>
      </c>
    </row>
    <row r="1213" spans="1:20">
      <c r="A1213" s="14">
        <v>46217</v>
      </c>
      <c r="B1213" s="10">
        <v>1914.429809570312</v>
      </c>
      <c r="C1213" s="10">
        <v>572.708984375</v>
      </c>
      <c r="D1213" s="10">
        <v>2132.5</v>
      </c>
      <c r="E1213" s="10">
        <v>24052.05078125</v>
      </c>
      <c r="F1213" s="10">
        <v>918.6500244140624</v>
      </c>
      <c r="I1213" s="15">
        <f>LN(B1213/B1212)</f>
        <v>-0.004529226317420201</v>
      </c>
      <c r="J1213" s="15">
        <f>LN(C1213/C1212)</f>
        <v>-0.026661322635703845</v>
      </c>
      <c r="K1213" s="15">
        <f>LN(D1213/D1212)</f>
        <v>-0.010031578350499688</v>
      </c>
      <c r="L1213" s="15">
        <f>LN(E1213/E1212)</f>
        <v>-0.0065868108566920726</v>
      </c>
      <c r="M1213" s="15">
        <f>LN(F1213/F1212)</f>
        <v>-0.019938153214620887</v>
      </c>
    </row>
    <row r="1214" spans="1:20">
      <c r="A1214" s="14">
        <v>46218</v>
      </c>
      <c r="B1214" s="10">
        <v>1885.660888671875</v>
      </c>
      <c r="C1214" s="10">
        <v>572.2597045898438</v>
      </c>
      <c r="D1214" s="10">
        <v>2132.39990234375</v>
      </c>
      <c r="E1214" s="10">
        <v>24078.5</v>
      </c>
      <c r="F1214" s="10">
        <v>915.1500244140624</v>
      </c>
      <c r="I1214" s="15">
        <f>LN(B1214/B1213)</f>
        <v>-0.015141465202076872</v>
      </c>
      <c r="J1214" s="15">
        <f>LN(C1214/C1213)</f>
        <v>-0.0007847896847231824</v>
      </c>
      <c r="K1214" s="15">
        <f>LN(D1214/D1213)</f>
        <v>-4.694021363233472e-05</v>
      </c>
      <c r="L1214" s="15">
        <f>LN(E1214/E1213)</f>
        <v>0.001099061655563571</v>
      </c>
      <c r="M1214" s="15">
        <f>LN(F1214/F1213)</f>
        <v>-0.003817214698132353</v>
      </c>
    </row>
    <row r="1215" spans="1:20">
      <c r="A1215" s="14">
        <v>46219</v>
      </c>
      <c r="B1215" s="10">
        <v>1859.189453125</v>
      </c>
      <c r="C1215" s="10">
        <v>573.0084838867188</v>
      </c>
      <c r="D1215" s="10">
        <v>2086.199951171875</v>
      </c>
      <c r="E1215" s="10">
        <v>24072.75</v>
      </c>
      <c r="F1215" s="10">
        <v>906.1500244140624</v>
      </c>
      <c r="I1215" s="15">
        <f>LN(B1215/B1214)</f>
        <v>-0.014137748666143143</v>
      </c>
      <c r="J1215" s="15">
        <f>LN(C1215/C1214)</f>
        <v>0.001307605347113706</v>
      </c>
      <c r="K1215" s="15">
        <f>LN(D1215/D1214)</f>
        <v>-0.021903854315625634</v>
      </c>
      <c r="L1215" s="15">
        <f>LN(E1215/E1214)</f>
        <v>-0.00023883076876853854</v>
      </c>
      <c r="M1215" s="15">
        <f>LN(F1215/F1214)</f>
        <v>-0.00988313074814523</v>
      </c>
    </row>
    <row r="1216" spans="1:20">
      <c r="A1216" s="14">
        <v>46220</v>
      </c>
      <c r="B1216" s="10">
        <v>1892.753295898438</v>
      </c>
      <c r="C1216" s="10">
        <v>591.128662109375</v>
      </c>
      <c r="D1216" s="10">
        <v>2075.800048828125</v>
      </c>
      <c r="E1216" s="10">
        <v>24334.30078125</v>
      </c>
      <c r="F1216" s="10">
        <v>918.7000122070312</v>
      </c>
      <c r="I1216" s="15">
        <f>LN(B1216/B1215)</f>
        <v>0.017891924471145633</v>
      </c>
      <c r="J1216" s="15">
        <f>LN(C1216/C1215)</f>
        <v>0.03113317340694754</v>
      </c>
      <c r="K1216" s="15">
        <f>LN(D1216/D1215)</f>
        <v>-0.004997560782830161</v>
      </c>
      <c r="L1216" s="15">
        <f>LN(E1216/E1215)</f>
        <v>0.010806414450711182</v>
      </c>
      <c r="M1216" s="15">
        <f>LN(F1216/F1215)</f>
        <v>0.013754758369220847</v>
      </c>
    </row>
    <row r="1217" spans="1:12">
      <c r="A1217" s="14">
        <v>46223</v>
      </c>
      <c r="B1217" s="10">
        <v>1880.666259765625</v>
      </c>
      <c r="C1217" s="10">
        <v>599.8143920898438</v>
      </c>
      <c r="D1217" s="10">
        <v>2074</v>
      </c>
      <c r="E1217" s="10">
        <v>24238.5</v>
      </c>
      <c r="I1217" s="15">
        <f>LN(B1217/B1216)</f>
        <v>-0.006406431776021251</v>
      </c>
      <c r="J1217" s="15">
        <f>LN(C1217/C1216)</f>
        <v>0.01458656474461363</v>
      </c>
      <c r="K1217" s="15">
        <f>LN(D1217/D1216)</f>
        <v>-0.0008675352642732558</v>
      </c>
      <c r="L1217" s="15">
        <f>LN(E1217/E1216)</f>
        <v>-0.003944631725234211</v>
      </c>
    </row>
    <row r="1218" spans="1:12">
      <c r="A1218" s="14">
        <v>46224</v>
      </c>
      <c r="B1218" s="10">
        <v>1882.764038085938</v>
      </c>
      <c r="C1218" s="10">
        <v>607.8511962890625</v>
      </c>
      <c r="D1218" s="10">
        <v>2091.199951171875</v>
      </c>
      <c r="E1218" s="10">
        <v>24187.69921875</v>
      </c>
      <c r="I1218" s="15">
        <f>LN(B1218/B1217)</f>
        <v>0.0011148225802270384</v>
      </c>
      <c r="J1218" s="15">
        <f>LN(C1218/C1217)</f>
        <v>0.01330984822438835</v>
      </c>
      <c r="K1218" s="15">
        <f>LN(D1218/D1217)</f>
        <v>0.008258930731151587</v>
      </c>
      <c r="L1218" s="15">
        <f>LN(E1218/E1217)</f>
        <v>-0.002098070908085292</v>
      </c>
    </row>
    <row r="1219" spans="1:12">
      <c r="A1219" s="14">
        <v>46225</v>
      </c>
      <c r="B1219" s="10">
        <v>1849.5</v>
      </c>
      <c r="C1219" s="10">
        <v>615.3388671875</v>
      </c>
      <c r="D1219" s="10">
        <v>2055.60009765625</v>
      </c>
      <c r="E1219" s="10">
        <v>23996.25</v>
      </c>
      <c r="I1219" s="15">
        <f>LN(B1219/B1218)</f>
        <v>-0.01782559784152591</v>
      </c>
      <c r="J1219" s="15">
        <f>LN(C1219/C1218)</f>
        <v>0.012243010550604144</v>
      </c>
      <c r="K1219" s="15">
        <f>LN(D1219/D1218)</f>
        <v>-0.017170216895132182</v>
      </c>
      <c r="L1219" s="15">
        <f>LN(E1219/E1218)</f>
        <v>-0.007946639050547172</v>
      </c>
    </row>
    <row r="1220" spans="1:12">
      <c r="A1220" s="14">
        <v>46226</v>
      </c>
      <c r="B1220" s="10">
        <v>1818.099975585938</v>
      </c>
      <c r="C1220" s="10">
        <v>586.1868286132812</v>
      </c>
      <c r="D1220" s="10">
        <v>2035.599975585938</v>
      </c>
      <c r="E1220" s="10">
        <v>23869.599609375</v>
      </c>
      <c r="I1220" s="15">
        <f>LN(B1220/B1219)</f>
        <v>-0.017123345975620312</v>
      </c>
      <c r="J1220" s="15">
        <f>LN(C1220/C1219)</f>
        <v>-0.04853456069285961</v>
      </c>
      <c r="K1220" s="15">
        <f>LN(D1220/D1219)</f>
        <v>-0.009777219904360772</v>
      </c>
      <c r="L1220" s="15">
        <f>LN(E1220/E1219)</f>
        <v>-0.005291901730381726</v>
      </c>
    </row>
    <row r="1221" spans="1:12">
      <c r="A1221" s="14">
        <v>46227</v>
      </c>
      <c r="B1221" s="10">
        <v>1821.199951171875</v>
      </c>
      <c r="C1221" s="10">
        <v>585.5877685546875</v>
      </c>
      <c r="D1221" s="10">
        <v>2010.699951171875</v>
      </c>
      <c r="E1221" s="10">
        <v>23767.44921875</v>
      </c>
      <c r="I1221" s="15">
        <f>LN(B1221/B1220)</f>
        <v>0.0017036113527756614</v>
      </c>
      <c r="J1221" s="15">
        <f>LN(C1221/C1220)</f>
        <v>-0.0010224835258134603</v>
      </c>
      <c r="K1221" s="15">
        <f>LN(D1221/D1220)</f>
        <v>-0.012307707873672536</v>
      </c>
      <c r="L1221" s="15">
        <f>LN(E1221/E1220)</f>
        <v>-0.00428870174406507</v>
      </c>
    </row>
    <row r="1222" spans="1:12">
      <c r="A1222" s="14">
        <v>46230</v>
      </c>
      <c r="B1222" s="10">
        <v>1832.599975585938</v>
      </c>
      <c r="C1222" s="10">
        <v>615.8880615234375</v>
      </c>
      <c r="D1222" s="10">
        <v>2036.599975585938</v>
      </c>
      <c r="E1222" s="10">
        <v>23995.94921875</v>
      </c>
      <c r="I1222" s="15">
        <f>LN(B1222/B1221)</f>
        <v>0.006240112559358395</v>
      </c>
      <c r="J1222" s="15">
        <f>LN(C1222/C1221)</f>
        <v>0.05044915331660502</v>
      </c>
      <c r="K1222" s="15">
        <f>LN(D1222/D1221)</f>
        <v>0.012798842902448999</v>
      </c>
      <c r="L1222" s="15">
        <f>LN(E1222/E1221)</f>
        <v>0.009568068885288541</v>
      </c>
    </row>
    <row r="1223" spans="1:12">
      <c r="A1223" s="14">
        <v>46231</v>
      </c>
      <c r="B1223" s="10">
        <v>1829.5</v>
      </c>
      <c r="C1223" s="10">
        <v>608.9494018554688</v>
      </c>
      <c r="D1223" s="10">
        <v>2023.199951171875</v>
      </c>
      <c r="E1223" s="10">
        <v>23985.349609375</v>
      </c>
      <c r="I1223" s="15">
        <f>LN(B1223/B1222)</f>
        <v>-0.0016930047497610357</v>
      </c>
      <c r="J1223" s="15">
        <f>LN(C1223/C1222)</f>
        <v>-0.011330048437575926</v>
      </c>
      <c r="K1223" s="15">
        <f>LN(D1223/D1222)</f>
        <v>-0.006601346528259624</v>
      </c>
      <c r="L1223" s="15">
        <f>LN(E1223/E1222)</f>
        <v>-0.0004418225352921867</v>
      </c>
    </row>
    <row r="1224" spans="1:12">
      <c r="A1224" s="14">
        <v>46232</v>
      </c>
      <c r="B1224" s="10">
        <v>1836.5</v>
      </c>
      <c r="C1224" s="10">
        <v>612.393798828125</v>
      </c>
      <c r="D1224" s="10">
        <v>1910.5</v>
      </c>
      <c r="E1224" s="10">
        <v>24250.19921875</v>
      </c>
      <c r="I1224" s="15">
        <f>LN(B1224/B1223)</f>
        <v>0.0038188808004604924</v>
      </c>
      <c r="J1224" s="15">
        <f>LN(C1224/C1223)</f>
        <v>0.0056403574397244595</v>
      </c>
      <c r="K1224" s="15">
        <f>LN(D1224/D1223)</f>
        <v>-0.05731540433469361</v>
      </c>
      <c r="L1224" s="15">
        <f>LN(E1224/E1223)</f>
        <v>0.010981621540740824</v>
      </c>
    </row>
    <row r="1225" spans="1:12">
      <c r="A1225" s="14">
        <v>46233</v>
      </c>
      <c r="B1225" s="10">
        <v>1814.400024414062</v>
      </c>
      <c r="C1225" s="10">
        <v>608.5999755859375</v>
      </c>
      <c r="D1225" s="10">
        <v>1887.900024414062</v>
      </c>
      <c r="E1225" s="10">
        <v>24317.150390625</v>
      </c>
      <c r="I1225" s="15">
        <f>LN(B1225/B1224)</f>
        <v>-0.012106738270566849</v>
      </c>
      <c r="J1225" s="15">
        <f>LN(C1225/C1224)</f>
        <v>-0.006214340369039225</v>
      </c>
      <c r="K1225" s="15">
        <f>LN(D1225/D1224)</f>
        <v>-0.01189987475409505</v>
      </c>
      <c r="L1225" s="15">
        <f>LN(E1225/E1224)</f>
        <v>0.002757046238807193</v>
      </c>
    </row>
    <row r="1226" spans="1:12">
      <c r="A1226" s="14">
        <v>46234</v>
      </c>
      <c r="B1226" s="10">
        <v>1827.699951171875</v>
      </c>
      <c r="C1226" s="10">
        <v>624.5</v>
      </c>
      <c r="D1226" s="10">
        <v>1893.300048828125</v>
      </c>
      <c r="E1226" s="10">
        <v>24383.599609375</v>
      </c>
      <c r="I1226" s="15">
        <f>LN(B1226/B1225)</f>
        <v>0.0073034710556285415</v>
      </c>
      <c r="J1226" s="15">
        <f>LN(C1226/C1225)</f>
        <v>0.02579013221788326</v>
      </c>
      <c r="K1226" s="15">
        <f>LN(D1226/D1225)</f>
        <v>0.0028562509154002186</v>
      </c>
      <c r="L1226" s="15">
        <f>LN(E1226/E1225)</f>
        <v>0.0027288803554812308</v>
      </c>
    </row>
    <row r="1227" spans="1:12">
      <c r="A1227" s="14">
        <v>46237</v>
      </c>
      <c r="B1227" s="10">
        <v>1861.099975585938</v>
      </c>
      <c r="C1227" s="10">
        <v>626.1500244140625</v>
      </c>
      <c r="D1227" s="10">
        <v>1955</v>
      </c>
      <c r="E1227" s="10">
        <v>24774.30078125</v>
      </c>
      <c r="I1227" s="15">
        <f>LN(B1227/B1226)</f>
        <v>0.018109378587052243</v>
      </c>
      <c r="J1227" s="15">
        <f>LN(C1227/C1226)</f>
        <v>0.0026386684351653615</v>
      </c>
      <c r="K1227" s="15">
        <f>LN(D1227/D1226)</f>
        <v>0.03206882937120627</v>
      </c>
      <c r="L1227" s="15">
        <f>LN(E1227/E1226)</f>
        <v>0.015896097912767627</v>
      </c>
    </row>
    <row r="1228" spans="1:12">
      <c r="A1228" s="14">
        <v>46238</v>
      </c>
      <c r="B1228" s="10">
        <v>1778.800048828125</v>
      </c>
      <c r="C1228" s="10">
        <v>630.4000244140625</v>
      </c>
      <c r="D1228" s="10">
        <v>1932.300048828125</v>
      </c>
      <c r="E1228" s="10">
        <v>24614.900390625</v>
      </c>
      <c r="I1228" s="15">
        <f>LN(B1228/B1227)</f>
        <v>-0.04522869054525823</v>
      </c>
      <c r="J1228" s="15">
        <f>LN(C1228/C1227)</f>
        <v>0.006764579270761869</v>
      </c>
      <c r="K1228" s="15">
        <f>LN(D1228/D1227)</f>
        <v>-0.011679164929078886</v>
      </c>
      <c r="L1228" s="15">
        <f>LN(E1228/E1227)</f>
        <v>-0.006454890555102032</v>
      </c>
    </row>
    <row r="1229" spans="1:12">
      <c r="A1229" s="14">
        <v>46239</v>
      </c>
      <c r="B1229" s="10">
        <v>1806.5</v>
      </c>
      <c r="C1229" s="10">
        <v>628.2000122070312</v>
      </c>
      <c r="D1229" s="10">
        <v>1930.5</v>
      </c>
      <c r="E1229" s="10">
        <v>24624.650390625</v>
      </c>
      <c r="I1229" s="15">
        <f>LN(B1229/B1228)</f>
        <v>0.015452264501117356</v>
      </c>
      <c r="J1229" s="15">
        <f>LN(C1229/C1228)</f>
        <v>-0.0034959707352542565</v>
      </c>
      <c r="K1229" s="15">
        <f>LN(D1229/D1228)</f>
        <v>-0.0009319917860961764</v>
      </c>
      <c r="L1229" s="15">
        <f>LN(E1229/E1228)</f>
        <v>0.00039602311445705957</v>
      </c>
    </row>
    <row r="1230" spans="1:12">
      <c r="A1230" s="14">
        <v>46240</v>
      </c>
      <c r="B1230" s="10">
        <v>1777</v>
      </c>
      <c r="C1230" s="10">
        <v>617.4000244140625</v>
      </c>
      <c r="D1230" s="10">
        <v>1913</v>
      </c>
      <c r="E1230" s="10">
        <v>24636</v>
      </c>
      <c r="I1230" s="15">
        <f>LN(B1230/B1229)</f>
        <v>-0.016464722433043626</v>
      </c>
      <c r="J1230" s="15">
        <f>LN(C1230/C1229)</f>
        <v>-0.017341454924900163</v>
      </c>
      <c r="K1230" s="15">
        <f>LN(D1230/D1229)</f>
        <v>-0.009106346264038171</v>
      </c>
      <c r="L1230" s="15">
        <f>LN(E1230/E1229)</f>
        <v>0.0004607982024527352</v>
      </c>
    </row>
    <row r="1231" spans="1:12">
      <c r="A1231" s="14">
        <v>46241</v>
      </c>
      <c r="B1231" s="10">
        <v>1775</v>
      </c>
      <c r="C1231" s="10">
        <v>615.9000244140625</v>
      </c>
      <c r="D1231" s="10">
        <v>1895.5</v>
      </c>
      <c r="E1231" s="10">
        <v>24570.650390625</v>
      </c>
      <c r="I1231" s="15">
        <f>LN(B1231/B1230)</f>
        <v>-0.001126126245135136</v>
      </c>
      <c r="J1231" s="15">
        <f>LN(C1231/C1230)</f>
        <v>-0.0024324992787550744</v>
      </c>
      <c r="K1231" s="15">
        <f>LN(D1231/D1230)</f>
        <v>-0.009190034483863295</v>
      </c>
      <c r="L1231" s="15">
        <f>LN(E1231/E1230)</f>
        <v>-0.0026561307171494536</v>
      </c>
    </row>
    <row r="1232" spans="1:12">
      <c r="A1232" s="14">
        <v>46244</v>
      </c>
      <c r="B1232" s="10">
        <v>1793</v>
      </c>
      <c r="C1232" s="10">
        <v>604.25</v>
      </c>
      <c r="D1232" s="10">
        <v>1935</v>
      </c>
      <c r="E1232" s="10">
        <v>24583.80078125</v>
      </c>
      <c r="I1232" s="15">
        <f>LN(B1232/B1231)</f>
        <v>0.010089771695616739</v>
      </c>
      <c r="J1232" s="15">
        <f>LN(C1232/C1231)</f>
        <v>-0.01909663274905774</v>
      </c>
      <c r="K1232" s="15">
        <f>LN(D1232/D1231)</f>
        <v>0.020624670507492737</v>
      </c>
      <c r="L1232" s="15">
        <f>LN(E1232/E1231)</f>
        <v>0.000535064093901079</v>
      </c>
    </row>
    <row r="1233" spans="1:12">
      <c r="A1233" s="14">
        <v>46245</v>
      </c>
      <c r="B1233" s="10">
        <v>1793.599975585938</v>
      </c>
      <c r="C1233" s="10">
        <v>606.25</v>
      </c>
      <c r="D1233" s="10">
        <v>1908.699951171875</v>
      </c>
      <c r="E1233" s="10">
        <v>24471.69921875</v>
      </c>
      <c r="I1233" s="15">
        <f>LN(B1233/B1232)</f>
        <v>0.00033456510099694496</v>
      </c>
      <c r="J1233" s="15">
        <f>LN(C1233/C1232)</f>
        <v>0.0033044226681004925</v>
      </c>
      <c r="K1233" s="15">
        <f>LN(D1233/D1232)</f>
        <v>-0.013684970009910943</v>
      </c>
      <c r="L1233" s="15">
        <f>LN(E1233/E1232)</f>
        <v>-0.004570405260858804</v>
      </c>
    </row>
    <row r="1234" spans="1:12">
      <c r="A1234" s="14">
        <v>46246</v>
      </c>
      <c r="B1234" s="10">
        <v>1799.900024414062</v>
      </c>
      <c r="C1234" s="10">
        <v>614.6500244140625</v>
      </c>
      <c r="D1234" s="10">
        <v>1905</v>
      </c>
      <c r="E1234" s="10">
        <v>24435.94921875</v>
      </c>
      <c r="I1234" s="15">
        <f>LN(B1234/B1233)</f>
        <v>0.0035063616434251165</v>
      </c>
      <c r="J1234" s="15">
        <f>LN(C1234/C1233)</f>
        <v>0.013760597581923942</v>
      </c>
      <c r="K1234" s="15">
        <f>LN(D1234/D1233)</f>
        <v>-0.0019403478931698246</v>
      </c>
      <c r="L1234" s="15">
        <f>LN(E1234/E1233)</f>
        <v>-0.0014619392880015388</v>
      </c>
    </row>
    <row r="1235" spans="1:12">
      <c r="A1235" s="14">
        <v>46247</v>
      </c>
      <c r="B1235" s="10">
        <v>1846</v>
      </c>
      <c r="C1235" s="10">
        <v>627.0499877929688</v>
      </c>
      <c r="D1235" s="10">
        <v>1898.5</v>
      </c>
      <c r="E1235" s="10">
        <v>24395.849609375</v>
      </c>
      <c r="I1235" s="15">
        <f>LN(B1235/B1234)</f>
        <v>0.025290014713242527</v>
      </c>
      <c r="J1235" s="15">
        <f>LN(C1235/C1234)</f>
        <v>0.019973222969044673</v>
      </c>
      <c r="K1235" s="15">
        <f>LN(D1235/D1234)</f>
        <v>-0.0034179078889443027</v>
      </c>
      <c r="L1235" s="15">
        <f>LN(E1235/E1234)</f>
        <v>-0.0016423567982678559</v>
      </c>
    </row>
    <row r="1236" spans="1:12">
      <c r="A1236" s="14">
        <v>46248</v>
      </c>
      <c r="B1236" s="10">
        <v>1846</v>
      </c>
      <c r="C1236" s="10">
        <v>629.9500122070312</v>
      </c>
      <c r="D1236" s="10">
        <v>1890</v>
      </c>
      <c r="E1236" s="10">
        <v>24366</v>
      </c>
      <c r="I1236" s="15">
        <f>LN(B1236/B1235)</f>
        <v>0.0</v>
      </c>
      <c r="J1236" s="15">
        <f>LN(C1236/C1235)</f>
        <v>0.004614207731754855</v>
      </c>
      <c r="K1236" s="15">
        <f>LN(D1236/D1235)</f>
        <v>-0.004487271618168961</v>
      </c>
      <c r="L1236" s="15">
        <f>LN(E1236/E1235)</f>
        <v>-0.0012243019222044982</v>
      </c>
    </row>
    <row r="1237" spans="1:12">
      <c r="A1237" s="14">
        <v>46251</v>
      </c>
      <c r="B1237" s="10">
        <v>1931</v>
      </c>
      <c r="C1237" s="10">
        <v>627.5499877929688</v>
      </c>
      <c r="D1237" s="10">
        <v>1929.800048828125</v>
      </c>
      <c r="E1237" s="10">
        <v>24287.650390625</v>
      </c>
      <c r="I1237" s="15">
        <f>LN(B1237/B1236)</f>
        <v>0.045016867365717</v>
      </c>
      <c r="J1237" s="15">
        <f>LN(C1237/C1236)</f>
        <v>-0.00381714087984783</v>
      </c>
      <c r="K1237" s="15">
        <f>LN(D1237/D1236)</f>
        <v>0.020839566834763654</v>
      </c>
      <c r="L1237" s="15">
        <f>LN(E1237/E1236)</f>
        <v>-0.0032207111479826242</v>
      </c>
    </row>
    <row r="1238" spans="1:12">
      <c r="A1238" s="14">
        <v>46252</v>
      </c>
      <c r="B1238" s="10">
        <v>1858</v>
      </c>
      <c r="C1238" s="10">
        <v>627.0499877929688</v>
      </c>
      <c r="D1238" s="10">
        <v>1940</v>
      </c>
      <c r="E1238" s="10">
        <v>24154.900390625</v>
      </c>
      <c r="I1238" s="15">
        <f>LN(B1238/B1237)</f>
        <v>-0.038537363054730586</v>
      </c>
      <c r="J1238" s="15">
        <f>LN(C1238/C1237)</f>
        <v>-0.0007970668519071164</v>
      </c>
      <c r="K1238" s="15">
        <f>LN(D1238/D1237)</f>
        <v>0.005271577168922025</v>
      </c>
      <c r="L1238" s="15">
        <f>LN(E1238/E1237)</f>
        <v>-0.005480732544386898</v>
      </c>
    </row>
    <row r="1239" spans="1:12">
      <c r="A1239" s="14">
        <v>46253</v>
      </c>
      <c r="B1239" s="10">
        <v>1869.699951171875</v>
      </c>
      <c r="C1239" s="10">
        <v>631.5499877929688</v>
      </c>
      <c r="D1239" s="10">
        <v>1919</v>
      </c>
      <c r="E1239" s="10">
        <v>24078.30078125</v>
      </c>
      <c r="I1239" s="15">
        <f>LN(B1239/B1238)</f>
        <v>0.006277323681957873</v>
      </c>
      <c r="J1239" s="15">
        <f>LN(C1239/C1238)</f>
        <v>0.007150833088637163</v>
      </c>
      <c r="K1239" s="15">
        <f>LN(D1239/D1238)</f>
        <v>-0.010883756049673865</v>
      </c>
      <c r="L1239" s="15">
        <f>LN(E1239/E1238)</f>
        <v>-0.0031762218518000007</v>
      </c>
    </row>
    <row r="1240" spans="1:12">
      <c r="A1240" s="14">
        <v>46254</v>
      </c>
      <c r="B1240" s="10">
        <v>1904.699951171875</v>
      </c>
      <c r="C1240" s="10">
        <v>633.8499755859375</v>
      </c>
      <c r="D1240" s="10">
        <v>1925</v>
      </c>
      <c r="E1240" s="10">
        <v>24231.849609375</v>
      </c>
      <c r="I1240" s="15">
        <f>LN(B1240/B1239)</f>
        <v>0.018546526153173017</v>
      </c>
      <c r="J1240" s="15">
        <f>LN(C1240/C1239)</f>
        <v>0.003635198976338281</v>
      </c>
      <c r="K1240" s="15">
        <f>LN(D1240/D1239)</f>
        <v>0.0031217507141845856</v>
      </c>
      <c r="L1240" s="15">
        <f>LN(E1240/E1239)</f>
        <v>0.006356815035648365</v>
      </c>
    </row>
    <row r="1241" spans="1:12">
      <c r="A1241" s="14">
        <v>46255</v>
      </c>
      <c r="B1241" s="10">
        <v>1886</v>
      </c>
      <c r="C1241" s="10">
        <v>625</v>
      </c>
      <c r="D1241" s="10">
        <v>1930</v>
      </c>
      <c r="E1241" s="10">
        <v>24252</v>
      </c>
      <c r="I1241" s="15">
        <f>LN(B1241/B1240)</f>
        <v>-0.009866306015511991</v>
      </c>
      <c r="J1241" s="15">
        <f>LN(C1241/C1240)</f>
        <v>-0.014060645131235512</v>
      </c>
      <c r="K1241" s="15">
        <f>LN(D1241/D1240)</f>
        <v>0.002594035177046528</v>
      </c>
      <c r="L1241" s="15">
        <f>LN(E1241/E1240)</f>
        <v>0.0008312207857896257</v>
      </c>
    </row>
    <row r="1242" spans="1:12">
      <c r="A1242" s="14">
        <v>46258</v>
      </c>
      <c r="B1242" s="10">
        <v>1870</v>
      </c>
      <c r="C1242" s="10">
        <v>614.5999755859375</v>
      </c>
      <c r="D1242" s="10">
        <v>1932</v>
      </c>
      <c r="E1242" s="10">
        <v>24219.05078125</v>
      </c>
      <c r="I1242" s="15">
        <f>LN(B1242/B1241)</f>
        <v>-0.008519753344770523</v>
      </c>
      <c r="J1242" s="15">
        <f>LN(C1242/C1241)</f>
        <v>-0.01678003976351703</v>
      </c>
      <c r="K1242" s="15">
        <f>LN(D1242/D1241)</f>
        <v>0.0010357328735321183</v>
      </c>
      <c r="L1242" s="15">
        <f>LN(E1242/E1241)</f>
        <v>-0.001359542378144627</v>
      </c>
    </row>
    <row r="1243" spans="1:12">
      <c r="A1243" s="14">
        <v>46259</v>
      </c>
      <c r="B1243" s="10">
        <v>1880</v>
      </c>
      <c r="C1243" s="10">
        <v>613.1500244140625</v>
      </c>
      <c r="D1243" s="10">
        <v>1930</v>
      </c>
      <c r="E1243" s="10">
        <v>24334.55078125</v>
      </c>
      <c r="I1243" s="15">
        <f>LN(B1243/B1242)</f>
        <v>0.005333345975362603</v>
      </c>
      <c r="J1243" s="15">
        <f>LN(C1243/C1242)</f>
        <v>-0.002361965947411572</v>
      </c>
      <c r="K1243" s="15">
        <f>LN(D1243/D1242)</f>
        <v>-0.0010357328735320908</v>
      </c>
      <c r="L1243" s="15">
        <f>LN(E1243/E1242)</f>
        <v>0.004757637503542181</v>
      </c>
    </row>
    <row r="1244" spans="1:12">
      <c r="A1244" s="14">
        <v>46260</v>
      </c>
      <c r="B1244" s="10">
        <v>1870</v>
      </c>
      <c r="C1244" s="10">
        <v>606.3499755859375</v>
      </c>
      <c r="D1244" s="10">
        <v>1924.099975585938</v>
      </c>
      <c r="E1244" s="10">
        <v>24207.75</v>
      </c>
      <c r="I1244" s="15">
        <f>LN(B1244/B1243)</f>
        <v>-0.005333345975362617</v>
      </c>
      <c r="J1244" s="15">
        <f>LN(C1244/C1243)</f>
        <v>-0.011152307186649947</v>
      </c>
      <c r="K1244" s="15">
        <f>LN(D1244/D1243)</f>
        <v>-0.0030616896605228853</v>
      </c>
      <c r="L1244" s="15">
        <f>LN(E1244/E1243)</f>
        <v>-0.005224353506780909</v>
      </c>
    </row>
    <row r="1245" spans="1:12">
      <c r="A1245" s="14">
        <v>46261</v>
      </c>
      <c r="B1245" s="10">
        <v>1872.900024414062</v>
      </c>
      <c r="C1245" s="10">
        <v>605.25</v>
      </c>
      <c r="D1245" s="10">
        <v>1901.699951171875</v>
      </c>
      <c r="E1245" s="10">
        <v>24090.849609375</v>
      </c>
      <c r="I1245" s="15">
        <f>LN(B1245/B1244)</f>
        <v>0.001549613922608837</v>
      </c>
      <c r="J1245" s="15">
        <f>LN(C1245/C1244)</f>
        <v>-0.001815741020655025</v>
      </c>
      <c r="K1245" s="15">
        <f>LN(D1245/D1244)</f>
        <v>-0.011710115956218192</v>
      </c>
      <c r="L1245" s="15">
        <f>LN(E1245/E1244)</f>
        <v>-0.004840745688108582</v>
      </c>
    </row>
  </sheetData>
  <mergeCells count="2">
    <mergeCell ref="A1:S2"/>
    <mergeCell ref="P4:T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E6E8E"/>
  </sheetPr>
  <dimension ref="A1:L25"/>
  <sheetViews>
    <sheetView showGridLines="0" workbookViewId="0"/>
  </sheetViews>
  <sheetFormatPr defaultRowHeight="15"/>
  <cols>
    <col min="1" max="1" width="34.7109375" customWidth="1"/>
    <col min="2" max="7" width="16.7109375" customWidth="1"/>
  </cols>
  <sheetData>
    <row r="1" spans="1:12" ht="22" customHeight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29</v>
      </c>
    </row>
    <row r="4" spans="1:12">
      <c r="A4" s="7" t="s">
        <v>30</v>
      </c>
      <c r="B4" s="17">
        <v>0.068</v>
      </c>
      <c r="C4" s="7" t="s">
        <v>31</v>
      </c>
      <c r="D4" s="18">
        <v>252</v>
      </c>
      <c r="E4" s="7" t="s">
        <v>32</v>
      </c>
      <c r="F4" s="19">
        <v>5.010266940451745</v>
      </c>
    </row>
    <row r="6" spans="1:12" ht="28" customHeight="1">
      <c r="A6" s="4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</row>
    <row r="7" spans="1:12">
      <c r="A7" s="8" t="s">
        <v>39</v>
      </c>
      <c r="B7" s="10">
        <f>INDEX(PX_OBEROIRLTY,1)</f>
        <v>648.6154174804688</v>
      </c>
      <c r="C7" s="10">
        <f>INDEX(PX_ANANTRAJ,1)</f>
        <v>57.8004035949707</v>
      </c>
      <c r="D7" s="10">
        <f>INDEX(PX_PHOENIXLTD,1)</f>
        <v>398.2785949707031</v>
      </c>
      <c r="E7" s="10">
        <f>INDEX(PX_NSEI,1)</f>
        <v>16496.44921875</v>
      </c>
      <c r="F7" s="10">
        <f>'5Y_Price_Returns'!F6</f>
        <v>369.7000122070313</v>
      </c>
    </row>
    <row r="8" spans="1:12">
      <c r="A8" s="8" t="s">
        <v>40</v>
      </c>
      <c r="B8" s="10">
        <f>INDEX(PX_OBEROIRLTY,COUNT(PX_OBEROIRLTY))</f>
        <v>1872.9000244140625</v>
      </c>
      <c r="C8" s="10">
        <f>INDEX(PX_ANANTRAJ,COUNT(PX_ANANTRAJ))</f>
        <v>605.25</v>
      </c>
      <c r="D8" s="10">
        <f>INDEX(PX_PHOENIXLTD,COUNT(PX_PHOENIXLTD))</f>
        <v>1901.699951171875</v>
      </c>
      <c r="E8" s="10">
        <f>INDEX(PX_NSEI,COUNT(PX_NSEI))</f>
        <v>24090.849609375</v>
      </c>
      <c r="F8" s="10">
        <f>'5Y_Price_Returns'!F1216</f>
        <v>918.7000122070312</v>
      </c>
    </row>
    <row r="9" spans="1:12">
      <c r="A9" s="8" t="s">
        <v>41</v>
      </c>
      <c r="B9" s="9">
        <f>B8/B7-1</f>
        <v>1.8875354700776286</v>
      </c>
      <c r="C9" s="9">
        <f>C8/C7-1</f>
        <v>9.471380169612928</v>
      </c>
      <c r="D9" s="9">
        <f>D8/D7-1</f>
        <v>3.774798282372573</v>
      </c>
      <c r="E9" s="9">
        <f>E8/E7-1</f>
        <v>0.460365760529432</v>
      </c>
      <c r="F9" s="9">
        <f>F8/F7-1</f>
        <v>1.4849877789361852</v>
      </c>
    </row>
    <row r="10" spans="1:12">
      <c r="A10" s="8" t="s">
        <v>42</v>
      </c>
      <c r="B10" s="9">
        <f>(B8/B7)^(1/B23)-1</f>
        <v>0.235710465542887</v>
      </c>
      <c r="C10" s="9">
        <f>(C8/C7)^(1/C23)-1</f>
        <v>0.5980219892655065</v>
      </c>
      <c r="D10" s="9">
        <f>(D8/D7)^(1/D23)-1</f>
        <v>0.3661951697607311</v>
      </c>
      <c r="E10" s="9">
        <f>(E8/E7)^(1/E23)-1</f>
        <v>0.0785118621033624</v>
      </c>
      <c r="F10" s="9">
        <f>(F8/F7)^(1/F23)-1</f>
        <v>0.2042346386753455</v>
      </c>
    </row>
    <row r="11" spans="1:12">
      <c r="A11" s="8" t="s">
        <v>43</v>
      </c>
      <c r="B11" s="15">
        <f>STDEV(LR_OBEROIRLTY)</f>
        <v>0.021525126860738368</v>
      </c>
      <c r="C11" s="15">
        <f>STDEV(LR_ANANTRAJ)</f>
        <v>0.03167218627534059</v>
      </c>
      <c r="D11" s="15">
        <f>STDEV(LR_PHOENIXLTD)</f>
        <v>0.022445258948527343</v>
      </c>
      <c r="E11" s="15">
        <f>STDEV(LR_NSEI)</f>
        <v>0.008713173105954939</v>
      </c>
      <c r="F11" s="15">
        <f>STDEV(LR_CNXREALTY)</f>
        <v>0.01777873307434591</v>
      </c>
    </row>
    <row r="12" spans="1:12">
      <c r="A12" s="8" t="s">
        <v>44</v>
      </c>
      <c r="B12" s="9">
        <f>B11*SQRT(TDays)</f>
        <v>0.341700795675781</v>
      </c>
      <c r="C12" s="9">
        <f>C11*SQRT(TDays)</f>
        <v>0.5027803701735858</v>
      </c>
      <c r="D12" s="9">
        <f>D11*SQRT(TDays)</f>
        <v>0.3563074397415027</v>
      </c>
      <c r="E12" s="9">
        <f>E11*SQRT(TDays)</f>
        <v>0.138317335011678</v>
      </c>
      <c r="F12" s="9">
        <f>F11*SQRT(TDays)</f>
        <v>0.2822286380431085</v>
      </c>
    </row>
    <row r="13" spans="1:12">
      <c r="A13" s="8" t="s">
        <v>45</v>
      </c>
      <c r="B13" s="12">
        <f>(B10-Rf)/B12</f>
        <v>0.4908108721585102</v>
      </c>
      <c r="C13" s="12">
        <f>(C10-Rf)/C12</f>
        <v>1.054181946448139</v>
      </c>
      <c r="D13" s="12">
        <f>(D10-Rf)/D12</f>
        <v>0.8369041353081724</v>
      </c>
      <c r="E13" s="12">
        <f>(E10-Rf)/E12</f>
        <v>0.0759981538284768</v>
      </c>
      <c r="F13" s="12">
        <f>(F10-Rf)/F12</f>
        <v>0.4827101871020494</v>
      </c>
    </row>
    <row r="14" spans="1:12">
      <c r="A14" s="8" t="s">
        <v>46</v>
      </c>
      <c r="B14" s="10">
        <f>COVAR(BR_OBEROIRLTY,BR_CNXREALTY)/VARP(BR_CNXREALTY)</f>
        <v>0.9516183128229024</v>
      </c>
      <c r="C14" s="10">
        <f>COVAR(BR_ANANTRAJ,BR_CNXREALTY)/VARP(BR_CNXREALTY)</f>
        <v>0.9184417726177008</v>
      </c>
      <c r="D14" s="10">
        <f>COVAR(BR_PHOENIXLTD,BR_CNXREALTY)/VARP(BR_CNXREALTY)</f>
        <v>0.7089633340951379</v>
      </c>
      <c r="E14" s="10">
        <f>COVAR(BR_NSEI,BR_CNXREALTY)/VARP(BR_CNXREALTY)</f>
        <v>0.3464683670069703</v>
      </c>
      <c r="F14" s="10">
        <f>COVAR(BR_CNXREALTY,BR_CNXREALTY)/VARP(BR_CNXREALTY)</f>
        <v>0.9999999999999994</v>
      </c>
    </row>
    <row r="15" spans="1:12">
      <c r="A15" s="8" t="s">
        <v>47</v>
      </c>
      <c r="B15" s="10">
        <f>COVAR(LR_OBEROIRLTY,LR_NSEI)/VARP(LR_NSEI)</f>
        <v>1.327910841769878</v>
      </c>
      <c r="C15" s="10">
        <f>COVAR(LR_ANANTRAJ,LR_NSEI)/VARP(LR_NSEI)</f>
        <v>1.66672176378822</v>
      </c>
      <c r="D15" s="10">
        <f>COVAR(LR_PHOENIXLTD,LR_NSEI)/VARP(LR_NSEI)</f>
        <v>0.9135575302410448</v>
      </c>
      <c r="E15" s="10">
        <f>COVAR(LR_NSEI,LR_NSEI)/VARP(LR_NSEI)</f>
        <v>1.0000000000000004</v>
      </c>
      <c r="F15" s="10">
        <f>COVAR(BR_CNXREALTY,BR_NSEI)/VARP(BR_NSEI)</f>
        <v>1.4171737416718797</v>
      </c>
    </row>
    <row r="16" spans="1:12">
      <c r="A16" s="8" t="s">
        <v>48</v>
      </c>
      <c r="B16" s="10">
        <f>CORREL(BR_OBEROIRLTY,BR_CNXREALTY)</f>
        <v>0.7806303176852071</v>
      </c>
      <c r="C16" s="10">
        <f>CORREL(BR_ANANTRAJ,BR_CNXREALTY)</f>
        <v>0.5125040230019813</v>
      </c>
      <c r="D16" s="10">
        <f>CORREL(BR_PHOENIXLTD,BR_CNXREALTY)</f>
        <v>0.5597815269532731</v>
      </c>
      <c r="E16" s="10">
        <f>CORREL(BR_NSEI,BR_CNXREALTY)</f>
        <v>0.7007181116841595</v>
      </c>
      <c r="F16" s="10">
        <f>CORREL(BR_CNXREALTY,BR_CNXREALTY)</f>
        <v>1.0</v>
      </c>
    </row>
    <row r="17" spans="1:6">
      <c r="A17" s="8" t="s">
        <v>49</v>
      </c>
      <c r="B17" s="9">
        <v>-0.3886199024568518</v>
      </c>
      <c r="C17" s="9">
        <v>-0.5658293351673471</v>
      </c>
      <c r="D17" s="9">
        <v>-0.3163113588612323</v>
      </c>
      <c r="E17" s="9">
        <v>-0.1722975608467006</v>
      </c>
      <c r="F17" s="9">
        <v>-0.4339302818621755</v>
      </c>
    </row>
    <row r="18" spans="1:6">
      <c r="A18" s="8" t="s">
        <v>50</v>
      </c>
      <c r="B18" s="9">
        <v>0.2288484630839975</v>
      </c>
      <c r="C18" s="9">
        <v>0.3532514362092477</v>
      </c>
      <c r="D18" s="9">
        <v>0.2224737836594909</v>
      </c>
      <c r="E18" s="9">
        <v>0.1017589568320236</v>
      </c>
      <c r="F18" s="9">
        <v>0.2011413966032904</v>
      </c>
    </row>
    <row r="19" spans="1:6">
      <c r="A19" s="8" t="s">
        <v>51</v>
      </c>
      <c r="B19" s="12">
        <f>(B10-Rf)/B18</f>
        <v>0.732845059489562</v>
      </c>
      <c r="C19" s="12">
        <f>(C10-Rf)/C18</f>
        <v>1.500410005273267</v>
      </c>
      <c r="D19" s="12">
        <f>(D10-Rf)/D18</f>
        <v>1.3403609398630814</v>
      </c>
      <c r="E19" s="12">
        <f>(E10-Rf)/E18</f>
        <v>0.10330159064734352</v>
      </c>
      <c r="F19" s="12">
        <f>(F10-Rf)/F18</f>
        <v>0.6773078092126407</v>
      </c>
    </row>
    <row r="20" spans="1:6">
      <c r="A20" s="8" t="s">
        <v>52</v>
      </c>
      <c r="B20" s="9">
        <f>MAX(LR_OBEROIRLTY)</f>
        <v>0.12104872150412163</v>
      </c>
      <c r="C20" s="9">
        <f>MAX(LR_ANANTRAJ)</f>
        <v>0.15578359303029493</v>
      </c>
      <c r="D20" s="9">
        <f>MAX(LR_PHOENIXLTD)</f>
        <v>0.0755495254754531</v>
      </c>
      <c r="E20" s="9">
        <f>MAX(LR_NSEI)</f>
        <v>0.03747214018466671</v>
      </c>
      <c r="F20" s="9">
        <f>MAX(LR_CNXREALTY)</f>
        <v>0.08302516347611619</v>
      </c>
    </row>
    <row r="21" spans="1:6">
      <c r="A21" s="8" t="s">
        <v>53</v>
      </c>
      <c r="B21" s="9">
        <f>MIN(LR_OBEROIRLTY)</f>
        <v>-0.10342400980336723</v>
      </c>
      <c r="C21" s="9">
        <f>MIN(LR_ANANTRAJ)</f>
        <v>-0.223105989222235</v>
      </c>
      <c r="D21" s="9">
        <f>MIN(LR_PHOENIXLTD)</f>
        <v>-0.0820676868270372</v>
      </c>
      <c r="E21" s="9">
        <f>MIN(LR_NSEI)</f>
        <v>-0.06112419596275757</v>
      </c>
      <c r="F21" s="9">
        <f>MIN(LR_CNXREALTY)</f>
        <v>-0.10119764538298048</v>
      </c>
    </row>
    <row r="22" spans="1:6">
      <c r="A22" s="8" t="s">
        <v>54</v>
      </c>
      <c r="B22" s="18">
        <f>COUNT(LR_OBEROIRLTY)</f>
        <v>1239.0</v>
      </c>
      <c r="C22" s="18">
        <f>COUNT(LR_ANANTRAJ)</f>
        <v>1239.0</v>
      </c>
      <c r="D22" s="18">
        <f>COUNT(LR_PHOENIXLTD)</f>
        <v>1239.0</v>
      </c>
      <c r="E22" s="18">
        <f>COUNT(LR_NSEI)</f>
        <v>1239.0</v>
      </c>
      <c r="F22" s="18">
        <f>COUNT(LR_CNXREALTY)</f>
        <v>1198.0</v>
      </c>
    </row>
    <row r="23" spans="1:6">
      <c r="A23" s="8" t="s">
        <v>55</v>
      </c>
      <c r="B23" s="19">
        <v>5.010266940451745</v>
      </c>
      <c r="C23" s="19">
        <v>5.010266940451745</v>
      </c>
      <c r="D23" s="19">
        <v>5.010266940451745</v>
      </c>
      <c r="E23" s="19">
        <v>5.010266940451745</v>
      </c>
      <c r="F23" s="19">
        <v>4.898015058179329</v>
      </c>
    </row>
    <row r="25" spans="1:6" ht="40" customHeight="1">
      <c r="A25" s="7" t="s">
        <v>56</v>
      </c>
      <c r="B25" s="16" t="s">
        <v>57</v>
      </c>
      <c r="C25" s="16"/>
      <c r="D25" s="16"/>
      <c r="E25" s="16"/>
      <c r="F25" s="16"/>
    </row>
  </sheetData>
  <mergeCells count="2">
    <mergeCell ref="A1:L2"/>
    <mergeCell ref="B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7C99"/>
  </sheetPr>
  <dimension ref="A1:J22"/>
  <sheetViews>
    <sheetView showGridLines="0" workbookViewId="0"/>
  </sheetViews>
  <sheetFormatPr defaultRowHeight="15"/>
  <cols>
    <col min="1" max="1" width="30.7109375" customWidth="1"/>
    <col min="2" max="7" width="18.7109375" customWidth="1"/>
  </cols>
  <sheetData>
    <row r="1" spans="1:10" ht="22" customHeight="1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</row>
    <row r="2" spans="1:10" ht="12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59</v>
      </c>
    </row>
    <row r="5" spans="1:10">
      <c r="A5" s="3" t="s">
        <v>60</v>
      </c>
      <c r="B5" s="3"/>
      <c r="C5" s="3"/>
      <c r="D5" s="3"/>
    </row>
    <row r="6" spans="1:10">
      <c r="A6" s="5"/>
      <c r="B6" s="5" t="s">
        <v>34</v>
      </c>
      <c r="C6" s="5" t="s">
        <v>35</v>
      </c>
      <c r="D6" s="5" t="s">
        <v>36</v>
      </c>
    </row>
    <row r="7" spans="1:10">
      <c r="A7" s="4" t="s">
        <v>34</v>
      </c>
      <c r="B7" s="19">
        <f>CORREL(LR_OBEROIRLTY,LR_OBEROIRLTY)</f>
        <v>1.0</v>
      </c>
      <c r="C7" s="19">
        <f>CORREL(LR_OBEROIRLTY,LR_ANANTRAJ)</f>
        <v>0.40432862632762984</v>
      </c>
      <c r="D7" s="19">
        <f>CORREL(LR_OBEROIRLTY,LR_PHOENIXLTD)</f>
        <v>0.3203071130257936</v>
      </c>
    </row>
    <row r="8" spans="1:10">
      <c r="A8" s="4" t="s">
        <v>35</v>
      </c>
      <c r="B8" s="19">
        <f>CORREL(LR_ANANTRAJ,LR_OBEROIRLTY)</f>
        <v>0.40432862632762984</v>
      </c>
      <c r="C8" s="19">
        <f>CORREL(LR_ANANTRAJ,LR_ANANTRAJ)</f>
        <v>1.0</v>
      </c>
      <c r="D8" s="19">
        <f>CORREL(LR_ANANTRAJ,LR_PHOENIXLTD)</f>
        <v>0.24562691086804722</v>
      </c>
    </row>
    <row r="9" spans="1:10">
      <c r="A9" s="4" t="s">
        <v>36</v>
      </c>
      <c r="B9" s="19">
        <f>CORREL(LR_PHOENIXLTD,LR_OBEROIRLTY)</f>
        <v>0.3203071130257936</v>
      </c>
      <c r="C9" s="19">
        <f>CORREL(LR_PHOENIXLTD,LR_ANANTRAJ)</f>
        <v>0.24562691086804722</v>
      </c>
      <c r="D9" s="19">
        <f>CORREL(LR_PHOENIXLTD,LR_PHOENIXLTD)</f>
        <v>1.0</v>
      </c>
    </row>
    <row r="12" spans="1:10">
      <c r="A12" s="3" t="s">
        <v>61</v>
      </c>
      <c r="B12" s="3"/>
      <c r="C12" s="3"/>
      <c r="D12" s="3"/>
    </row>
    <row r="13" spans="1:10">
      <c r="A13" s="5"/>
      <c r="B13" s="5" t="s">
        <v>34</v>
      </c>
      <c r="C13" s="5" t="s">
        <v>35</v>
      </c>
      <c r="D13" s="5" t="s">
        <v>36</v>
      </c>
    </row>
    <row r="14" spans="1:10">
      <c r="A14" s="4" t="s">
        <v>34</v>
      </c>
      <c r="B14" s="15">
        <f>COVAR(LR_OBEROIRLTY,LR_OBEROIRLTY)*COUNT(LR_OBEROIRLTY)/(COUNT(LR_OBEROIRLTY)-1)*TDays</f>
        <v>0.11675943376546213</v>
      </c>
      <c r="C14" s="15">
        <f>COVAR(LR_OBEROIRLTY,LR_ANANTRAJ)*COUNT(LR_OBEROIRLTY)/(COUNT(LR_OBEROIRLTY)-1)*TDays</f>
        <v>0.06946384097734826</v>
      </c>
      <c r="D14" s="15">
        <f>COVAR(LR_OBEROIRLTY,LR_PHOENIXLTD)*COUNT(LR_OBEROIRLTY)/(COUNT(LR_OBEROIRLTY)-1)*TDays</f>
        <v>0.03899756258815906</v>
      </c>
    </row>
    <row r="15" spans="1:10">
      <c r="A15" s="4" t="s">
        <v>35</v>
      </c>
      <c r="B15" s="15">
        <f>COVAR(LR_ANANTRAJ,LR_OBEROIRLTY)*COUNT(LR_ANANTRAJ)/(COUNT(LR_ANANTRAJ)-1)*TDays</f>
        <v>0.06946384097734826</v>
      </c>
      <c r="C15" s="15">
        <f>COVAR(LR_ANANTRAJ,LR_ANANTRAJ)*COUNT(LR_ANANTRAJ)/(COUNT(LR_ANANTRAJ)-1)*TDays</f>
        <v>0.25278810063188817</v>
      </c>
      <c r="D15" s="15">
        <f>COVAR(LR_ANANTRAJ,LR_PHOENIXLTD)*COUNT(LR_ANANTRAJ)/(COUNT(LR_ANANTRAJ)-1)*TDays</f>
        <v>0.04400268224277911</v>
      </c>
    </row>
    <row r="16" spans="1:10">
      <c r="A16" s="4" t="s">
        <v>36</v>
      </c>
      <c r="B16" s="15">
        <f>COVAR(LR_PHOENIXLTD,LR_OBEROIRLTY)*COUNT(LR_PHOENIXLTD)/(COUNT(LR_PHOENIXLTD)-1)*TDays</f>
        <v>0.03899756258815906</v>
      </c>
      <c r="C16" s="15">
        <f>COVAR(LR_PHOENIXLTD,LR_ANANTRAJ)*COUNT(LR_PHOENIXLTD)/(COUNT(LR_PHOENIXLTD)-1)*TDays</f>
        <v>0.04400268224277911</v>
      </c>
      <c r="D16" s="15">
        <f>COVAR(LR_PHOENIXLTD,LR_PHOENIXLTD)*COUNT(LR_PHOENIXLTD)/(COUNT(LR_PHOENIXLTD)-1)*TDays</f>
        <v>0.1269549916151445</v>
      </c>
    </row>
    <row r="19" spans="1:5">
      <c r="A19" s="7" t="s">
        <v>62</v>
      </c>
      <c r="B19" s="9">
        <f>SQRT(B14)</f>
        <v>0.34170079567578143</v>
      </c>
      <c r="C19" s="9">
        <f>SQRT(C15)</f>
        <v>0.502780370173586</v>
      </c>
      <c r="D19" s="9">
        <f>SQRT(D16)</f>
        <v>0.3563074397415026</v>
      </c>
    </row>
    <row r="20" spans="1:5">
      <c r="A20" s="7" t="s">
        <v>63</v>
      </c>
      <c r="B20" s="15">
        <f>B19-Risk_Return_Metrics!B12</f>
        <v>0.0</v>
      </c>
      <c r="C20" s="15">
        <f>C19-Risk_Return_Metrics!C12</f>
        <v>0.0</v>
      </c>
      <c r="D20" s="15">
        <f>D19-Risk_Return_Metrics!D12</f>
        <v>0.0</v>
      </c>
    </row>
    <row r="22" spans="1:5" ht="34" customHeight="1">
      <c r="A22" s="7" t="s">
        <v>64</v>
      </c>
      <c r="B22" s="16" t="s">
        <v>65</v>
      </c>
      <c r="C22" s="16"/>
      <c r="D22" s="16"/>
      <c r="E22" s="16"/>
    </row>
  </sheetData>
  <mergeCells count="4">
    <mergeCell ref="A1:J2"/>
    <mergeCell ref="B5:D5"/>
    <mergeCell ref="B12:D12"/>
    <mergeCell ref="B22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C2E"/>
  </sheetPr>
  <dimension ref="A1:J104"/>
  <sheetViews>
    <sheetView showGridLines="0" workbookViewId="0"/>
  </sheetViews>
  <sheetFormatPr defaultRowHeight="15"/>
  <cols>
    <col min="1" max="1" width="38.7109375" customWidth="1"/>
    <col min="2" max="9" width="16.7109375" customWidth="1"/>
  </cols>
  <sheetData>
    <row r="1" spans="1:10" ht="22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</row>
    <row r="2" spans="1:10" ht="12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67</v>
      </c>
      <c r="E3" s="7" t="s">
        <v>73</v>
      </c>
      <c r="F3" s="17">
        <v>0.4</v>
      </c>
    </row>
    <row r="5" spans="1:10">
      <c r="A5" s="3" t="s">
        <v>68</v>
      </c>
      <c r="B5" s="3"/>
      <c r="C5" s="3"/>
      <c r="D5" s="3"/>
      <c r="E5" s="3"/>
    </row>
    <row r="6" spans="1:10">
      <c r="A6" s="4" t="s">
        <v>69</v>
      </c>
      <c r="B6" s="5" t="s">
        <v>34</v>
      </c>
      <c r="C6" s="5" t="s">
        <v>35</v>
      </c>
      <c r="D6" s="5" t="s">
        <v>36</v>
      </c>
    </row>
    <row r="7" spans="1:10">
      <c r="A7" s="8" t="s">
        <v>70</v>
      </c>
      <c r="B7" s="9">
        <f>Risk_Return_Metrics!B10</f>
        <v>0.235710465542887</v>
      </c>
      <c r="C7" s="9">
        <f>Risk_Return_Metrics!C10</f>
        <v>0.5980219892655065</v>
      </c>
      <c r="D7" s="9">
        <f>Risk_Return_Metrics!D10</f>
        <v>0.3661951697607311</v>
      </c>
    </row>
    <row r="8" spans="1:10">
      <c r="A8" s="7" t="s">
        <v>71</v>
      </c>
      <c r="B8" s="17">
        <f>AVERAGE($B$7:$D$7)+(1-$F$3)*(B7-AVERAGE($B$7:$D$7))</f>
        <v>0.30141662926828217</v>
      </c>
      <c r="C8" s="17">
        <f>AVERAGE($B$7:$D$7)+(1-$F$3)*(C7-AVERAGE($B$7:$D$7))</f>
        <v>0.5188035435018539</v>
      </c>
      <c r="D8" s="17">
        <f>AVERAGE($B$7:$D$7)+(1-$F$3)*(D7-AVERAGE($B$7:$D$7))</f>
        <v>0.37970745179898857</v>
      </c>
    </row>
    <row r="9" spans="1:10">
      <c r="A9" s="8" t="s">
        <v>72</v>
      </c>
      <c r="B9" s="9">
        <f>Risk_Return_Metrics!B12</f>
        <v>0.34170079567578143</v>
      </c>
      <c r="C9" s="9">
        <f>Risk_Return_Metrics!C12</f>
        <v>0.502780370173586</v>
      </c>
      <c r="D9" s="9">
        <f>Risk_Return_Metrics!D12</f>
        <v>0.3563074397415026</v>
      </c>
    </row>
    <row r="10" spans="1:10">
      <c r="A10" s="8" t="s">
        <v>46</v>
      </c>
      <c r="B10" s="10">
        <f>Risk_Return_Metrics!B14</f>
        <v>0.9516183128229024</v>
      </c>
      <c r="C10" s="10">
        <f>Risk_Return_Metrics!C14</f>
        <v>0.9184417726177008</v>
      </c>
      <c r="D10" s="10">
        <f>Risk_Return_Metrics!D14</f>
        <v>0.7089633340951379</v>
      </c>
    </row>
    <row r="12" spans="1:10">
      <c r="A12" s="3" t="s">
        <v>74</v>
      </c>
      <c r="B12" s="3"/>
      <c r="C12" s="3"/>
      <c r="D12" s="3"/>
      <c r="E12" s="3"/>
    </row>
    <row r="13" spans="1:10">
      <c r="A13" s="4" t="s">
        <v>69</v>
      </c>
      <c r="B13" s="5" t="s">
        <v>34</v>
      </c>
      <c r="C13" s="5" t="s">
        <v>35</v>
      </c>
      <c r="D13" s="5" t="s">
        <v>36</v>
      </c>
      <c r="E13" s="5" t="s">
        <v>75</v>
      </c>
    </row>
    <row r="14" spans="1:10">
      <c r="A14" s="7" t="s">
        <v>76</v>
      </c>
      <c r="B14" s="17">
        <v>0.45</v>
      </c>
      <c r="C14" s="17">
        <v>0.109393</v>
      </c>
      <c r="D14" s="17">
        <v>0.440607</v>
      </c>
      <c r="E14" s="11">
        <f>SUM(B14:D14)</f>
        <v>1.0</v>
      </c>
    </row>
    <row r="15" spans="1:10">
      <c r="A15" s="8" t="s">
        <v>77</v>
      </c>
      <c r="B15" s="13" t="s">
        <v>78</v>
      </c>
      <c r="C15" s="13"/>
      <c r="D15" s="13"/>
      <c r="E15" s="13"/>
    </row>
    <row r="16" spans="1:10">
      <c r="A16" s="8" t="s">
        <v>79</v>
      </c>
      <c r="B16" s="20" t="str">
        <f>IF(AND(MIN(B14:D14)&gt;=0.1,MAX(B14:D14)&lt;=0.45,ABS(E14-1)&lt;0.0001),"PASS","REVIEW")</f>
        <v>PASS</v>
      </c>
      <c r="C16" s="16" t="s">
        <v>80</v>
      </c>
      <c r="D16" s="16"/>
      <c r="E16" s="16"/>
    </row>
    <row r="19" spans="1:5">
      <c r="A19" s="3" t="s">
        <v>81</v>
      </c>
      <c r="B19" s="3"/>
      <c r="C19" s="3"/>
      <c r="D19" s="3"/>
      <c r="E19" s="3"/>
    </row>
    <row r="20" spans="1:5">
      <c r="A20" s="4" t="s">
        <v>69</v>
      </c>
      <c r="B20" s="5" t="s">
        <v>34</v>
      </c>
      <c r="C20" s="5" t="s">
        <v>35</v>
      </c>
      <c r="D20" s="5" t="s">
        <v>36</v>
      </c>
      <c r="E20" s="5" t="s">
        <v>75</v>
      </c>
    </row>
    <row r="21" spans="1:5">
      <c r="A21" s="7" t="s">
        <v>76</v>
      </c>
      <c r="B21" s="17">
        <v>0.125941</v>
      </c>
      <c r="C21" s="17">
        <v>0.4</v>
      </c>
      <c r="D21" s="17">
        <v>0.474059</v>
      </c>
      <c r="E21" s="11">
        <f>SUM(B21:D21)</f>
        <v>1.0</v>
      </c>
    </row>
    <row r="22" spans="1:5">
      <c r="A22" s="8" t="s">
        <v>77</v>
      </c>
      <c r="B22" s="13" t="s">
        <v>82</v>
      </c>
      <c r="C22" s="13"/>
      <c r="D22" s="13"/>
      <c r="E22" s="13"/>
    </row>
    <row r="23" spans="1:5">
      <c r="A23" s="8" t="s">
        <v>79</v>
      </c>
      <c r="B23" s="20" t="str">
        <f>IF(AND(MIN(B21:D21)&gt;=0.05,MAX(B21:D21)&lt;=0.6,ABS(E21-1)&lt;0.0001),"PASS","REVIEW")</f>
        <v>PASS</v>
      </c>
      <c r="C23" s="16" t="s">
        <v>83</v>
      </c>
      <c r="D23" s="16"/>
      <c r="E23" s="16"/>
    </row>
    <row r="26" spans="1:5">
      <c r="A26" s="3" t="s">
        <v>84</v>
      </c>
      <c r="B26" s="3"/>
      <c r="C26" s="3"/>
      <c r="D26" s="3"/>
      <c r="E26" s="3"/>
    </row>
    <row r="27" spans="1:5">
      <c r="A27" s="8" t="s">
        <v>85</v>
      </c>
      <c r="B27" s="11">
        <f>SUMPRODUCT(B14:D14,MU)</f>
        <v>0.35969272041982225</v>
      </c>
    </row>
    <row r="28" spans="1:5">
      <c r="A28" s="8" t="s">
        <v>86</v>
      </c>
      <c r="B28" s="15">
        <f>B14^2*Correlation_Covariance!$B$14+C14^2*Correlation_Covariance!$C$15+D14^2*Correlation_Covariance!$D$16+2*B14*C14*Correlation_Covariance!$C$14+2*B14*D14*Correlation_Covariance!$D$14+2*C14*D14*Correlation_Covariance!$D$15</f>
        <v>0.07786031477800612</v>
      </c>
    </row>
    <row r="29" spans="1:5">
      <c r="A29" s="8" t="s">
        <v>87</v>
      </c>
      <c r="B29" s="15">
        <f>SUMPRODUCT(MMULT(B14:D14,COVMAT),B14:D14)</f>
        <v>0.07786031477800612</v>
      </c>
    </row>
    <row r="30" spans="1:5">
      <c r="A30" s="8" t="s">
        <v>88</v>
      </c>
      <c r="B30" s="15">
        <f>B28-B29</f>
        <v>0.0</v>
      </c>
    </row>
    <row r="31" spans="1:5">
      <c r="A31" s="8" t="s">
        <v>89</v>
      </c>
      <c r="B31" s="11">
        <f>SQRT(B28)</f>
        <v>0.27903461215054687</v>
      </c>
    </row>
    <row r="32" spans="1:5">
      <c r="A32" s="8" t="s">
        <v>90</v>
      </c>
      <c r="B32" s="12">
        <f>(B27-Rf)/B31</f>
        <v>1.045363935935109</v>
      </c>
    </row>
    <row r="33" spans="1:5">
      <c r="A33" s="8" t="s">
        <v>91</v>
      </c>
      <c r="B33" s="10">
        <f>SUMPRODUCT(B14:D14,$B$10:$D$10)</f>
        <v>0.8410735493479308</v>
      </c>
    </row>
    <row r="34" spans="1:5">
      <c r="A34" s="8" t="s">
        <v>92</v>
      </c>
      <c r="B34" s="9">
        <f>SUMPRODUCT(B14:D14,$B$9:$D$9)</f>
        <v>0.365757563190685</v>
      </c>
      <c r="C34" s="16" t="s">
        <v>93</v>
      </c>
    </row>
    <row r="35" spans="1:5">
      <c r="A35" s="8" t="s">
        <v>94</v>
      </c>
      <c r="B35" s="12">
        <f>B34/B31</f>
        <v>1.3107963932207403</v>
      </c>
    </row>
    <row r="36" spans="1:5">
      <c r="A36" s="8" t="s">
        <v>95</v>
      </c>
      <c r="B36" s="9">
        <v>-0.3057417673480648</v>
      </c>
    </row>
    <row r="37" spans="1:5">
      <c r="A37" s="8" t="s">
        <v>96</v>
      </c>
      <c r="B37" s="9">
        <v>-0.02720476273380037</v>
      </c>
    </row>
    <row r="38" spans="1:5">
      <c r="A38" s="8" t="s">
        <v>51</v>
      </c>
      <c r="B38" s="12">
        <v>1.541470106567901</v>
      </c>
    </row>
    <row r="40" spans="1:5">
      <c r="A40" s="3" t="s">
        <v>97</v>
      </c>
      <c r="B40" s="3"/>
      <c r="C40" s="3"/>
      <c r="D40" s="3"/>
      <c r="E40" s="3"/>
    </row>
    <row r="41" spans="1:5">
      <c r="A41" s="8" t="s">
        <v>85</v>
      </c>
      <c r="B41" s="11">
        <f>SUMPRODUCT(B21:D21,MU)</f>
        <v>0.425485863999795</v>
      </c>
    </row>
    <row r="42" spans="1:5">
      <c r="A42" s="8" t="s">
        <v>86</v>
      </c>
      <c r="B42" s="15">
        <f>B21^2*Correlation_Covariance!$B$14+C21^2*Correlation_Covariance!$C$15+D21^2*Correlation_Covariance!$D$16+2*B21*C21*Correlation_Covariance!$C$14+2*B21*D21*Correlation_Covariance!$D$14+2*C21*D21*Correlation_Covariance!$D$15</f>
        <v>0.09917202398229204</v>
      </c>
    </row>
    <row r="43" spans="1:5">
      <c r="A43" s="8" t="s">
        <v>87</v>
      </c>
      <c r="B43" s="15">
        <f>SUMPRODUCT(MMULT(B21:D21,COVMAT),B21:D21)</f>
        <v>0.09917202398229204</v>
      </c>
    </row>
    <row r="44" spans="1:5">
      <c r="A44" s="8" t="s">
        <v>88</v>
      </c>
      <c r="B44" s="15">
        <f>B42-B43</f>
        <v>0.0</v>
      </c>
    </row>
    <row r="45" spans="1:5">
      <c r="A45" s="8" t="s">
        <v>89</v>
      </c>
      <c r="B45" s="11">
        <f>SQRT(B42)</f>
        <v>0.3149158998562823</v>
      </c>
    </row>
    <row r="46" spans="1:5">
      <c r="A46" s="8" t="s">
        <v>90</v>
      </c>
      <c r="B46" s="12">
        <f>(B41-Rf)/B45</f>
        <v>1.1351788339773896</v>
      </c>
    </row>
    <row r="47" spans="1:5">
      <c r="A47" s="8" t="s">
        <v>91</v>
      </c>
      <c r="B47" s="10">
        <f>SUMPRODUCT(B21:D21,$B$10:$D$10)</f>
        <v>0.8233149201801164</v>
      </c>
    </row>
    <row r="48" spans="1:5">
      <c r="A48" s="8" t="s">
        <v>92</v>
      </c>
      <c r="B48" s="9">
        <f>SUMPRODUCT(B21:D21,$B$9:$D$9)</f>
        <v>0.413057036554055</v>
      </c>
      <c r="C48" s="16" t="s">
        <v>93</v>
      </c>
    </row>
    <row r="49" spans="1:8">
      <c r="A49" s="8" t="s">
        <v>94</v>
      </c>
      <c r="B49" s="12">
        <f>B48/B45</f>
        <v>1.3116423678276048</v>
      </c>
    </row>
    <row r="50" spans="1:8">
      <c r="A50" s="8" t="s">
        <v>95</v>
      </c>
      <c r="B50" s="9">
        <v>-0.3606140545639276</v>
      </c>
    </row>
    <row r="51" spans="1:8">
      <c r="A51" s="8" t="s">
        <v>96</v>
      </c>
      <c r="B51" s="9">
        <v>-0.03027474799251368</v>
      </c>
    </row>
    <row r="52" spans="1:8">
      <c r="A52" s="8" t="s">
        <v>51</v>
      </c>
      <c r="B52" s="12">
        <v>1.656974275901433</v>
      </c>
    </row>
    <row r="54" spans="1:8">
      <c r="A54" s="3" t="s">
        <v>98</v>
      </c>
      <c r="B54" s="3"/>
      <c r="C54" s="3"/>
      <c r="D54" s="3"/>
      <c r="E54" s="3"/>
      <c r="F54" s="3"/>
      <c r="G54" s="3"/>
    </row>
    <row r="55" spans="1:8">
      <c r="A55" s="4" t="s">
        <v>99</v>
      </c>
      <c r="B55" s="5" t="s">
        <v>34</v>
      </c>
      <c r="C55" s="5" t="s">
        <v>35</v>
      </c>
      <c r="D55" s="5" t="s">
        <v>36</v>
      </c>
      <c r="E55" s="5" t="s">
        <v>100</v>
      </c>
      <c r="F55" s="5" t="s">
        <v>101</v>
      </c>
      <c r="G55" s="5" t="s">
        <v>102</v>
      </c>
      <c r="H55" s="5" t="s">
        <v>103</v>
      </c>
    </row>
    <row r="56" spans="1:8">
      <c r="A56" s="6" t="s">
        <v>104</v>
      </c>
      <c r="B56" s="9">
        <v>0.45</v>
      </c>
      <c r="C56" s="9">
        <v>0.109393</v>
      </c>
      <c r="D56" s="9">
        <v>0.440607</v>
      </c>
      <c r="E56" s="9">
        <v>0.3596927204198223</v>
      </c>
      <c r="F56" s="9">
        <v>0.2790346121505469</v>
      </c>
      <c r="G56" s="10">
        <v>1.045363935935109</v>
      </c>
      <c r="H56" s="9">
        <v>-0.3057417673480648</v>
      </c>
    </row>
    <row r="57" spans="1:8">
      <c r="A57" s="6" t="s">
        <v>105</v>
      </c>
      <c r="B57" s="9">
        <v>0.125941</v>
      </c>
      <c r="C57" s="9">
        <v>0.4</v>
      </c>
      <c r="D57" s="9">
        <v>0.474059</v>
      </c>
      <c r="E57" s="9">
        <v>0.425485863999795</v>
      </c>
      <c r="F57" s="9">
        <v>0.3149158998562823</v>
      </c>
      <c r="G57" s="10">
        <v>1.13517883397739</v>
      </c>
      <c r="H57" s="9">
        <v>-0.3606140545639276</v>
      </c>
    </row>
    <row r="58" spans="1:8">
      <c r="A58" s="8" t="s">
        <v>106</v>
      </c>
      <c r="B58" s="9">
        <v>0.45803</v>
      </c>
      <c r="C58" s="9">
        <v>0.106271</v>
      </c>
      <c r="D58" s="9">
        <v>0.435699</v>
      </c>
      <c r="E58" s="9">
        <v>0.3586297871166043</v>
      </c>
      <c r="F58" s="9">
        <v>0.2790205606339037</v>
      </c>
      <c r="G58" s="10">
        <v>1.041607064570173</v>
      </c>
      <c r="H58" s="9">
        <v>-0.3065548658482717</v>
      </c>
    </row>
    <row r="59" spans="1:8">
      <c r="A59" s="8" t="s">
        <v>107</v>
      </c>
      <c r="B59" s="9">
        <v>0.166497</v>
      </c>
      <c r="C59" s="9">
        <v>0.347328</v>
      </c>
      <c r="D59" s="9">
        <v>0.486175</v>
      </c>
      <c r="E59" s="9">
        <v>0.4149842320590664</v>
      </c>
      <c r="F59" s="9">
        <v>0.3048743898537691</v>
      </c>
      <c r="G59" s="10">
        <v>1.138121940073402</v>
      </c>
      <c r="H59" s="9">
        <v>-0.3453953985196679</v>
      </c>
    </row>
    <row r="60" spans="1:8">
      <c r="A60" s="8" t="s">
        <v>108</v>
      </c>
      <c r="B60" s="9">
        <v>0.3333333333333333</v>
      </c>
      <c r="C60" s="9">
        <v>0.3333333333333333</v>
      </c>
      <c r="D60" s="9">
        <v>0.3333333333333333</v>
      </c>
      <c r="E60" s="9">
        <v>0.3999758748563748</v>
      </c>
      <c r="F60" s="9">
        <v>0.2984088726765989</v>
      </c>
      <c r="G60" s="10">
        <v>1.112486608989519</v>
      </c>
      <c r="H60" s="9">
        <v>-0.3767395227232122</v>
      </c>
    </row>
    <row r="63" spans="1:8">
      <c r="A63" s="3" t="s">
        <v>109</v>
      </c>
      <c r="B63" s="3"/>
      <c r="C63" s="3"/>
      <c r="D63" s="3"/>
      <c r="E63" s="3"/>
    </row>
    <row r="64" spans="1:8">
      <c r="A64" s="4" t="s">
        <v>110</v>
      </c>
      <c r="B64" s="5" t="s">
        <v>111</v>
      </c>
    </row>
    <row r="65" spans="1:2">
      <c r="A65" s="9">
        <v>0.3014166292682822</v>
      </c>
      <c r="B65" s="9">
        <v>0.3417007956757814</v>
      </c>
    </row>
    <row r="66" spans="1:2">
      <c r="A66" s="9">
        <v>0.3069906226691783</v>
      </c>
      <c r="B66" s="9">
        <v>0.3263843977014669</v>
      </c>
    </row>
    <row r="67" spans="1:2">
      <c r="A67" s="9">
        <v>0.3125646943608971</v>
      </c>
      <c r="B67" s="9">
        <v>0.313008030803359</v>
      </c>
    </row>
    <row r="68" spans="1:2">
      <c r="A68" s="9">
        <v>0.3181386877617932</v>
      </c>
      <c r="B68" s="9">
        <v>0.3018301357960291</v>
      </c>
    </row>
    <row r="69" spans="1:2">
      <c r="A69" s="9">
        <v>0.3237127594535119</v>
      </c>
      <c r="B69" s="9">
        <v>0.293102017364942</v>
      </c>
    </row>
    <row r="70" spans="1:2">
      <c r="A70" s="9">
        <v>0.3292867528544081</v>
      </c>
      <c r="B70" s="9">
        <v>0.2870474844697599</v>
      </c>
    </row>
    <row r="71" spans="1:2">
      <c r="A71" s="9">
        <v>0.3348603726482489</v>
      </c>
      <c r="B71" s="9">
        <v>0.2837918980956415</v>
      </c>
    </row>
    <row r="72" spans="1:2">
      <c r="A72" s="9">
        <v>0.3404348146286675</v>
      </c>
      <c r="B72" s="9">
        <v>0.2818264077123874</v>
      </c>
    </row>
    <row r="73" spans="1:2">
      <c r="A73" s="9">
        <v>0.3460084189033601</v>
      </c>
      <c r="B73" s="9">
        <v>0.2803738388965556</v>
      </c>
    </row>
    <row r="74" spans="1:2">
      <c r="A74" s="9">
        <v>0.3515824028855044</v>
      </c>
      <c r="B74" s="9">
        <v>0.2794429749905799</v>
      </c>
    </row>
    <row r="75" spans="1:2">
      <c r="A75" s="9">
        <v>0.3571564651584713</v>
      </c>
      <c r="B75" s="9">
        <v>0.2790387627741132</v>
      </c>
    </row>
    <row r="76" spans="1:2">
      <c r="A76" s="9">
        <v>0.3627308288480675</v>
      </c>
      <c r="B76" s="9">
        <v>0.2791637816451905</v>
      </c>
    </row>
    <row r="77" spans="1:2">
      <c r="A77" s="9">
        <v>0.3683045114135825</v>
      </c>
      <c r="B77" s="9">
        <v>0.2798164866541559</v>
      </c>
    </row>
    <row r="78" spans="1:2">
      <c r="A78" s="9">
        <v>0.3738788751031787</v>
      </c>
      <c r="B78" s="9">
        <v>0.2809943004414431</v>
      </c>
    </row>
    <row r="79" spans="1:2">
      <c r="A79" s="9">
        <v>0.3794525576686937</v>
      </c>
      <c r="B79" s="9">
        <v>0.2826895731301286</v>
      </c>
    </row>
    <row r="80" spans="1:2">
      <c r="A80" s="9">
        <v>0.3850269213582899</v>
      </c>
      <c r="B80" s="9">
        <v>0.2848941386879691</v>
      </c>
    </row>
    <row r="81" spans="1:2">
      <c r="A81" s="9">
        <v>0.3906014241439777</v>
      </c>
      <c r="B81" s="9">
        <v>0.2875958266276976</v>
      </c>
    </row>
    <row r="82" spans="1:2">
      <c r="A82" s="9">
        <v>0.3961749676134011</v>
      </c>
      <c r="B82" s="9">
        <v>0.290780049379243</v>
      </c>
    </row>
    <row r="83" spans="1:2">
      <c r="A83" s="9">
        <v>0.4017486501789161</v>
      </c>
      <c r="B83" s="9">
        <v>0.2944318805813773</v>
      </c>
    </row>
    <row r="84" spans="1:2">
      <c r="A84" s="9">
        <v>0.4073230138685123</v>
      </c>
      <c r="B84" s="9">
        <v>0.298534583348867</v>
      </c>
    </row>
    <row r="85" spans="1:2">
      <c r="A85" s="9">
        <v>0.4128966964340273</v>
      </c>
      <c r="B85" s="9">
        <v>0.3030688721988116</v>
      </c>
    </row>
    <row r="86" spans="1:2">
      <c r="A86" s="9">
        <v>0.4184710601236235</v>
      </c>
      <c r="B86" s="9">
        <v>0.3080166412283915</v>
      </c>
    </row>
    <row r="87" spans="1:2">
      <c r="A87" s="9">
        <v>0.4240447426891385</v>
      </c>
      <c r="B87" s="9">
        <v>0.3133573738865645</v>
      </c>
    </row>
    <row r="88" spans="1:2">
      <c r="A88" s="9">
        <v>0.4296191063787347</v>
      </c>
      <c r="B88" s="9">
        <v>0.3190722466339074</v>
      </c>
    </row>
    <row r="89" spans="1:2">
      <c r="A89" s="9">
        <v>0.435193090360879</v>
      </c>
      <c r="B89" s="9">
        <v>0.3251408214656659</v>
      </c>
    </row>
    <row r="90" spans="1:2">
      <c r="A90" s="9">
        <v>0.440766772926394</v>
      </c>
      <c r="B90" s="9">
        <v>0.3315437636071715</v>
      </c>
    </row>
    <row r="91" spans="1:2">
      <c r="A91" s="9">
        <v>0.4463411366159902</v>
      </c>
      <c r="B91" s="9">
        <v>0.3382626747856103</v>
      </c>
    </row>
    <row r="92" spans="1:2">
      <c r="A92" s="9">
        <v>0.4519152931159634</v>
      </c>
      <c r="B92" s="9">
        <v>0.3456153484031316</v>
      </c>
    </row>
    <row r="93" spans="1:2">
      <c r="A93" s="9">
        <v>0.4574892907987723</v>
      </c>
      <c r="B93" s="9">
        <v>0.3541300157854096</v>
      </c>
    </row>
    <row r="94" spans="1:2">
      <c r="A94" s="9">
        <v>0.4630632884815813</v>
      </c>
      <c r="B94" s="9">
        <v>0.3637349838046494</v>
      </c>
    </row>
    <row r="95" spans="1:2">
      <c r="A95" s="9">
        <v>0.4686372861643902</v>
      </c>
      <c r="B95" s="9">
        <v>0.3743463371550472</v>
      </c>
    </row>
    <row r="96" spans="1:2">
      <c r="A96" s="9">
        <v>0.4742114229432908</v>
      </c>
      <c r="B96" s="9">
        <v>0.3858813596059492</v>
      </c>
    </row>
    <row r="97" spans="1:2">
      <c r="A97" s="9">
        <v>0.4797854206260997</v>
      </c>
      <c r="B97" s="9">
        <v>0.3982592515443363</v>
      </c>
    </row>
    <row r="98" spans="1:2">
      <c r="A98" s="9">
        <v>0.4853594183089087</v>
      </c>
      <c r="B98" s="9">
        <v>0.4114041936159762</v>
      </c>
    </row>
    <row r="99" spans="1:2">
      <c r="A99" s="9">
        <v>0.4909334159917175</v>
      </c>
      <c r="B99" s="9">
        <v>0.4252450598699601</v>
      </c>
    </row>
    <row r="100" spans="1:2">
      <c r="A100" s="9">
        <v>0.4965074136745264</v>
      </c>
      <c r="B100" s="9">
        <v>0.4397161387732296</v>
      </c>
    </row>
    <row r="101" spans="1:2">
      <c r="A101" s="9">
        <v>0.5020814113573354</v>
      </c>
      <c r="B101" s="9">
        <v>0.4547572712847018</v>
      </c>
    </row>
    <row r="102" spans="1:2">
      <c r="A102" s="9">
        <v>0.507655548136236</v>
      </c>
      <c r="B102" s="9">
        <v>0.4703141620418594</v>
      </c>
    </row>
    <row r="103" spans="1:2">
      <c r="A103" s="9">
        <v>0.513229545819045</v>
      </c>
      <c r="B103" s="9">
        <v>0.4863365811422101</v>
      </c>
    </row>
    <row r="104" spans="1:2">
      <c r="A104" s="9">
        <v>0.5188035435018539</v>
      </c>
      <c r="B104" s="9">
        <v>0.502780370173586</v>
      </c>
    </row>
  </sheetData>
  <mergeCells count="12">
    <mergeCell ref="A1:J2"/>
    <mergeCell ref="B5:E5"/>
    <mergeCell ref="B12:E12"/>
    <mergeCell ref="B15:E15"/>
    <mergeCell ref="C16:E16"/>
    <mergeCell ref="B19:E19"/>
    <mergeCell ref="B22:E22"/>
    <mergeCell ref="C23:E23"/>
    <mergeCell ref="B26:E26"/>
    <mergeCell ref="B40:E40"/>
    <mergeCell ref="B54:G54"/>
    <mergeCell ref="B63:E6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A7C59"/>
  </sheetPr>
  <dimension ref="A1:T32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4.7109375" customWidth="1"/>
    <col min="2" max="2" width="15.7109375" customWidth="1"/>
    <col min="3" max="20" width="12.7109375" customWidth="1"/>
  </cols>
  <sheetData>
    <row r="1" spans="1:20" ht="22" customHeight="1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0">
      <c r="A3" s="2" t="s">
        <v>113</v>
      </c>
    </row>
    <row r="5" spans="1:20" ht="42" customHeight="1">
      <c r="A5" s="4" t="s">
        <v>114</v>
      </c>
      <c r="B5" s="5" t="s">
        <v>115</v>
      </c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121</v>
      </c>
      <c r="I5" s="5" t="s">
        <v>122</v>
      </c>
      <c r="J5" s="5" t="s">
        <v>123</v>
      </c>
      <c r="K5" s="5" t="s">
        <v>124</v>
      </c>
      <c r="L5" s="5" t="s">
        <v>125</v>
      </c>
      <c r="M5" s="5" t="s">
        <v>126</v>
      </c>
      <c r="N5" s="5" t="s">
        <v>127</v>
      </c>
      <c r="O5" s="5" t="s">
        <v>128</v>
      </c>
      <c r="P5" s="5" t="s">
        <v>129</v>
      </c>
      <c r="Q5" s="5" t="s">
        <v>130</v>
      </c>
      <c r="R5" s="5" t="s">
        <v>131</v>
      </c>
      <c r="S5" s="5" t="s">
        <v>132</v>
      </c>
      <c r="T5" s="5" t="s">
        <v>133</v>
      </c>
    </row>
    <row r="6" spans="1:20">
      <c r="A6" s="8" t="s">
        <v>134</v>
      </c>
      <c r="B6" s="8" t="s">
        <v>135</v>
      </c>
      <c r="C6" s="18">
        <v>168272</v>
      </c>
      <c r="D6" s="18">
        <v>680</v>
      </c>
      <c r="E6" s="10">
        <v>39.1</v>
      </c>
      <c r="F6" s="10">
        <v>3.695652173913043</v>
      </c>
      <c r="G6" s="10">
        <v>1.18</v>
      </c>
      <c r="H6" s="10">
        <v>9</v>
      </c>
      <c r="I6" s="10">
        <v>13</v>
      </c>
      <c r="J6" s="10">
        <v>29</v>
      </c>
      <c r="K6" s="10">
        <v>6.32</v>
      </c>
      <c r="L6" s="10">
        <v>5.8</v>
      </c>
      <c r="M6" s="10">
        <v>18</v>
      </c>
      <c r="N6" s="10">
        <v>0.1150101754578956</v>
      </c>
      <c r="O6" s="10">
        <v>0.0067292679172256</v>
      </c>
      <c r="P6" s="10">
        <v>0.08584531845415901</v>
      </c>
      <c r="Q6" s="10">
        <v>211.2118894109934</v>
      </c>
      <c r="R6" s="10">
        <v>4.647536820721179</v>
      </c>
      <c r="S6" s="18">
        <v>19328</v>
      </c>
      <c r="T6" s="18">
        <v>306</v>
      </c>
    </row>
    <row r="7" spans="1:20">
      <c r="A7" s="8" t="s">
        <v>136</v>
      </c>
      <c r="B7" s="8" t="s">
        <v>137</v>
      </c>
      <c r="C7" s="18">
        <v>127301</v>
      </c>
      <c r="D7" s="18">
        <v>1274</v>
      </c>
      <c r="E7" s="10">
        <v>30.9</v>
      </c>
      <c r="F7" s="10">
        <v>5.467811158798283</v>
      </c>
      <c r="G7" s="10">
        <v>0.33</v>
      </c>
      <c r="H7" s="10">
        <v>25</v>
      </c>
      <c r="I7" s="10">
        <v>21</v>
      </c>
      <c r="J7" s="10">
        <v>58</v>
      </c>
      <c r="K7" s="10">
        <v>16.4</v>
      </c>
      <c r="L7" s="10">
        <v>12.2</v>
      </c>
      <c r="M7" s="10">
        <v>30</v>
      </c>
      <c r="N7" s="10">
        <v>0.9529985131339832</v>
      </c>
      <c r="O7" s="10">
        <v>0.424976380657906</v>
      </c>
      <c r="P7" s="10">
        <v>0.5771365005284785</v>
      </c>
      <c r="Q7" s="10">
        <v>61.82472989195679</v>
      </c>
      <c r="R7" s="10">
        <v>5.528117359413203</v>
      </c>
      <c r="S7" s="18">
        <v>9785</v>
      </c>
      <c r="T7" s="18">
        <v>9896</v>
      </c>
    </row>
    <row r="8" spans="1:20">
      <c r="A8" s="6" t="s">
        <v>36</v>
      </c>
      <c r="B8" s="6" t="s">
        <v>138</v>
      </c>
      <c r="C8" s="18">
        <v>68564</v>
      </c>
      <c r="D8" s="18">
        <v>1917</v>
      </c>
      <c r="E8" s="10">
        <v>52.9</v>
      </c>
      <c r="F8" s="10">
        <v>6.244299674267101</v>
      </c>
      <c r="G8" s="10">
        <v>0.13</v>
      </c>
      <c r="H8" s="10">
        <v>34</v>
      </c>
      <c r="I8" s="10">
        <v>19</v>
      </c>
      <c r="J8" s="10">
        <v>83</v>
      </c>
      <c r="K8" s="10">
        <v>12.8</v>
      </c>
      <c r="L8" s="10">
        <v>10.2</v>
      </c>
      <c r="M8" s="10">
        <v>60</v>
      </c>
      <c r="N8" s="10">
        <v>0.6048913869056661</v>
      </c>
      <c r="O8" s="10">
        <v>0.4843934843934844</v>
      </c>
      <c r="P8" s="10">
        <v>0.5073125356873347</v>
      </c>
      <c r="Q8" s="10">
        <v>95.37628586897672</v>
      </c>
      <c r="R8" s="10">
        <v>5.068605927552141</v>
      </c>
      <c r="S8" s="18">
        <v>8808</v>
      </c>
      <c r="T8" s="18">
        <v>5323</v>
      </c>
    </row>
    <row r="9" spans="1:20">
      <c r="A9" s="8" t="s">
        <v>139</v>
      </c>
      <c r="B9" s="8" t="s">
        <v>140</v>
      </c>
      <c r="C9" s="18">
        <v>68400</v>
      </c>
      <c r="D9" s="18">
        <v>1588</v>
      </c>
      <c r="E9" s="10">
        <v>60.1</v>
      </c>
      <c r="F9" s="10">
        <v>4.201058201058201</v>
      </c>
      <c r="G9" s="10">
        <v>0.13</v>
      </c>
      <c r="H9" s="10">
        <v>12</v>
      </c>
      <c r="I9" s="10">
        <v>15</v>
      </c>
      <c r="J9" s="10">
        <v>21</v>
      </c>
      <c r="K9" s="10">
        <v>10.4</v>
      </c>
      <c r="L9" s="10">
        <v>9.4</v>
      </c>
      <c r="M9" s="10">
        <v>29</v>
      </c>
      <c r="N9" s="10">
        <v>0.8149532710280374</v>
      </c>
      <c r="O9" s="10">
        <v>1.085171756897929</v>
      </c>
      <c r="P9" s="10">
        <v>0.9782375438154932</v>
      </c>
      <c r="Q9" s="10">
        <v>67.66569200779728</v>
      </c>
      <c r="R9" s="10">
        <v>2.239767145715845</v>
      </c>
      <c r="S9" s="18">
        <v>8331</v>
      </c>
      <c r="T9" s="18">
        <v>17659</v>
      </c>
    </row>
    <row r="10" spans="1:20">
      <c r="A10" s="6" t="s">
        <v>34</v>
      </c>
      <c r="B10" s="6" t="s">
        <v>141</v>
      </c>
      <c r="C10" s="18">
        <v>67994</v>
      </c>
      <c r="D10" s="18">
        <v>1870</v>
      </c>
      <c r="E10" s="10">
        <v>25.7</v>
      </c>
      <c r="F10" s="10">
        <v>3.793103448275862</v>
      </c>
      <c r="G10" s="10">
        <v>0.43</v>
      </c>
      <c r="H10" s="10">
        <v>24</v>
      </c>
      <c r="I10" s="10">
        <v>13</v>
      </c>
      <c r="J10" s="10">
        <v>27</v>
      </c>
      <c r="K10" s="10">
        <v>17.3</v>
      </c>
      <c r="L10" s="10">
        <v>15.6</v>
      </c>
      <c r="M10" s="10">
        <v>56</v>
      </c>
      <c r="N10" s="10">
        <v>0.2740712297206489</v>
      </c>
      <c r="O10" s="10">
        <v>0.157627496931146</v>
      </c>
      <c r="P10" s="10">
        <v>0.2290039646287883</v>
      </c>
      <c r="Q10" s="10">
        <v>41.39996717544723</v>
      </c>
      <c r="R10" s="10">
        <v>12.44739530132789</v>
      </c>
      <c r="S10" s="18">
        <v>5045</v>
      </c>
      <c r="T10" s="18">
        <v>2825</v>
      </c>
    </row>
    <row r="11" spans="1:20">
      <c r="A11" s="8" t="s">
        <v>142</v>
      </c>
      <c r="B11" s="8" t="s">
        <v>143</v>
      </c>
      <c r="C11" s="18">
        <v>61122</v>
      </c>
      <c r="D11" s="18">
        <v>2029</v>
      </c>
      <c r="E11" s="10">
        <v>37.8</v>
      </c>
      <c r="F11" s="10">
        <v>3.190251572327044</v>
      </c>
      <c r="G11" s="10">
        <v>0.49</v>
      </c>
      <c r="H11" s="10">
        <v>46</v>
      </c>
      <c r="I11" s="10">
        <v>32</v>
      </c>
      <c r="J11" s="10">
        <v>56</v>
      </c>
      <c r="K11" s="10">
        <v>7.63</v>
      </c>
      <c r="L11" s="10">
        <v>6.4</v>
      </c>
      <c r="M11" s="10">
        <v>-9</v>
      </c>
      <c r="N11" s="10">
        <v>0.5989625360230547</v>
      </c>
      <c r="O11" s="10">
        <v>0.8297139277510963</v>
      </c>
      <c r="P11" s="10">
        <v>0.7843538037884293</v>
      </c>
      <c r="Q11" s="10">
        <v>1630.632411067194</v>
      </c>
      <c r="R11" s="10">
        <v>-0.6293532338308457</v>
      </c>
      <c r="S11" s="18">
        <v>-8251</v>
      </c>
      <c r="T11" s="18">
        <v>15894</v>
      </c>
    </row>
    <row r="12" spans="1:20">
      <c r="A12" s="6" t="s">
        <v>35</v>
      </c>
      <c r="B12" s="6" t="s">
        <v>144</v>
      </c>
      <c r="C12" s="18">
        <v>21814</v>
      </c>
      <c r="D12" s="18">
        <v>606</v>
      </c>
      <c r="E12" s="10">
        <v>37.7</v>
      </c>
      <c r="F12" s="10">
        <v>3.763975155279503</v>
      </c>
      <c r="G12" s="10">
        <v>0.16</v>
      </c>
      <c r="H12" s="10">
        <v>59</v>
      </c>
      <c r="I12" s="10">
        <v>38</v>
      </c>
      <c r="J12" s="10">
        <v>120</v>
      </c>
      <c r="K12" s="10">
        <v>12.1</v>
      </c>
      <c r="L12" s="10">
        <v>8</v>
      </c>
      <c r="M12" s="10">
        <v>26</v>
      </c>
      <c r="N12" s="10">
        <v>0.4861690034103827</v>
      </c>
      <c r="O12" s="10">
        <v>0.1176368975643461</v>
      </c>
      <c r="P12" s="10">
        <v>0.2546178497181609</v>
      </c>
      <c r="Q12" s="10">
        <v>14.13105413105413</v>
      </c>
      <c r="R12" s="10">
        <v>15</v>
      </c>
      <c r="S12" s="18">
        <v>248</v>
      </c>
      <c r="T12" s="18">
        <v>681</v>
      </c>
    </row>
    <row r="13" spans="1:20">
      <c r="A13" s="8" t="s">
        <v>145</v>
      </c>
      <c r="B13" s="8" t="s">
        <v>146</v>
      </c>
      <c r="C13" s="18">
        <v>20954</v>
      </c>
      <c r="D13" s="18">
        <v>642</v>
      </c>
      <c r="E13" s="10">
        <v>30.8</v>
      </c>
      <c r="F13" s="10">
        <v>3.071770334928229</v>
      </c>
      <c r="G13" s="10">
        <v>0.31</v>
      </c>
      <c r="H13" s="10">
        <v>24</v>
      </c>
      <c r="I13" s="10">
        <v>18</v>
      </c>
      <c r="J13" s="10">
        <v>89</v>
      </c>
      <c r="K13" s="10">
        <v>10.5</v>
      </c>
      <c r="L13" s="10">
        <v>10.2</v>
      </c>
      <c r="M13" s="10">
        <v>25</v>
      </c>
      <c r="N13" s="10">
        <v>1.685910652920962</v>
      </c>
      <c r="O13" s="10">
        <v>0.9300689048526608</v>
      </c>
      <c r="P13" s="10">
        <v>1.302440305274356</v>
      </c>
      <c r="Q13" s="10">
        <v>56.04356992269853</v>
      </c>
      <c r="R13" s="10">
        <v>2.504179498460185</v>
      </c>
      <c r="S13" s="18">
        <v>3190</v>
      </c>
      <c r="T13" s="18">
        <v>6344</v>
      </c>
    </row>
    <row r="14" spans="1:20">
      <c r="A14" s="8" t="s">
        <v>147</v>
      </c>
      <c r="B14" s="8" t="s">
        <v>148</v>
      </c>
      <c r="C14" s="18">
        <v>13583</v>
      </c>
      <c r="D14" s="18">
        <v>1270</v>
      </c>
      <c r="E14" s="10">
        <v>58.9</v>
      </c>
      <c r="F14" s="10">
        <v>2.879818594104308</v>
      </c>
      <c r="G14" s="10">
        <v>0.47</v>
      </c>
      <c r="H14" s="10">
        <v>20</v>
      </c>
      <c r="I14" s="10">
        <v>16</v>
      </c>
      <c r="J14" s="10">
        <v>25</v>
      </c>
      <c r="K14" s="10">
        <v>6.86</v>
      </c>
      <c r="L14" s="10">
        <v>7.6</v>
      </c>
      <c r="M14" s="10">
        <v>6</v>
      </c>
      <c r="N14" s="10">
        <v>1.043747420553033</v>
      </c>
      <c r="O14" s="10">
        <v>0.2239406779661017</v>
      </c>
      <c r="P14" s="10">
        <v>0.6222328985178267</v>
      </c>
      <c r="Q14" s="10">
        <v>182.3430493273543</v>
      </c>
      <c r="R14" s="10">
        <v>1.570422535211268</v>
      </c>
      <c r="S14" s="18">
        <v>3253</v>
      </c>
      <c r="T14" s="18">
        <v>1057</v>
      </c>
    </row>
    <row r="15" spans="1:20">
      <c r="A15" s="8" t="s">
        <v>149</v>
      </c>
      <c r="B15" s="8" t="s">
        <v>150</v>
      </c>
      <c r="C15" s="18">
        <v>7843</v>
      </c>
      <c r="D15" s="18">
        <v>368</v>
      </c>
      <c r="E15" s="10">
        <v>25.2</v>
      </c>
      <c r="F15" s="10">
        <v>2.164705882352941</v>
      </c>
      <c r="G15" s="10">
        <v>0.95</v>
      </c>
      <c r="H15" s="10">
        <v>48</v>
      </c>
      <c r="I15" s="10">
        <v>25</v>
      </c>
      <c r="J15" s="10">
        <v>42</v>
      </c>
      <c r="K15" s="10">
        <v>7.64</v>
      </c>
      <c r="L15" s="10">
        <v>3</v>
      </c>
      <c r="M15" s="10">
        <v>-10</v>
      </c>
      <c r="N15" s="10">
        <v>0.159865846841811</v>
      </c>
      <c r="O15" s="10">
        <v>0.1825199889716018</v>
      </c>
      <c r="P15" s="10">
        <v>0.3435958207180782</v>
      </c>
      <c r="Q15" s="10">
        <v>295.1515151515152</v>
      </c>
      <c r="R15" s="10">
        <v>-12</v>
      </c>
      <c r="S15" s="18">
        <v>-1948</v>
      </c>
      <c r="T15" s="18">
        <v>662</v>
      </c>
    </row>
    <row r="17" spans="1:10">
      <c r="A17" s="7" t="s">
        <v>151</v>
      </c>
      <c r="B17" s="16" t="s">
        <v>152</v>
      </c>
      <c r="C17" s="16"/>
      <c r="D17" s="16"/>
      <c r="E17" s="16"/>
      <c r="F17" s="16"/>
      <c r="G17" s="16"/>
      <c r="H17" s="16"/>
      <c r="I17" s="16"/>
      <c r="J17" s="16"/>
    </row>
    <row r="18" spans="1:10" ht="40" customHeight="1">
      <c r="A18" s="7" t="s">
        <v>153</v>
      </c>
      <c r="B18" s="16" t="s">
        <v>154</v>
      </c>
      <c r="C18" s="16"/>
      <c r="D18" s="16"/>
      <c r="E18" s="16"/>
      <c r="F18" s="16"/>
      <c r="G18" s="16"/>
      <c r="H18" s="16"/>
      <c r="I18" s="16"/>
      <c r="J18" s="16"/>
    </row>
    <row r="21" spans="1:10">
      <c r="A21" s="3" t="s">
        <v>155</v>
      </c>
      <c r="B21" s="3"/>
      <c r="C21" s="3"/>
      <c r="D21" s="3"/>
      <c r="E21" s="3"/>
      <c r="F21" s="3"/>
      <c r="G21" s="3"/>
    </row>
    <row r="22" spans="1:10">
      <c r="A22" s="4" t="s">
        <v>114</v>
      </c>
      <c r="B22" s="5" t="s">
        <v>156</v>
      </c>
      <c r="C22" s="5" t="s">
        <v>157</v>
      </c>
      <c r="D22" s="5" t="s">
        <v>158</v>
      </c>
      <c r="E22" s="5" t="s">
        <v>159</v>
      </c>
    </row>
    <row r="23" spans="1:10">
      <c r="A23" s="6" t="s">
        <v>35</v>
      </c>
      <c r="B23" s="19">
        <v>0.3249692796996948</v>
      </c>
      <c r="C23" s="19">
        <v>1.734057296783402</v>
      </c>
      <c r="D23" s="19">
        <v>0.0161027584564181</v>
      </c>
      <c r="E23" s="19">
        <v>0.6917097783131716</v>
      </c>
    </row>
    <row r="24" spans="1:10">
      <c r="A24" s="6" t="s">
        <v>34</v>
      </c>
      <c r="B24" s="19">
        <v>1.237360061485329</v>
      </c>
      <c r="C24" s="19">
        <v>-0.2974651367935896</v>
      </c>
      <c r="D24" s="19">
        <v>0.6257041018115376</v>
      </c>
      <c r="E24" s="19">
        <v>0.5218663421677591</v>
      </c>
    </row>
    <row r="25" spans="1:10">
      <c r="A25" s="6" t="s">
        <v>36</v>
      </c>
      <c r="B25" s="19">
        <v>0.4422488910721543</v>
      </c>
      <c r="C25" s="19">
        <v>0.2739082873393717</v>
      </c>
      <c r="D25" s="19">
        <v>0.5142873929856197</v>
      </c>
      <c r="E25" s="19">
        <v>0.4101481904657153</v>
      </c>
    </row>
    <row r="26" spans="1:10">
      <c r="A26" s="8" t="s">
        <v>136</v>
      </c>
      <c r="B26" s="19">
        <v>-0.0282957103369739</v>
      </c>
      <c r="C26" s="19">
        <v>0.1503167453823424</v>
      </c>
      <c r="D26" s="19">
        <v>0.0541904949373511</v>
      </c>
      <c r="E26" s="19">
        <v>0.0587371766609065</v>
      </c>
    </row>
    <row r="27" spans="1:10">
      <c r="A27" s="8" t="s">
        <v>134</v>
      </c>
      <c r="B27" s="19">
        <v>0.6295798321222533</v>
      </c>
      <c r="C27" s="19">
        <v>-0.7992767235163336</v>
      </c>
      <c r="D27" s="19">
        <v>0.0284211288439984</v>
      </c>
      <c r="E27" s="19">
        <v>-0.0470919208500272</v>
      </c>
    </row>
    <row r="28" spans="1:10">
      <c r="A28" s="8" t="s">
        <v>142</v>
      </c>
      <c r="B28" s="19">
        <v>-0.7749703222977739</v>
      </c>
      <c r="C28" s="19">
        <v>0.2798173912845328</v>
      </c>
      <c r="D28" s="19">
        <v>-0.0757548796656253</v>
      </c>
      <c r="E28" s="19">
        <v>-0.1903026035596221</v>
      </c>
    </row>
    <row r="29" spans="1:10">
      <c r="A29" s="8" t="s">
        <v>145</v>
      </c>
      <c r="B29" s="19">
        <v>-0.7035614879505713</v>
      </c>
      <c r="C29" s="19">
        <v>-0.0673805930960384</v>
      </c>
      <c r="D29" s="19">
        <v>-0.1113770335495477</v>
      </c>
      <c r="E29" s="19">
        <v>-0.2941063715320525</v>
      </c>
    </row>
    <row r="30" spans="1:10">
      <c r="A30" s="8" t="s">
        <v>149</v>
      </c>
      <c r="B30" s="19">
        <v>-0.1843513364168533</v>
      </c>
      <c r="C30" s="19">
        <v>-0.2310137375622638</v>
      </c>
      <c r="D30" s="19">
        <v>-0.6465198029366472</v>
      </c>
      <c r="E30" s="19">
        <v>-0.3539616256385882</v>
      </c>
    </row>
    <row r="31" spans="1:10">
      <c r="A31" s="8" t="s">
        <v>139</v>
      </c>
      <c r="B31" s="19">
        <v>-0.7145154915546302</v>
      </c>
      <c r="C31" s="19">
        <v>-0.4106879673982304</v>
      </c>
      <c r="D31" s="19">
        <v>0.0066079414227731</v>
      </c>
      <c r="E31" s="19">
        <v>-0.3728651725100291</v>
      </c>
    </row>
    <row r="32" spans="1:10">
      <c r="A32" s="8" t="s">
        <v>147</v>
      </c>
      <c r="B32" s="19">
        <v>-0.2284637158226302</v>
      </c>
      <c r="C32" s="19">
        <v>-0.6322755624231927</v>
      </c>
      <c r="D32" s="19">
        <v>-0.4116621023058783</v>
      </c>
      <c r="E32" s="19">
        <v>-0.4241337935172337</v>
      </c>
    </row>
  </sheetData>
  <mergeCells count="4">
    <mergeCell ref="A1:R2"/>
    <mergeCell ref="B17:J17"/>
    <mergeCell ref="B18:J18"/>
    <mergeCell ref="B21:G21"/>
  </mergeCells>
  <conditionalFormatting sqref="B23:B3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3:C3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3:D3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3:E3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6:H15">
    <cfRule type="dataBar" priority="6">
      <dataBar>
        <cfvo type="min" val="0"/>
        <cfvo type="max" val="0"/>
        <color rgb="FF3E6E8E"/>
      </dataBar>
    </cfRule>
  </conditionalFormatting>
  <conditionalFormatting sqref="J6:J15">
    <cfRule type="dataBar" priority="7">
      <dataBar>
        <cfvo type="min" val="0"/>
        <cfvo type="max" val="0"/>
        <color rgb="FF3E6E8E"/>
      </dataBar>
    </cfRule>
  </conditionalFormatting>
  <conditionalFormatting sqref="L6:L15">
    <cfRule type="dataBar" priority="8">
      <dataBar>
        <cfvo type="min" val="0"/>
        <cfvo type="max" val="0"/>
        <color rgb="FF3E6E8E"/>
      </dataBar>
    </cfRule>
  </conditionalFormatting>
  <conditionalFormatting sqref="N6:N1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6:O1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6:P1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6:Q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6:R15">
    <cfRule type="cellIs" dxfId="0" priority="9" operator="lessThan">
      <formula>2</formula>
    </cfRule>
  </conditionalFormatting>
  <conditionalFormatting sqref="S6:S15">
    <cfRule type="dataBar" priority="5">
      <dataBar>
        <cfvo type="min" val="0"/>
        <cfvo type="max" val="0"/>
        <color rgb="FF4A7C59"/>
      </dataBar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B6B6B"/>
  </sheetPr>
  <dimension ref="A1:H18"/>
  <sheetViews>
    <sheetView showGridLines="0" workbookViewId="0"/>
  </sheetViews>
  <sheetFormatPr defaultRowHeight="15"/>
  <cols>
    <col min="1" max="1" width="30.7109375" customWidth="1"/>
    <col min="2" max="2" width="118.7109375" customWidth="1"/>
  </cols>
  <sheetData>
    <row r="1" spans="1:8" ht="22" customHeight="1">
      <c r="A1" s="1" t="s">
        <v>223</v>
      </c>
      <c r="B1" s="1"/>
      <c r="C1" s="1"/>
      <c r="D1" s="1"/>
      <c r="E1" s="1"/>
      <c r="F1" s="1"/>
      <c r="G1" s="1"/>
      <c r="H1" s="1"/>
    </row>
    <row r="2" spans="1:8" ht="12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224</v>
      </c>
    </row>
    <row r="5" spans="1:8" ht="44" customHeight="1">
      <c r="A5" s="7" t="s">
        <v>225</v>
      </c>
      <c r="B5" s="13" t="s">
        <v>226</v>
      </c>
    </row>
    <row r="6" spans="1:8" ht="44" customHeight="1">
      <c r="A6" s="7" t="s">
        <v>227</v>
      </c>
      <c r="B6" s="13" t="s">
        <v>228</v>
      </c>
    </row>
    <row r="7" spans="1:8" ht="58" customHeight="1">
      <c r="A7" s="7" t="s">
        <v>229</v>
      </c>
      <c r="B7" s="13" t="s">
        <v>230</v>
      </c>
    </row>
    <row r="8" spans="1:8" ht="30" customHeight="1">
      <c r="A8" s="7" t="s">
        <v>231</v>
      </c>
      <c r="B8" s="13" t="s">
        <v>232</v>
      </c>
    </row>
    <row r="9" spans="1:8" ht="44" customHeight="1">
      <c r="A9" s="7" t="s">
        <v>233</v>
      </c>
      <c r="B9" s="13" t="s">
        <v>234</v>
      </c>
    </row>
    <row r="10" spans="1:8" ht="30" customHeight="1">
      <c r="A10" s="7" t="s">
        <v>235</v>
      </c>
      <c r="B10" s="13" t="s">
        <v>236</v>
      </c>
    </row>
    <row r="11" spans="1:8" ht="44" customHeight="1">
      <c r="A11" s="7" t="s">
        <v>237</v>
      </c>
      <c r="B11" s="13" t="s">
        <v>238</v>
      </c>
    </row>
    <row r="12" spans="1:8" ht="58" customHeight="1">
      <c r="A12" s="7" t="s">
        <v>239</v>
      </c>
      <c r="B12" s="13" t="s">
        <v>240</v>
      </c>
    </row>
    <row r="13" spans="1:8" ht="44" customHeight="1">
      <c r="A13" s="7" t="s">
        <v>241</v>
      </c>
      <c r="B13" s="13" t="s">
        <v>242</v>
      </c>
    </row>
    <row r="14" spans="1:8" ht="30" customHeight="1">
      <c r="A14" s="7" t="s">
        <v>243</v>
      </c>
      <c r="B14" s="13" t="s">
        <v>244</v>
      </c>
    </row>
    <row r="15" spans="1:8" ht="30" customHeight="1">
      <c r="A15" s="7" t="s">
        <v>245</v>
      </c>
      <c r="B15" s="13" t="s">
        <v>246</v>
      </c>
    </row>
    <row r="16" spans="1:8" ht="44" customHeight="1">
      <c r="A16" s="7" t="s">
        <v>247</v>
      </c>
      <c r="B16" s="13" t="s">
        <v>248</v>
      </c>
    </row>
    <row r="17" spans="1:2" ht="44" customHeight="1">
      <c r="A17" s="7" t="s">
        <v>249</v>
      </c>
      <c r="B17" s="13" t="s">
        <v>250</v>
      </c>
    </row>
    <row r="18" spans="1:2" ht="30" customHeight="1">
      <c r="A18" s="7" t="s">
        <v>251</v>
      </c>
      <c r="B18" s="13" t="s">
        <v>252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20</vt:i4>
      </vt:variant>
    </vt:vector>
  </HeadingPairs>
  <TitlesOfParts>
    <vt:vector size="27" baseType="lpstr">
      <vt:lpstr>Executive Summary &amp; Recos</vt:lpstr>
      <vt:lpstr>5Y_Price_Returns</vt:lpstr>
      <vt:lpstr>Risk_Return_Metrics</vt:lpstr>
      <vt:lpstr>Correlation_Covariance</vt:lpstr>
      <vt:lpstr>Portfolio_Optimization</vt:lpstr>
      <vt:lpstr>Screener_Fundamentals</vt:lpstr>
      <vt:lpstr>Assumptions_Notes</vt:lpstr>
      <vt:lpstr>BR_ANANTRAJ</vt:lpstr>
      <vt:lpstr>BR_CNXREALTY</vt:lpstr>
      <vt:lpstr>BR_NSEI</vt:lpstr>
      <vt:lpstr>BR_OBEROIRLTY</vt:lpstr>
      <vt:lpstr>BR_PHOENIXLTD</vt:lpstr>
      <vt:lpstr>COVMAT</vt:lpstr>
      <vt:lpstr>LR_ANANTRAJ</vt:lpstr>
      <vt:lpstr>LR_CNXREALTY</vt:lpstr>
      <vt:lpstr>LR_NSEI</vt:lpstr>
      <vt:lpstr>LR_OBEROIRLTY</vt:lpstr>
      <vt:lpstr>LR_PHOENIXLTD</vt:lpstr>
      <vt:lpstr>MU</vt:lpstr>
      <vt:lpstr>PX_ANANTRAJ</vt:lpstr>
      <vt:lpstr>PX_CNXREALTY</vt:lpstr>
      <vt:lpstr>PX_NSEI</vt:lpstr>
      <vt:lpstr>PX_OBEROIRLTY</vt:lpstr>
      <vt:lpstr>PX_PHOENIXLTD</vt:lpstr>
      <vt:lpstr>Rf</vt:lpstr>
      <vt:lpstr>TDays</vt:lpstr>
      <vt:lpstr>Yrs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2026-08-30T14:17:45Z</dcterms:created>
  <dcterms:modified xsi:type="dcterms:W3CDTF">2026-08-30T14:17:45Z</dcterms:modified>
</cp:coreProperties>
</file>