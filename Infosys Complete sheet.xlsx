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0837EA4B-5CB3-4DD9-A76E-C17D0A188B2B}" xr6:coauthVersionLast="47" xr6:coauthVersionMax="47" xr10:uidLastSave="{00000000-0000-0000-0000-000000000000}"/>
  <bookViews>
    <workbookView xWindow="-108" yWindow="-108" windowWidth="23256" windowHeight="12456" tabRatio="500" firstSheet="9" activeTab="10" xr2:uid="{00000000-000D-0000-FFFF-FFFF00000000}"/>
  </bookViews>
  <sheets>
    <sheet name="Cover" sheetId="1" r:id="rId1"/>
    <sheet name="Data-BS" sheetId="2" r:id="rId2"/>
    <sheet name="Data-PL" sheetId="3" r:id="rId3"/>
    <sheet name="Data-CF" sheetId="4" r:id="rId4"/>
    <sheet name="Comparative BS" sheetId="5" r:id="rId5"/>
    <sheet name="Comparative PL" sheetId="6" r:id="rId6"/>
    <sheet name="Common-Size BS" sheetId="7" r:id="rId7"/>
    <sheet name="Common-Size PL" sheetId="8" r:id="rId8"/>
    <sheet name="Trend Analysis" sheetId="9" r:id="rId9"/>
    <sheet name="Predictability Scores" sheetId="10" r:id="rId10"/>
    <sheet name="Comps - EV Multiples" sheetId="11" r:id="rId11"/>
    <sheet name="Ratio - Cover &amp; Notes" sheetId="12" r:id="rId12"/>
    <sheet name="Input Data" sheetId="13" r:id="rId13"/>
    <sheet name="Ratio Analysis" sheetId="14" r:id="rId14"/>
    <sheet name="Peer Input Data" sheetId="15" r:id="rId15"/>
    <sheet name="Peer Comparison" sheetId="16" r:id="rId16"/>
    <sheet name="DCF - Cover &amp; Notes" sheetId="17" r:id="rId17"/>
    <sheet name="All-in-One DCF" sheetId="18" r:id="rId18"/>
    <sheet name="Assumptions" sheetId="19" r:id="rId19"/>
    <sheet name="Income Statement" sheetId="20" r:id="rId20"/>
    <sheet name="Balance Sheet" sheetId="21" r:id="rId21"/>
    <sheet name="Cash Flow" sheetId="22" r:id="rId22"/>
    <sheet name="WC &amp; PPE Schedule" sheetId="23" r:id="rId23"/>
    <sheet name="Capital Structure" sheetId="24" r:id="rId24"/>
    <sheet name="DCF Valuation" sheetId="25" r:id="rId25"/>
    <sheet name="Charts &amp; Outputs" sheetId="26" r:id="rId2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5" i="11" l="1"/>
  <c r="E15" i="26"/>
  <c r="D15" i="26"/>
  <c r="C15" i="26"/>
  <c r="E14" i="26"/>
  <c r="D14" i="26"/>
  <c r="E11" i="26"/>
  <c r="D11" i="26"/>
  <c r="C11" i="26"/>
  <c r="I6" i="26"/>
  <c r="G46" i="25"/>
  <c r="F46" i="25"/>
  <c r="E46" i="25"/>
  <c r="D46" i="25"/>
  <c r="C46" i="25"/>
  <c r="D40" i="25"/>
  <c r="C6" i="26" s="1"/>
  <c r="D36" i="25"/>
  <c r="D33" i="25"/>
  <c r="B23" i="26" s="1"/>
  <c r="D32" i="25"/>
  <c r="B22" i="26" s="1"/>
  <c r="D17" i="24"/>
  <c r="E16" i="24"/>
  <c r="D31" i="25" s="1"/>
  <c r="B21" i="26" s="1"/>
  <c r="D16" i="24"/>
  <c r="C16" i="24"/>
  <c r="J15" i="24"/>
  <c r="I15" i="24"/>
  <c r="H15" i="24"/>
  <c r="G15" i="24"/>
  <c r="F15" i="24"/>
  <c r="J14" i="24"/>
  <c r="I14" i="24"/>
  <c r="H14" i="24"/>
  <c r="G14" i="24"/>
  <c r="F14" i="24"/>
  <c r="J13" i="24"/>
  <c r="I13" i="24"/>
  <c r="H13" i="24"/>
  <c r="G13" i="24"/>
  <c r="F13" i="24"/>
  <c r="J12" i="24"/>
  <c r="I12" i="24"/>
  <c r="H12" i="24"/>
  <c r="G12" i="24"/>
  <c r="F12" i="24"/>
  <c r="H8" i="24"/>
  <c r="G8" i="24"/>
  <c r="E8" i="24"/>
  <c r="E17" i="24" s="1"/>
  <c r="D8" i="24"/>
  <c r="C8" i="24"/>
  <c r="C17" i="24" s="1"/>
  <c r="J7" i="24"/>
  <c r="I7" i="24"/>
  <c r="H7" i="24"/>
  <c r="G7" i="24"/>
  <c r="F7" i="24"/>
  <c r="J6" i="24"/>
  <c r="J8" i="24" s="1"/>
  <c r="I6" i="24"/>
  <c r="I8" i="24" s="1"/>
  <c r="H6" i="24"/>
  <c r="G6" i="24"/>
  <c r="F6" i="24"/>
  <c r="F8" i="24" s="1"/>
  <c r="J23" i="23"/>
  <c r="I23" i="23"/>
  <c r="I11" i="21" s="1"/>
  <c r="H23" i="23"/>
  <c r="G23" i="23"/>
  <c r="F23" i="23"/>
  <c r="J22" i="23"/>
  <c r="I22" i="23"/>
  <c r="H22" i="23"/>
  <c r="G22" i="23"/>
  <c r="G10" i="21" s="1"/>
  <c r="F22" i="23"/>
  <c r="J21" i="23"/>
  <c r="J9" i="21" s="1"/>
  <c r="I21" i="23"/>
  <c r="H21" i="23"/>
  <c r="G21" i="23"/>
  <c r="G9" i="21" s="1"/>
  <c r="F21" i="23"/>
  <c r="J20" i="23"/>
  <c r="I20" i="23"/>
  <c r="H20" i="23"/>
  <c r="G20" i="23"/>
  <c r="F20" i="23"/>
  <c r="E16" i="23"/>
  <c r="D16" i="23"/>
  <c r="C16" i="23"/>
  <c r="F14" i="23"/>
  <c r="E14" i="23"/>
  <c r="D14" i="23"/>
  <c r="E10" i="23"/>
  <c r="E11" i="23" s="1"/>
  <c r="D10" i="23"/>
  <c r="D11" i="23" s="1"/>
  <c r="C10" i="23"/>
  <c r="E33" i="22"/>
  <c r="E32" i="22"/>
  <c r="D32" i="22"/>
  <c r="D33" i="22" s="1"/>
  <c r="C32" i="22"/>
  <c r="C33" i="22" s="1"/>
  <c r="E31" i="22"/>
  <c r="D31" i="22"/>
  <c r="C31" i="22"/>
  <c r="C14" i="26" s="1"/>
  <c r="F27" i="22"/>
  <c r="E27" i="22"/>
  <c r="D27" i="22"/>
  <c r="E25" i="22"/>
  <c r="D25" i="22"/>
  <c r="C25" i="22"/>
  <c r="E22" i="22"/>
  <c r="D22" i="22"/>
  <c r="C22" i="22"/>
  <c r="E16" i="22"/>
  <c r="D16" i="22"/>
  <c r="C16" i="22"/>
  <c r="E11" i="22"/>
  <c r="D11" i="22"/>
  <c r="C11" i="22"/>
  <c r="C42" i="21"/>
  <c r="E41" i="21"/>
  <c r="D41" i="21"/>
  <c r="C41" i="21"/>
  <c r="J38" i="21"/>
  <c r="I38" i="21"/>
  <c r="H38" i="21"/>
  <c r="G38" i="21"/>
  <c r="F38" i="21"/>
  <c r="I35" i="21"/>
  <c r="H35" i="21"/>
  <c r="E35" i="21"/>
  <c r="E42" i="21" s="1"/>
  <c r="D35" i="21"/>
  <c r="D42" i="21" s="1"/>
  <c r="C35" i="21"/>
  <c r="J34" i="21"/>
  <c r="I34" i="21"/>
  <c r="H34" i="21"/>
  <c r="G34" i="21"/>
  <c r="F34" i="21"/>
  <c r="F35" i="21" s="1"/>
  <c r="J33" i="21"/>
  <c r="J35" i="21" s="1"/>
  <c r="I33" i="21"/>
  <c r="H33" i="21"/>
  <c r="G33" i="21"/>
  <c r="G35" i="21" s="1"/>
  <c r="F33" i="21"/>
  <c r="C30" i="21"/>
  <c r="C43" i="21" s="1"/>
  <c r="E28" i="21"/>
  <c r="E30" i="21" s="1"/>
  <c r="D28" i="21"/>
  <c r="D30" i="21" s="1"/>
  <c r="D43" i="21" s="1"/>
  <c r="C28" i="21"/>
  <c r="J26" i="21"/>
  <c r="I26" i="21"/>
  <c r="H26" i="21"/>
  <c r="G26" i="21"/>
  <c r="F26" i="21"/>
  <c r="E21" i="21"/>
  <c r="D21" i="21"/>
  <c r="C21" i="21"/>
  <c r="J17" i="21"/>
  <c r="I17" i="21"/>
  <c r="H17" i="21"/>
  <c r="G17" i="21"/>
  <c r="F17" i="21"/>
  <c r="E14" i="21"/>
  <c r="E22" i="21" s="1"/>
  <c r="D14" i="21"/>
  <c r="D22" i="21" s="1"/>
  <c r="D45" i="21" s="1"/>
  <c r="C14" i="21"/>
  <c r="C22" i="21" s="1"/>
  <c r="C45" i="21" s="1"/>
  <c r="J13" i="21"/>
  <c r="I13" i="21"/>
  <c r="H13" i="21"/>
  <c r="G13" i="21"/>
  <c r="F13" i="21"/>
  <c r="J12" i="21"/>
  <c r="I12" i="21"/>
  <c r="H12" i="21"/>
  <c r="G12" i="21"/>
  <c r="F12" i="21"/>
  <c r="J11" i="21"/>
  <c r="H11" i="21"/>
  <c r="G11" i="21"/>
  <c r="F11" i="21"/>
  <c r="J10" i="21"/>
  <c r="I10" i="21"/>
  <c r="H10" i="21"/>
  <c r="F10" i="21"/>
  <c r="I9" i="21"/>
  <c r="H9" i="21"/>
  <c r="F9" i="21"/>
  <c r="J8" i="21"/>
  <c r="I8" i="21"/>
  <c r="H8" i="21"/>
  <c r="G8" i="21"/>
  <c r="F8" i="21"/>
  <c r="J33" i="20"/>
  <c r="I33" i="20"/>
  <c r="H33" i="20"/>
  <c r="G33" i="20"/>
  <c r="F33" i="20"/>
  <c r="J32" i="20"/>
  <c r="I32" i="20"/>
  <c r="H32" i="20"/>
  <c r="G32" i="20"/>
  <c r="F32" i="20"/>
  <c r="D14" i="20"/>
  <c r="D15" i="20" s="1"/>
  <c r="D12" i="26" s="1"/>
  <c r="E12" i="20"/>
  <c r="E14" i="20" s="1"/>
  <c r="D12" i="20"/>
  <c r="C12" i="20"/>
  <c r="C14" i="20" s="1"/>
  <c r="J6" i="20"/>
  <c r="I6" i="20"/>
  <c r="H6" i="20"/>
  <c r="G6" i="20"/>
  <c r="F6" i="20"/>
  <c r="E6" i="20"/>
  <c r="D6" i="20"/>
  <c r="F5" i="20"/>
  <c r="F9" i="23" s="1"/>
  <c r="F40" i="21" s="1"/>
  <c r="D48" i="19"/>
  <c r="D20" i="24" s="1"/>
  <c r="D36" i="19"/>
  <c r="D33" i="19"/>
  <c r="E8" i="19"/>
  <c r="D8" i="19"/>
  <c r="G248" i="18"/>
  <c r="F248" i="18"/>
  <c r="E248" i="18"/>
  <c r="D248" i="18"/>
  <c r="C248" i="18"/>
  <c r="D242" i="18"/>
  <c r="D238" i="18"/>
  <c r="D235" i="18"/>
  <c r="D202" i="18"/>
  <c r="C202" i="18"/>
  <c r="E201" i="18"/>
  <c r="E202" i="18" s="1"/>
  <c r="D201" i="18"/>
  <c r="C201" i="18"/>
  <c r="E200" i="18"/>
  <c r="D200" i="18"/>
  <c r="C200" i="18"/>
  <c r="F196" i="18"/>
  <c r="E196" i="18"/>
  <c r="D196" i="18"/>
  <c r="E194" i="18"/>
  <c r="D194" i="18"/>
  <c r="C194" i="18"/>
  <c r="E191" i="18"/>
  <c r="D191" i="18"/>
  <c r="C191" i="18"/>
  <c r="E185" i="18"/>
  <c r="D185" i="18"/>
  <c r="C185" i="18"/>
  <c r="E180" i="18"/>
  <c r="D180" i="18"/>
  <c r="C180" i="18"/>
  <c r="E166" i="18"/>
  <c r="E165" i="18"/>
  <c r="D165" i="18"/>
  <c r="D166" i="18" s="1"/>
  <c r="C165" i="18"/>
  <c r="C166" i="18" s="1"/>
  <c r="J162" i="18"/>
  <c r="I162" i="18"/>
  <c r="H162" i="18"/>
  <c r="G162" i="18"/>
  <c r="F162" i="18"/>
  <c r="H159" i="18"/>
  <c r="E159" i="18"/>
  <c r="D159" i="18"/>
  <c r="C159" i="18"/>
  <c r="J158" i="18"/>
  <c r="J159" i="18" s="1"/>
  <c r="I158" i="18"/>
  <c r="H158" i="18"/>
  <c r="G158" i="18"/>
  <c r="F158" i="18"/>
  <c r="F159" i="18" s="1"/>
  <c r="J157" i="18"/>
  <c r="I157" i="18"/>
  <c r="I159" i="18" s="1"/>
  <c r="H157" i="18"/>
  <c r="G157" i="18"/>
  <c r="G159" i="18" s="1"/>
  <c r="F157" i="18"/>
  <c r="D154" i="18"/>
  <c r="E152" i="18"/>
  <c r="E154" i="18" s="1"/>
  <c r="E167" i="18" s="1"/>
  <c r="D152" i="18"/>
  <c r="C152" i="18"/>
  <c r="C154" i="18" s="1"/>
  <c r="J150" i="18"/>
  <c r="I150" i="18"/>
  <c r="H150" i="18"/>
  <c r="G150" i="18"/>
  <c r="F150" i="18"/>
  <c r="E146" i="18"/>
  <c r="D146" i="18"/>
  <c r="C146" i="18"/>
  <c r="J142" i="18"/>
  <c r="I142" i="18"/>
  <c r="H142" i="18"/>
  <c r="G142" i="18"/>
  <c r="F142" i="18"/>
  <c r="E139" i="18"/>
  <c r="E147" i="18" s="1"/>
  <c r="D139" i="18"/>
  <c r="D147" i="18" s="1"/>
  <c r="C139" i="18"/>
  <c r="C147" i="18" s="1"/>
  <c r="J138" i="18"/>
  <c r="I138" i="18"/>
  <c r="H138" i="18"/>
  <c r="G138" i="18"/>
  <c r="F138" i="18"/>
  <c r="J137" i="18"/>
  <c r="I137" i="18"/>
  <c r="H137" i="18"/>
  <c r="G137" i="18"/>
  <c r="F137" i="18"/>
  <c r="I136" i="18"/>
  <c r="G136" i="18"/>
  <c r="F136" i="18"/>
  <c r="J135" i="18"/>
  <c r="H135" i="18"/>
  <c r="G134" i="18"/>
  <c r="J133" i="18"/>
  <c r="I133" i="18"/>
  <c r="H133" i="18"/>
  <c r="F133" i="18"/>
  <c r="D122" i="18"/>
  <c r="C119" i="18"/>
  <c r="E118" i="18"/>
  <c r="E119" i="18" s="1"/>
  <c r="D118" i="18"/>
  <c r="C118" i="18"/>
  <c r="J117" i="18"/>
  <c r="I117" i="18"/>
  <c r="H117" i="18"/>
  <c r="G117" i="18"/>
  <c r="F117" i="18"/>
  <c r="J116" i="18"/>
  <c r="I116" i="18"/>
  <c r="H116" i="18"/>
  <c r="G116" i="18"/>
  <c r="F116" i="18"/>
  <c r="J115" i="18"/>
  <c r="I115" i="18"/>
  <c r="H115" i="18"/>
  <c r="G115" i="18"/>
  <c r="F115" i="18"/>
  <c r="J114" i="18"/>
  <c r="I114" i="18"/>
  <c r="H114" i="18"/>
  <c r="G114" i="18"/>
  <c r="F114" i="18"/>
  <c r="G110" i="18"/>
  <c r="F110" i="18"/>
  <c r="E110" i="18"/>
  <c r="D234" i="18" s="1"/>
  <c r="D110" i="18"/>
  <c r="D119" i="18" s="1"/>
  <c r="C110" i="18"/>
  <c r="J109" i="18"/>
  <c r="I109" i="18"/>
  <c r="H109" i="18"/>
  <c r="G109" i="18"/>
  <c r="F109" i="18"/>
  <c r="J108" i="18"/>
  <c r="J110" i="18" s="1"/>
  <c r="I108" i="18"/>
  <c r="I110" i="18" s="1"/>
  <c r="H108" i="18"/>
  <c r="H110" i="18" s="1"/>
  <c r="G108" i="18"/>
  <c r="F108" i="18"/>
  <c r="J102" i="18"/>
  <c r="J136" i="18" s="1"/>
  <c r="I102" i="18"/>
  <c r="H102" i="18"/>
  <c r="H136" i="18" s="1"/>
  <c r="G102" i="18"/>
  <c r="F102" i="18"/>
  <c r="J101" i="18"/>
  <c r="I101" i="18"/>
  <c r="I135" i="18" s="1"/>
  <c r="H101" i="18"/>
  <c r="G101" i="18"/>
  <c r="G135" i="18" s="1"/>
  <c r="F101" i="18"/>
  <c r="F135" i="18" s="1"/>
  <c r="J100" i="18"/>
  <c r="J134" i="18" s="1"/>
  <c r="I100" i="18"/>
  <c r="I134" i="18" s="1"/>
  <c r="H100" i="18"/>
  <c r="H134" i="18" s="1"/>
  <c r="G100" i="18"/>
  <c r="F100" i="18"/>
  <c r="F134" i="18" s="1"/>
  <c r="J99" i="18"/>
  <c r="I99" i="18"/>
  <c r="H99" i="18"/>
  <c r="G99" i="18"/>
  <c r="G133" i="18" s="1"/>
  <c r="F99" i="18"/>
  <c r="E95" i="18"/>
  <c r="D95" i="18"/>
  <c r="C95" i="18"/>
  <c r="F93" i="18"/>
  <c r="E93" i="18"/>
  <c r="D93" i="18"/>
  <c r="E90" i="18"/>
  <c r="E89" i="18"/>
  <c r="D89" i="18"/>
  <c r="D90" i="18" s="1"/>
  <c r="C89" i="18"/>
  <c r="J79" i="18"/>
  <c r="I79" i="18"/>
  <c r="H79" i="18"/>
  <c r="G79" i="18"/>
  <c r="F79" i="18"/>
  <c r="J78" i="18"/>
  <c r="I78" i="18"/>
  <c r="H78" i="18"/>
  <c r="G78" i="18"/>
  <c r="F78" i="18"/>
  <c r="E60" i="18"/>
  <c r="C60" i="18"/>
  <c r="C65" i="18" s="1"/>
  <c r="C67" i="18" s="1"/>
  <c r="E58" i="18"/>
  <c r="D58" i="18"/>
  <c r="D60" i="18" s="1"/>
  <c r="C58" i="18"/>
  <c r="G55" i="18"/>
  <c r="J52" i="18"/>
  <c r="I52" i="18"/>
  <c r="H52" i="18"/>
  <c r="G52" i="18"/>
  <c r="F52" i="18"/>
  <c r="E52" i="18"/>
  <c r="D52" i="18"/>
  <c r="G51" i="18"/>
  <c r="F51" i="18"/>
  <c r="D46" i="18"/>
  <c r="D36" i="18"/>
  <c r="D33" i="18"/>
  <c r="E10" i="18"/>
  <c r="D10" i="18"/>
  <c r="G5" i="18"/>
  <c r="D5" i="18"/>
  <c r="C27" i="17"/>
  <c r="C24" i="17"/>
  <c r="D21" i="16"/>
  <c r="E20" i="16"/>
  <c r="D20" i="16"/>
  <c r="C20" i="16"/>
  <c r="E19" i="16"/>
  <c r="D19" i="16"/>
  <c r="C19" i="16"/>
  <c r="E18" i="16"/>
  <c r="D18" i="16"/>
  <c r="C18" i="16"/>
  <c r="E17" i="16"/>
  <c r="D17" i="16"/>
  <c r="C17" i="16"/>
  <c r="C16" i="16"/>
  <c r="E15" i="16"/>
  <c r="D15" i="16"/>
  <c r="C15" i="16"/>
  <c r="F15" i="16" s="1"/>
  <c r="D14" i="16"/>
  <c r="C14" i="16"/>
  <c r="F13" i="16"/>
  <c r="E13" i="16"/>
  <c r="D13" i="16"/>
  <c r="C13" i="16"/>
  <c r="E12" i="16"/>
  <c r="D12" i="16"/>
  <c r="C12" i="16"/>
  <c r="F12" i="16" s="1"/>
  <c r="E11" i="16"/>
  <c r="F10" i="16"/>
  <c r="E10" i="16"/>
  <c r="D10" i="16"/>
  <c r="C10" i="16"/>
  <c r="E9" i="16"/>
  <c r="D9" i="16"/>
  <c r="C9" i="16"/>
  <c r="F9" i="16" s="1"/>
  <c r="E8" i="16"/>
  <c r="D8" i="16"/>
  <c r="C8" i="16"/>
  <c r="C7" i="16"/>
  <c r="E6" i="16"/>
  <c r="D6" i="16"/>
  <c r="E5" i="16"/>
  <c r="D5" i="16"/>
  <c r="D30" i="15"/>
  <c r="E21" i="16" s="1"/>
  <c r="C30" i="15"/>
  <c r="D19" i="15"/>
  <c r="C19" i="15"/>
  <c r="D16" i="15"/>
  <c r="E14" i="16" s="1"/>
  <c r="C16" i="15"/>
  <c r="D7" i="15"/>
  <c r="E16" i="16" s="1"/>
  <c r="C7" i="15"/>
  <c r="F27" i="14"/>
  <c r="F26" i="14"/>
  <c r="E26" i="14"/>
  <c r="F25" i="14"/>
  <c r="E25" i="14"/>
  <c r="F24" i="14"/>
  <c r="E24" i="14"/>
  <c r="F21" i="14"/>
  <c r="E21" i="14"/>
  <c r="F20" i="14"/>
  <c r="E20" i="14"/>
  <c r="F18" i="14"/>
  <c r="E18" i="14"/>
  <c r="F17" i="14"/>
  <c r="E17" i="14"/>
  <c r="F16" i="14"/>
  <c r="E16" i="14"/>
  <c r="F12" i="14"/>
  <c r="E12" i="14"/>
  <c r="F11" i="14"/>
  <c r="E11" i="14"/>
  <c r="F10" i="14"/>
  <c r="E10" i="14"/>
  <c r="F9" i="14"/>
  <c r="E9" i="14"/>
  <c r="F8" i="14"/>
  <c r="E8" i="14"/>
  <c r="D36" i="13"/>
  <c r="C36" i="13"/>
  <c r="E27" i="14" s="1"/>
  <c r="D24" i="13"/>
  <c r="D22" i="13"/>
  <c r="D26" i="13" s="1"/>
  <c r="F13" i="14" s="1"/>
  <c r="D20" i="13"/>
  <c r="F6" i="14" s="1"/>
  <c r="C20" i="13"/>
  <c r="D7" i="13"/>
  <c r="C7" i="13"/>
  <c r="G41" i="11"/>
  <c r="D31" i="11"/>
  <c r="F38" i="11" s="1"/>
  <c r="G24" i="11"/>
  <c r="F24" i="11"/>
  <c r="E24" i="11"/>
  <c r="D24" i="11"/>
  <c r="F31" i="11" s="1"/>
  <c r="F23" i="11"/>
  <c r="E23" i="11"/>
  <c r="F22" i="11"/>
  <c r="F21" i="11"/>
  <c r="G15" i="11"/>
  <c r="G23" i="11" s="1"/>
  <c r="F15" i="11"/>
  <c r="E15" i="11"/>
  <c r="E21" i="11" s="1"/>
  <c r="D15" i="11"/>
  <c r="D21" i="11" s="1"/>
  <c r="C14" i="11"/>
  <c r="C13" i="11"/>
  <c r="C12" i="11"/>
  <c r="G10" i="11"/>
  <c r="F10" i="11"/>
  <c r="E10" i="11"/>
  <c r="D10" i="11"/>
  <c r="C9" i="11"/>
  <c r="C7" i="11"/>
  <c r="C37" i="11" s="1"/>
  <c r="F28" i="10"/>
  <c r="F27" i="10"/>
  <c r="F26" i="10"/>
  <c r="F24" i="10"/>
  <c r="F23" i="10"/>
  <c r="F7" i="10"/>
  <c r="E7" i="10"/>
  <c r="D7" i="10"/>
  <c r="G14" i="9"/>
  <c r="E14" i="9"/>
  <c r="D14" i="9"/>
  <c r="C14" i="9"/>
  <c r="H14" i="9" s="1"/>
  <c r="H13" i="9"/>
  <c r="F13" i="9"/>
  <c r="E13" i="9"/>
  <c r="D13" i="9"/>
  <c r="G13" i="9" s="1"/>
  <c r="C13" i="9"/>
  <c r="G12" i="9"/>
  <c r="E12" i="9"/>
  <c r="D12" i="9"/>
  <c r="C12" i="9"/>
  <c r="H12" i="9" s="1"/>
  <c r="H11" i="9"/>
  <c r="F11" i="9"/>
  <c r="E11" i="9"/>
  <c r="D11" i="9"/>
  <c r="G11" i="9" s="1"/>
  <c r="C11" i="9"/>
  <c r="C6" i="9"/>
  <c r="F6" i="9" s="1"/>
  <c r="H5" i="9"/>
  <c r="F5" i="9"/>
  <c r="E5" i="9"/>
  <c r="D5" i="9"/>
  <c r="G5" i="9" s="1"/>
  <c r="C5" i="9"/>
  <c r="H20" i="8"/>
  <c r="F20" i="8"/>
  <c r="E20" i="8"/>
  <c r="D20" i="8"/>
  <c r="G20" i="8" s="1"/>
  <c r="C20" i="8"/>
  <c r="D18" i="8"/>
  <c r="G18" i="8" s="1"/>
  <c r="H17" i="8"/>
  <c r="G17" i="8"/>
  <c r="E17" i="8"/>
  <c r="D17" i="8"/>
  <c r="C17" i="8"/>
  <c r="F17" i="8" s="1"/>
  <c r="H16" i="8"/>
  <c r="F16" i="8"/>
  <c r="E16" i="8"/>
  <c r="D16" i="8"/>
  <c r="G16" i="8" s="1"/>
  <c r="C16" i="8"/>
  <c r="H15" i="8"/>
  <c r="G15" i="8"/>
  <c r="E15" i="8"/>
  <c r="D15" i="8"/>
  <c r="C15" i="8"/>
  <c r="F15" i="8" s="1"/>
  <c r="H14" i="8"/>
  <c r="F14" i="8"/>
  <c r="E14" i="8"/>
  <c r="D14" i="8"/>
  <c r="G14" i="8" s="1"/>
  <c r="C14" i="8"/>
  <c r="H13" i="8"/>
  <c r="G13" i="8"/>
  <c r="E13" i="8"/>
  <c r="D13" i="8"/>
  <c r="C13" i="8"/>
  <c r="F13" i="8" s="1"/>
  <c r="H12" i="8"/>
  <c r="F12" i="8"/>
  <c r="E12" i="8"/>
  <c r="D12" i="8"/>
  <c r="G12" i="8" s="1"/>
  <c r="C12" i="8"/>
  <c r="H11" i="8"/>
  <c r="G11" i="8"/>
  <c r="E11" i="8"/>
  <c r="D11" i="8"/>
  <c r="C11" i="8"/>
  <c r="F11" i="8" s="1"/>
  <c r="H10" i="8"/>
  <c r="F10" i="8"/>
  <c r="E10" i="8"/>
  <c r="D10" i="8"/>
  <c r="G10" i="8" s="1"/>
  <c r="C10" i="8"/>
  <c r="H9" i="8"/>
  <c r="G9" i="8"/>
  <c r="E9" i="8"/>
  <c r="D9" i="8"/>
  <c r="C9" i="8"/>
  <c r="F9" i="8" s="1"/>
  <c r="H6" i="8"/>
  <c r="G6" i="8"/>
  <c r="E6" i="8"/>
  <c r="D6" i="8"/>
  <c r="C6" i="8"/>
  <c r="F6" i="8" s="1"/>
  <c r="H5" i="8"/>
  <c r="F5" i="8"/>
  <c r="E5" i="8"/>
  <c r="D5" i="8"/>
  <c r="G5" i="8" s="1"/>
  <c r="C5" i="8"/>
  <c r="E49" i="7"/>
  <c r="E48" i="7"/>
  <c r="D48" i="7"/>
  <c r="C48" i="7"/>
  <c r="E47" i="7"/>
  <c r="D47" i="7"/>
  <c r="C47" i="7"/>
  <c r="E46" i="7"/>
  <c r="D46" i="7"/>
  <c r="C46" i="7"/>
  <c r="E45" i="7"/>
  <c r="D45" i="7"/>
  <c r="C45" i="7"/>
  <c r="E44" i="7"/>
  <c r="D44" i="7"/>
  <c r="C44" i="7"/>
  <c r="E43" i="7"/>
  <c r="D43" i="7"/>
  <c r="C43" i="7"/>
  <c r="D41" i="7"/>
  <c r="E40" i="7"/>
  <c r="D40" i="7"/>
  <c r="C40" i="7"/>
  <c r="E39" i="7"/>
  <c r="D39" i="7"/>
  <c r="C39" i="7"/>
  <c r="E38" i="7"/>
  <c r="D38" i="7"/>
  <c r="C38" i="7"/>
  <c r="E37" i="7"/>
  <c r="D37" i="7"/>
  <c r="C37" i="7"/>
  <c r="E34" i="7"/>
  <c r="D34" i="7"/>
  <c r="C34" i="7"/>
  <c r="E33" i="7"/>
  <c r="D33" i="7"/>
  <c r="E32" i="7"/>
  <c r="D32" i="7"/>
  <c r="C32" i="7"/>
  <c r="E31" i="7"/>
  <c r="D31" i="7"/>
  <c r="C31" i="7"/>
  <c r="D27" i="7"/>
  <c r="E26" i="7"/>
  <c r="D26" i="7"/>
  <c r="C26" i="7"/>
  <c r="E25" i="7"/>
  <c r="D25" i="7"/>
  <c r="C25" i="7"/>
  <c r="E24" i="7"/>
  <c r="D24" i="7"/>
  <c r="C24" i="7"/>
  <c r="E23" i="7"/>
  <c r="D23" i="7"/>
  <c r="C23" i="7"/>
  <c r="E22" i="7"/>
  <c r="D22" i="7"/>
  <c r="C22" i="7"/>
  <c r="E21" i="7"/>
  <c r="D21" i="7"/>
  <c r="C21" i="7"/>
  <c r="E20" i="7"/>
  <c r="D20" i="7"/>
  <c r="C20" i="7"/>
  <c r="E17" i="7"/>
  <c r="D17" i="7"/>
  <c r="C17" i="7"/>
  <c r="E16" i="7"/>
  <c r="D16" i="7"/>
  <c r="C16" i="7"/>
  <c r="E15" i="7"/>
  <c r="D15" i="7"/>
  <c r="C15" i="7"/>
  <c r="E14" i="7"/>
  <c r="D14" i="7"/>
  <c r="C14" i="7"/>
  <c r="E13" i="7"/>
  <c r="D13" i="7"/>
  <c r="C13" i="7"/>
  <c r="E12" i="7"/>
  <c r="D12" i="7"/>
  <c r="C12" i="7"/>
  <c r="E11" i="7"/>
  <c r="D11" i="7"/>
  <c r="C11" i="7"/>
  <c r="E10" i="7"/>
  <c r="D10" i="7"/>
  <c r="C10" i="7"/>
  <c r="E9" i="7"/>
  <c r="D9" i="7"/>
  <c r="C9" i="7"/>
  <c r="E8" i="7"/>
  <c r="D8" i="7"/>
  <c r="C8" i="7"/>
  <c r="E7" i="7"/>
  <c r="D7" i="7"/>
  <c r="C7" i="7"/>
  <c r="E23" i="6"/>
  <c r="H23" i="6" s="1"/>
  <c r="I23" i="6" s="1"/>
  <c r="D23" i="6"/>
  <c r="F23" i="6" s="1"/>
  <c r="G23" i="6" s="1"/>
  <c r="C23" i="6"/>
  <c r="H22" i="6"/>
  <c r="I22" i="6" s="1"/>
  <c r="F22" i="6"/>
  <c r="G22" i="6" s="1"/>
  <c r="E22" i="6"/>
  <c r="D22" i="6"/>
  <c r="C22" i="6"/>
  <c r="H20" i="6"/>
  <c r="I20" i="6" s="1"/>
  <c r="E20" i="6"/>
  <c r="D20" i="6"/>
  <c r="F20" i="6" s="1"/>
  <c r="G20" i="6" s="1"/>
  <c r="C20" i="6"/>
  <c r="D18" i="6"/>
  <c r="C18" i="6"/>
  <c r="F18" i="6" s="1"/>
  <c r="G18" i="6" s="1"/>
  <c r="G17" i="6"/>
  <c r="F17" i="6"/>
  <c r="E17" i="6"/>
  <c r="H17" i="6" s="1"/>
  <c r="I17" i="6" s="1"/>
  <c r="D17" i="6"/>
  <c r="C17" i="6"/>
  <c r="F16" i="6"/>
  <c r="G16" i="6" s="1"/>
  <c r="E16" i="6"/>
  <c r="H16" i="6" s="1"/>
  <c r="I16" i="6" s="1"/>
  <c r="D16" i="6"/>
  <c r="C16" i="6"/>
  <c r="I15" i="6"/>
  <c r="H15" i="6"/>
  <c r="E15" i="6"/>
  <c r="D15" i="6"/>
  <c r="F15" i="6" s="1"/>
  <c r="G15" i="6" s="1"/>
  <c r="C15" i="6"/>
  <c r="E14" i="6"/>
  <c r="D14" i="6"/>
  <c r="H14" i="6" s="1"/>
  <c r="I14" i="6" s="1"/>
  <c r="C14" i="6"/>
  <c r="E13" i="6"/>
  <c r="H13" i="6" s="1"/>
  <c r="I13" i="6" s="1"/>
  <c r="D13" i="6"/>
  <c r="C13" i="6"/>
  <c r="F13" i="6" s="1"/>
  <c r="G13" i="6" s="1"/>
  <c r="E12" i="6"/>
  <c r="H12" i="6" s="1"/>
  <c r="I12" i="6" s="1"/>
  <c r="D12" i="6"/>
  <c r="F12" i="6" s="1"/>
  <c r="G12" i="6" s="1"/>
  <c r="C12" i="6"/>
  <c r="E11" i="6"/>
  <c r="H11" i="6" s="1"/>
  <c r="I11" i="6" s="1"/>
  <c r="D11" i="6"/>
  <c r="F11" i="6" s="1"/>
  <c r="G11" i="6" s="1"/>
  <c r="C11" i="6"/>
  <c r="H10" i="6"/>
  <c r="I10" i="6" s="1"/>
  <c r="F10" i="6"/>
  <c r="G10" i="6" s="1"/>
  <c r="E10" i="6"/>
  <c r="D10" i="6"/>
  <c r="C10" i="6"/>
  <c r="F9" i="6"/>
  <c r="G9" i="6" s="1"/>
  <c r="E9" i="6"/>
  <c r="H9" i="6" s="1"/>
  <c r="I9" i="6" s="1"/>
  <c r="D9" i="6"/>
  <c r="C9" i="6"/>
  <c r="H6" i="6"/>
  <c r="I6" i="6" s="1"/>
  <c r="E6" i="6"/>
  <c r="D6" i="6"/>
  <c r="F6" i="6" s="1"/>
  <c r="G6" i="6" s="1"/>
  <c r="C6" i="6"/>
  <c r="E5" i="6"/>
  <c r="D5" i="6"/>
  <c r="H5" i="6" s="1"/>
  <c r="I5" i="6" s="1"/>
  <c r="C5" i="6"/>
  <c r="F5" i="6" s="1"/>
  <c r="G5" i="6" s="1"/>
  <c r="E49" i="5"/>
  <c r="I48" i="5"/>
  <c r="H48" i="5"/>
  <c r="E48" i="5"/>
  <c r="D48" i="5"/>
  <c r="F48" i="5" s="1"/>
  <c r="G48" i="5" s="1"/>
  <c r="C48" i="5"/>
  <c r="E47" i="5"/>
  <c r="D47" i="5"/>
  <c r="H47" i="5" s="1"/>
  <c r="I47" i="5" s="1"/>
  <c r="C47" i="5"/>
  <c r="E46" i="5"/>
  <c r="H46" i="5" s="1"/>
  <c r="I46" i="5" s="1"/>
  <c r="D46" i="5"/>
  <c r="C46" i="5"/>
  <c r="F46" i="5" s="1"/>
  <c r="G46" i="5" s="1"/>
  <c r="E45" i="5"/>
  <c r="H45" i="5" s="1"/>
  <c r="I45" i="5" s="1"/>
  <c r="D45" i="5"/>
  <c r="F45" i="5" s="1"/>
  <c r="G45" i="5" s="1"/>
  <c r="C45" i="5"/>
  <c r="E44" i="5"/>
  <c r="D44" i="5"/>
  <c r="F44" i="5" s="1"/>
  <c r="G44" i="5" s="1"/>
  <c r="C44" i="5"/>
  <c r="H43" i="5"/>
  <c r="I43" i="5" s="1"/>
  <c r="F43" i="5"/>
  <c r="G43" i="5" s="1"/>
  <c r="E43" i="5"/>
  <c r="D43" i="5"/>
  <c r="C43" i="5"/>
  <c r="H40" i="5"/>
  <c r="I40" i="5" s="1"/>
  <c r="E40" i="5"/>
  <c r="D40" i="5"/>
  <c r="F40" i="5" s="1"/>
  <c r="G40" i="5" s="1"/>
  <c r="C40" i="5"/>
  <c r="H39" i="5"/>
  <c r="I39" i="5" s="1"/>
  <c r="E39" i="5"/>
  <c r="D39" i="5"/>
  <c r="F39" i="5" s="1"/>
  <c r="G39" i="5" s="1"/>
  <c r="C39" i="5"/>
  <c r="E38" i="5"/>
  <c r="D38" i="5"/>
  <c r="H38" i="5" s="1"/>
  <c r="I38" i="5" s="1"/>
  <c r="C38" i="5"/>
  <c r="F38" i="5" s="1"/>
  <c r="G38" i="5" s="1"/>
  <c r="G37" i="5"/>
  <c r="F37" i="5"/>
  <c r="E37" i="5"/>
  <c r="H37" i="5" s="1"/>
  <c r="I37" i="5" s="1"/>
  <c r="D37" i="5"/>
  <c r="C37" i="5"/>
  <c r="E35" i="5"/>
  <c r="I34" i="5"/>
  <c r="H34" i="5"/>
  <c r="E34" i="5"/>
  <c r="D34" i="5"/>
  <c r="F34" i="5" s="1"/>
  <c r="G34" i="5" s="1"/>
  <c r="C34" i="5"/>
  <c r="D33" i="5"/>
  <c r="E32" i="5"/>
  <c r="H32" i="5" s="1"/>
  <c r="I32" i="5" s="1"/>
  <c r="D32" i="5"/>
  <c r="C32" i="5"/>
  <c r="F32" i="5" s="1"/>
  <c r="G32" i="5" s="1"/>
  <c r="E31" i="5"/>
  <c r="H31" i="5" s="1"/>
  <c r="I31" i="5" s="1"/>
  <c r="D31" i="5"/>
  <c r="F31" i="5" s="1"/>
  <c r="G31" i="5" s="1"/>
  <c r="C31" i="5"/>
  <c r="F26" i="5"/>
  <c r="G26" i="5" s="1"/>
  <c r="E26" i="5"/>
  <c r="H26" i="5" s="1"/>
  <c r="I26" i="5" s="1"/>
  <c r="D26" i="5"/>
  <c r="C26" i="5"/>
  <c r="H25" i="5"/>
  <c r="I25" i="5" s="1"/>
  <c r="E25" i="5"/>
  <c r="D25" i="5"/>
  <c r="F25" i="5" s="1"/>
  <c r="G25" i="5" s="1"/>
  <c r="C25" i="5"/>
  <c r="H24" i="5"/>
  <c r="I24" i="5" s="1"/>
  <c r="E24" i="5"/>
  <c r="D24" i="5"/>
  <c r="F24" i="5" s="1"/>
  <c r="G24" i="5" s="1"/>
  <c r="C24" i="5"/>
  <c r="E23" i="5"/>
  <c r="D23" i="5"/>
  <c r="H23" i="5" s="1"/>
  <c r="I23" i="5" s="1"/>
  <c r="C23" i="5"/>
  <c r="F23" i="5" s="1"/>
  <c r="G23" i="5" s="1"/>
  <c r="G22" i="5"/>
  <c r="F22" i="5"/>
  <c r="E22" i="5"/>
  <c r="H22" i="5" s="1"/>
  <c r="I22" i="5" s="1"/>
  <c r="D22" i="5"/>
  <c r="C22" i="5"/>
  <c r="F21" i="5"/>
  <c r="G21" i="5" s="1"/>
  <c r="E21" i="5"/>
  <c r="H21" i="5" s="1"/>
  <c r="I21" i="5" s="1"/>
  <c r="D21" i="5"/>
  <c r="C21" i="5"/>
  <c r="I20" i="5"/>
  <c r="H20" i="5"/>
  <c r="E20" i="5"/>
  <c r="D20" i="5"/>
  <c r="F20" i="5" s="1"/>
  <c r="G20" i="5" s="1"/>
  <c r="C20" i="5"/>
  <c r="C18" i="5"/>
  <c r="E17" i="5"/>
  <c r="H17" i="5" s="1"/>
  <c r="I17" i="5" s="1"/>
  <c r="D17" i="5"/>
  <c r="C17" i="5"/>
  <c r="F17" i="5" s="1"/>
  <c r="G17" i="5" s="1"/>
  <c r="E16" i="5"/>
  <c r="H16" i="5" s="1"/>
  <c r="I16" i="5" s="1"/>
  <c r="D16" i="5"/>
  <c r="F16" i="5" s="1"/>
  <c r="G16" i="5" s="1"/>
  <c r="C16" i="5"/>
  <c r="E15" i="5"/>
  <c r="D15" i="5"/>
  <c r="F15" i="5" s="1"/>
  <c r="G15" i="5" s="1"/>
  <c r="C15" i="5"/>
  <c r="H14" i="5"/>
  <c r="I14" i="5" s="1"/>
  <c r="F14" i="5"/>
  <c r="G14" i="5" s="1"/>
  <c r="E14" i="5"/>
  <c r="D14" i="5"/>
  <c r="C14" i="5"/>
  <c r="F13" i="5"/>
  <c r="G13" i="5" s="1"/>
  <c r="E13" i="5"/>
  <c r="H13" i="5" s="1"/>
  <c r="I13" i="5" s="1"/>
  <c r="D13" i="5"/>
  <c r="C13" i="5"/>
  <c r="H12" i="5"/>
  <c r="I12" i="5" s="1"/>
  <c r="E12" i="5"/>
  <c r="D12" i="5"/>
  <c r="F12" i="5" s="1"/>
  <c r="G12" i="5" s="1"/>
  <c r="C12" i="5"/>
  <c r="H11" i="5"/>
  <c r="I11" i="5" s="1"/>
  <c r="E11" i="5"/>
  <c r="D11" i="5"/>
  <c r="F11" i="5" s="1"/>
  <c r="G11" i="5" s="1"/>
  <c r="C11" i="5"/>
  <c r="E10" i="5"/>
  <c r="D10" i="5"/>
  <c r="H10" i="5" s="1"/>
  <c r="I10" i="5" s="1"/>
  <c r="C10" i="5"/>
  <c r="F10" i="5" s="1"/>
  <c r="G10" i="5" s="1"/>
  <c r="G9" i="5"/>
  <c r="F9" i="5"/>
  <c r="E9" i="5"/>
  <c r="H9" i="5" s="1"/>
  <c r="I9" i="5" s="1"/>
  <c r="D9" i="5"/>
  <c r="C9" i="5"/>
  <c r="F8" i="5"/>
  <c r="G8" i="5" s="1"/>
  <c r="E8" i="5"/>
  <c r="H8" i="5" s="1"/>
  <c r="I8" i="5" s="1"/>
  <c r="D8" i="5"/>
  <c r="C8" i="5"/>
  <c r="I7" i="5"/>
  <c r="H7" i="5"/>
  <c r="E7" i="5"/>
  <c r="D7" i="5"/>
  <c r="F7" i="5" s="1"/>
  <c r="G7" i="5" s="1"/>
  <c r="C7" i="5"/>
  <c r="E7" i="4"/>
  <c r="D7" i="4"/>
  <c r="C7" i="4"/>
  <c r="F23" i="3"/>
  <c r="E22" i="8" s="1"/>
  <c r="H22" i="8" s="1"/>
  <c r="E23" i="3"/>
  <c r="D22" i="8" s="1"/>
  <c r="G22" i="8" s="1"/>
  <c r="D23" i="3"/>
  <c r="C24" i="6" s="1"/>
  <c r="D18" i="3"/>
  <c r="F17" i="3"/>
  <c r="E18" i="8" s="1"/>
  <c r="H18" i="8" s="1"/>
  <c r="E17" i="3"/>
  <c r="D17" i="3"/>
  <c r="C18" i="8" s="1"/>
  <c r="F18" i="8" s="1"/>
  <c r="F6" i="3"/>
  <c r="E7" i="8" s="1"/>
  <c r="H7" i="8" s="1"/>
  <c r="E6" i="3"/>
  <c r="D7" i="8" s="1"/>
  <c r="G7" i="8" s="1"/>
  <c r="D6" i="3"/>
  <c r="C7" i="8" s="1"/>
  <c r="F7" i="8" s="1"/>
  <c r="F48" i="2"/>
  <c r="E48" i="2"/>
  <c r="E11" i="10" s="1"/>
  <c r="D48" i="2"/>
  <c r="F40" i="2"/>
  <c r="F11" i="10" s="1"/>
  <c r="E40" i="2"/>
  <c r="D41" i="5" s="1"/>
  <c r="F41" i="5" s="1"/>
  <c r="G41" i="5" s="1"/>
  <c r="D40" i="2"/>
  <c r="C41" i="5" s="1"/>
  <c r="F34" i="2"/>
  <c r="F49" i="2" s="1"/>
  <c r="E34" i="2"/>
  <c r="E49" i="2" s="1"/>
  <c r="F32" i="2"/>
  <c r="E33" i="5" s="1"/>
  <c r="H33" i="5" s="1"/>
  <c r="I33" i="5" s="1"/>
  <c r="E32" i="2"/>
  <c r="D32" i="2"/>
  <c r="D34" i="2" s="1"/>
  <c r="D27" i="2"/>
  <c r="F26" i="2"/>
  <c r="E27" i="5" s="1"/>
  <c r="E26" i="2"/>
  <c r="D26" i="2"/>
  <c r="F17" i="2"/>
  <c r="E18" i="7" s="1"/>
  <c r="E17" i="2"/>
  <c r="D18" i="7" s="1"/>
  <c r="D17" i="2"/>
  <c r="C18" i="7" s="1"/>
  <c r="D50" i="5" l="1"/>
  <c r="D50" i="7"/>
  <c r="D28" i="11"/>
  <c r="F35" i="11" s="1"/>
  <c r="C28" i="11"/>
  <c r="D35" i="11" s="1"/>
  <c r="D20" i="3"/>
  <c r="D10" i="10"/>
  <c r="C19" i="8"/>
  <c r="F19" i="8" s="1"/>
  <c r="C19" i="6"/>
  <c r="E50" i="7"/>
  <c r="E50" i="5"/>
  <c r="H50" i="5" s="1"/>
  <c r="I50" i="5" s="1"/>
  <c r="F20" i="7"/>
  <c r="H44" i="5"/>
  <c r="I44" i="5" s="1"/>
  <c r="F11" i="7"/>
  <c r="D8" i="10"/>
  <c r="C49" i="7"/>
  <c r="C49" i="5"/>
  <c r="H49" i="5"/>
  <c r="I49" i="5" s="1"/>
  <c r="F26" i="7"/>
  <c r="D11" i="10"/>
  <c r="F46" i="7"/>
  <c r="F18" i="7"/>
  <c r="D12" i="10"/>
  <c r="C9" i="9"/>
  <c r="F9" i="9" s="1"/>
  <c r="C28" i="5"/>
  <c r="D9" i="10"/>
  <c r="C28" i="7"/>
  <c r="F37" i="7" s="1"/>
  <c r="D49" i="2"/>
  <c r="C35" i="7"/>
  <c r="F35" i="7" s="1"/>
  <c r="C35" i="5"/>
  <c r="C10" i="9"/>
  <c r="F10" i="9" s="1"/>
  <c r="H15" i="5"/>
  <c r="I15" i="5" s="1"/>
  <c r="C15" i="20"/>
  <c r="C12" i="26" s="1"/>
  <c r="C19" i="20"/>
  <c r="C21" i="20" s="1"/>
  <c r="D24" i="6"/>
  <c r="F24" i="6" s="1"/>
  <c r="G24" i="6" s="1"/>
  <c r="C33" i="5"/>
  <c r="F33" i="5" s="1"/>
  <c r="G33" i="5" s="1"/>
  <c r="E24" i="6"/>
  <c r="H24" i="6" s="1"/>
  <c r="I24" i="6" s="1"/>
  <c r="C41" i="7"/>
  <c r="F41" i="7" s="1"/>
  <c r="G21" i="11"/>
  <c r="E28" i="11" s="1"/>
  <c r="G58" i="18"/>
  <c r="C167" i="18"/>
  <c r="C21" i="16"/>
  <c r="E15" i="20"/>
  <c r="E12" i="26" s="1"/>
  <c r="E19" i="20"/>
  <c r="E21" i="20" s="1"/>
  <c r="E18" i="5"/>
  <c r="E41" i="7"/>
  <c r="E6" i="9"/>
  <c r="H6" i="9" s="1"/>
  <c r="E10" i="9"/>
  <c r="H10" i="9" s="1"/>
  <c r="D22" i="11"/>
  <c r="F55" i="18"/>
  <c r="F85" i="18"/>
  <c r="F87" i="18"/>
  <c r="F145" i="18" s="1"/>
  <c r="F64" i="18"/>
  <c r="F94" i="18"/>
  <c r="F86" i="18"/>
  <c r="F163" i="18" s="1"/>
  <c r="F63" i="18"/>
  <c r="F88" i="18"/>
  <c r="F164" i="18" s="1"/>
  <c r="F56" i="18"/>
  <c r="F57" i="18" s="1"/>
  <c r="D18" i="5"/>
  <c r="F18" i="5" s="1"/>
  <c r="G18" i="5" s="1"/>
  <c r="D6" i="9"/>
  <c r="G6" i="9" s="1"/>
  <c r="D10" i="9"/>
  <c r="G10" i="9" s="1"/>
  <c r="D35" i="5"/>
  <c r="F35" i="5" s="1"/>
  <c r="G35" i="5" s="1"/>
  <c r="E41" i="5"/>
  <c r="H41" i="5" s="1"/>
  <c r="I41" i="5" s="1"/>
  <c r="F47" i="5"/>
  <c r="G47" i="5" s="1"/>
  <c r="D49" i="5"/>
  <c r="F49" i="5" s="1"/>
  <c r="G49" i="5" s="1"/>
  <c r="F14" i="6"/>
  <c r="G14" i="6" s="1"/>
  <c r="F12" i="9"/>
  <c r="F14" i="9"/>
  <c r="E22" i="11"/>
  <c r="C31" i="11"/>
  <c r="D38" i="11" s="1"/>
  <c r="G85" i="18"/>
  <c r="G57" i="18"/>
  <c r="G87" i="18"/>
  <c r="G145" i="18" s="1"/>
  <c r="G64" i="18"/>
  <c r="G94" i="18"/>
  <c r="G56" i="18"/>
  <c r="G86" i="18"/>
  <c r="G163" i="18" s="1"/>
  <c r="G63" i="18"/>
  <c r="G88" i="18"/>
  <c r="G164" i="18" s="1"/>
  <c r="G60" i="18"/>
  <c r="D167" i="18"/>
  <c r="C22" i="13"/>
  <c r="E6" i="14"/>
  <c r="E5" i="14"/>
  <c r="H51" i="18"/>
  <c r="D61" i="18"/>
  <c r="D65" i="18"/>
  <c r="D67" i="18" s="1"/>
  <c r="E27" i="2"/>
  <c r="E18" i="3"/>
  <c r="G22" i="11"/>
  <c r="E31" i="11"/>
  <c r="D16" i="16"/>
  <c r="F16" i="16" s="1"/>
  <c r="D7" i="16"/>
  <c r="F27" i="2"/>
  <c r="F18" i="3"/>
  <c r="C7" i="6"/>
  <c r="E18" i="6"/>
  <c r="H18" i="6" s="1"/>
  <c r="I18" i="6" s="1"/>
  <c r="C27" i="7"/>
  <c r="F27" i="7" s="1"/>
  <c r="C33" i="7"/>
  <c r="F33" i="7" s="1"/>
  <c r="C22" i="8"/>
  <c r="F22" i="8" s="1"/>
  <c r="D23" i="11"/>
  <c r="F14" i="16"/>
  <c r="F165" i="18"/>
  <c r="F166" i="18" s="1"/>
  <c r="C70" i="18"/>
  <c r="C72" i="18"/>
  <c r="C74" i="18" s="1"/>
  <c r="G165" i="18"/>
  <c r="G166" i="18" s="1"/>
  <c r="E61" i="18"/>
  <c r="E65" i="18"/>
  <c r="E67" i="18" s="1"/>
  <c r="C169" i="18"/>
  <c r="D7" i="6"/>
  <c r="F7" i="6" s="1"/>
  <c r="G7" i="6" s="1"/>
  <c r="D35" i="7"/>
  <c r="D49" i="7"/>
  <c r="C27" i="5"/>
  <c r="E7" i="6"/>
  <c r="E27" i="7"/>
  <c r="E35" i="7"/>
  <c r="D27" i="5"/>
  <c r="F27" i="5" s="1"/>
  <c r="G27" i="5" s="1"/>
  <c r="D11" i="16"/>
  <c r="D169" i="18"/>
  <c r="E43" i="21"/>
  <c r="E45" i="21" s="1"/>
  <c r="F8" i="16"/>
  <c r="E169" i="18"/>
  <c r="F11" i="20"/>
  <c r="F7" i="23"/>
  <c r="F39" i="21" s="1"/>
  <c r="F41" i="21" s="1"/>
  <c r="F42" i="21" s="1"/>
  <c r="F9" i="20"/>
  <c r="F15" i="23"/>
  <c r="G5" i="20"/>
  <c r="D19" i="20"/>
  <c r="D21" i="20" s="1"/>
  <c r="D21" i="24"/>
  <c r="C61" i="18"/>
  <c r="D123" i="18"/>
  <c r="F17" i="20"/>
  <c r="F5" i="14"/>
  <c r="F8" i="23"/>
  <c r="F20" i="21" s="1"/>
  <c r="F11" i="26"/>
  <c r="F10" i="20"/>
  <c r="F6" i="23"/>
  <c r="E7" i="16"/>
  <c r="D233" i="18"/>
  <c r="F18" i="20"/>
  <c r="D26" i="20" l="1"/>
  <c r="D28" i="20" s="1"/>
  <c r="D13" i="26" s="1"/>
  <c r="D24" i="20"/>
  <c r="H27" i="5"/>
  <c r="I27" i="5" s="1"/>
  <c r="E30" i="11"/>
  <c r="F30" i="11"/>
  <c r="D30" i="11"/>
  <c r="F37" i="11" s="1"/>
  <c r="G37" i="11" s="1"/>
  <c r="C30" i="11"/>
  <c r="D37" i="11" s="1"/>
  <c r="E37" i="11" s="1"/>
  <c r="H37" i="11" s="1"/>
  <c r="E20" i="3"/>
  <c r="E10" i="10"/>
  <c r="D19" i="8"/>
  <c r="G19" i="8" s="1"/>
  <c r="D19" i="6"/>
  <c r="F19" i="6" s="1"/>
  <c r="G19" i="6" s="1"/>
  <c r="C26" i="13"/>
  <c r="C24" i="13"/>
  <c r="C6" i="16"/>
  <c r="F6" i="16" s="1"/>
  <c r="C5" i="16"/>
  <c r="F5" i="16" s="1"/>
  <c r="F185" i="18"/>
  <c r="F178" i="18"/>
  <c r="H18" i="5"/>
  <c r="I18" i="5" s="1"/>
  <c r="F7" i="7"/>
  <c r="F28" i="11"/>
  <c r="D23" i="24"/>
  <c r="D37" i="19" s="1"/>
  <c r="D38" i="19" s="1"/>
  <c r="D39" i="19" s="1"/>
  <c r="G18" i="20"/>
  <c r="G6" i="23"/>
  <c r="G10" i="20"/>
  <c r="G11" i="26"/>
  <c r="G8" i="23"/>
  <c r="G20" i="21" s="1"/>
  <c r="G17" i="20"/>
  <c r="H5" i="20"/>
  <c r="G15" i="23"/>
  <c r="G9" i="20"/>
  <c r="G7" i="23"/>
  <c r="G39" i="21" s="1"/>
  <c r="G41" i="21" s="1"/>
  <c r="G42" i="21" s="1"/>
  <c r="G11" i="20"/>
  <c r="G9" i="23"/>
  <c r="G40" i="21" s="1"/>
  <c r="F184" i="18"/>
  <c r="F186" i="18" s="1"/>
  <c r="C212" i="18"/>
  <c r="E26" i="20"/>
  <c r="E28" i="20" s="1"/>
  <c r="E13" i="26" s="1"/>
  <c r="E24" i="20"/>
  <c r="E12" i="10"/>
  <c r="F25" i="10"/>
  <c r="D9" i="9"/>
  <c r="G9" i="9" s="1"/>
  <c r="E9" i="10"/>
  <c r="D28" i="7"/>
  <c r="G35" i="7" s="1"/>
  <c r="D28" i="5"/>
  <c r="F28" i="5" s="1"/>
  <c r="G28" i="5" s="1"/>
  <c r="G143" i="18"/>
  <c r="G89" i="18"/>
  <c r="F10" i="23"/>
  <c r="F11" i="23" s="1"/>
  <c r="F18" i="21"/>
  <c r="C10" i="25"/>
  <c r="F15" i="22"/>
  <c r="E70" i="18"/>
  <c r="E72" i="18"/>
  <c r="E74" i="18" s="1"/>
  <c r="C9" i="25"/>
  <c r="F16" i="23"/>
  <c r="F17" i="23" s="1"/>
  <c r="F7" i="22"/>
  <c r="F12" i="20"/>
  <c r="F14" i="20" s="1"/>
  <c r="C50" i="5"/>
  <c r="C50" i="7"/>
  <c r="F50" i="7" s="1"/>
  <c r="E8" i="10"/>
  <c r="G61" i="18"/>
  <c r="D208" i="18"/>
  <c r="G65" i="18"/>
  <c r="G67" i="18" s="1"/>
  <c r="C23" i="11"/>
  <c r="G30" i="11" s="1"/>
  <c r="C22" i="11"/>
  <c r="G29" i="11" s="1"/>
  <c r="F47" i="7"/>
  <c r="F45" i="7"/>
  <c r="F43" i="7"/>
  <c r="F40" i="7"/>
  <c r="F38" i="7"/>
  <c r="F31" i="7"/>
  <c r="F25" i="7"/>
  <c r="F23" i="7"/>
  <c r="F21" i="7"/>
  <c r="F16" i="7"/>
  <c r="F14" i="7"/>
  <c r="F12" i="7"/>
  <c r="F10" i="7"/>
  <c r="F8" i="7"/>
  <c r="F28" i="7"/>
  <c r="F39" i="7"/>
  <c r="F49" i="7"/>
  <c r="F17" i="7"/>
  <c r="C26" i="20"/>
  <c r="C28" i="20" s="1"/>
  <c r="C13" i="26" s="1"/>
  <c r="C24" i="20"/>
  <c r="F44" i="7"/>
  <c r="F15" i="7"/>
  <c r="D13" i="10"/>
  <c r="D14" i="10" s="1"/>
  <c r="F13" i="7"/>
  <c r="F50" i="5"/>
  <c r="G50" i="5" s="1"/>
  <c r="F20" i="3"/>
  <c r="C8" i="11"/>
  <c r="F10" i="10"/>
  <c r="E19" i="6"/>
  <c r="H19" i="6" s="1"/>
  <c r="I19" i="6" s="1"/>
  <c r="E19" i="8"/>
  <c r="H19" i="8" s="1"/>
  <c r="D70" i="18"/>
  <c r="D72" i="18"/>
  <c r="D74" i="18" s="1"/>
  <c r="G185" i="18"/>
  <c r="G178" i="18"/>
  <c r="D22" i="24"/>
  <c r="D24" i="24" s="1"/>
  <c r="F143" i="18"/>
  <c r="F89" i="18"/>
  <c r="F90" i="18" s="1"/>
  <c r="F16" i="22"/>
  <c r="F9" i="22"/>
  <c r="H7" i="6"/>
  <c r="I7" i="6" s="1"/>
  <c r="E9" i="9"/>
  <c r="H9" i="9" s="1"/>
  <c r="E28" i="5"/>
  <c r="H28" i="5" s="1"/>
  <c r="I28" i="5" s="1"/>
  <c r="F30" i="10"/>
  <c r="F9" i="10"/>
  <c r="E28" i="7"/>
  <c r="H35" i="7" s="1"/>
  <c r="F12" i="10"/>
  <c r="F8" i="10"/>
  <c r="F58" i="18"/>
  <c r="F60" i="18" s="1"/>
  <c r="F34" i="7"/>
  <c r="F7" i="16"/>
  <c r="F29" i="11"/>
  <c r="D29" i="11"/>
  <c r="F36" i="11" s="1"/>
  <c r="E29" i="11"/>
  <c r="C29" i="11"/>
  <c r="D36" i="11" s="1"/>
  <c r="F9" i="7"/>
  <c r="D124" i="18"/>
  <c r="D126" i="18" s="1"/>
  <c r="G176" i="18"/>
  <c r="D211" i="18"/>
  <c r="G95" i="18"/>
  <c r="H85" i="18"/>
  <c r="H87" i="18"/>
  <c r="H145" i="18" s="1"/>
  <c r="H64" i="18"/>
  <c r="H94" i="18"/>
  <c r="H56" i="18"/>
  <c r="H57" i="18" s="1"/>
  <c r="H86" i="18"/>
  <c r="H163" i="18" s="1"/>
  <c r="H88" i="18"/>
  <c r="H164" i="18" s="1"/>
  <c r="I51" i="18"/>
  <c r="H55" i="18"/>
  <c r="H63" i="18"/>
  <c r="G184" i="18"/>
  <c r="D212" i="18"/>
  <c r="F95" i="18"/>
  <c r="F96" i="18" s="1"/>
  <c r="F176" i="18"/>
  <c r="C211" i="18"/>
  <c r="H35" i="5"/>
  <c r="I35" i="5" s="1"/>
  <c r="F22" i="7"/>
  <c r="F32" i="7"/>
  <c r="F24" i="7"/>
  <c r="C7" i="9"/>
  <c r="F7" i="9" s="1"/>
  <c r="C21" i="6"/>
  <c r="D24" i="3"/>
  <c r="C21" i="8"/>
  <c r="F21" i="8" s="1"/>
  <c r="F48" i="7"/>
  <c r="G14" i="23" l="1"/>
  <c r="F7" i="21"/>
  <c r="F14" i="21" s="1"/>
  <c r="G93" i="18"/>
  <c r="G96" i="18" s="1"/>
  <c r="F132" i="18"/>
  <c r="F139" i="18" s="1"/>
  <c r="G186" i="18"/>
  <c r="H143" i="18"/>
  <c r="H89" i="18"/>
  <c r="H90" i="18" s="1"/>
  <c r="H185" i="18"/>
  <c r="H178" i="18"/>
  <c r="G49" i="7"/>
  <c r="I87" i="18"/>
  <c r="I145" i="18" s="1"/>
  <c r="I64" i="18"/>
  <c r="I94" i="18"/>
  <c r="I56" i="18"/>
  <c r="I86" i="18"/>
  <c r="I163" i="18" s="1"/>
  <c r="I63" i="18"/>
  <c r="I88" i="18"/>
  <c r="I164" i="18" s="1"/>
  <c r="J51" i="18"/>
  <c r="I55" i="18"/>
  <c r="I57" i="18" s="1"/>
  <c r="I85" i="18"/>
  <c r="F13" i="10"/>
  <c r="F14" i="10" s="1"/>
  <c r="G50" i="7"/>
  <c r="C6" i="25"/>
  <c r="F19" i="20"/>
  <c r="F21" i="20" s="1"/>
  <c r="F15" i="20"/>
  <c r="F12" i="26" s="1"/>
  <c r="G12" i="20"/>
  <c r="G14" i="20" s="1"/>
  <c r="G48" i="7"/>
  <c r="G46" i="7"/>
  <c r="G44" i="7"/>
  <c r="G41" i="7"/>
  <c r="G39" i="7"/>
  <c r="G37" i="7"/>
  <c r="G34" i="7"/>
  <c r="G32" i="7"/>
  <c r="G28" i="7"/>
  <c r="G26" i="7"/>
  <c r="G24" i="7"/>
  <c r="G22" i="7"/>
  <c r="G20" i="7"/>
  <c r="G17" i="7"/>
  <c r="G15" i="7"/>
  <c r="G13" i="7"/>
  <c r="G11" i="7"/>
  <c r="G9" i="7"/>
  <c r="G7" i="7"/>
  <c r="G18" i="7"/>
  <c r="G27" i="7"/>
  <c r="G31" i="7"/>
  <c r="G43" i="7"/>
  <c r="G8" i="7"/>
  <c r="G47" i="7"/>
  <c r="G23" i="7"/>
  <c r="G21" i="7"/>
  <c r="G45" i="7"/>
  <c r="G12" i="7"/>
  <c r="G25" i="7"/>
  <c r="G38" i="7"/>
  <c r="G16" i="7"/>
  <c r="G33" i="7"/>
  <c r="G40" i="7"/>
  <c r="G10" i="7"/>
  <c r="G14" i="7"/>
  <c r="H165" i="18"/>
  <c r="H166" i="18" s="1"/>
  <c r="D125" i="18"/>
  <c r="D37" i="18" s="1"/>
  <c r="D38" i="18" s="1"/>
  <c r="D39" i="18" s="1"/>
  <c r="D10" i="25"/>
  <c r="G15" i="22"/>
  <c r="G17" i="22" s="1"/>
  <c r="H50" i="7"/>
  <c r="D7" i="9"/>
  <c r="G7" i="9" s="1"/>
  <c r="D21" i="8"/>
  <c r="G21" i="8" s="1"/>
  <c r="D21" i="6"/>
  <c r="F21" i="6" s="1"/>
  <c r="G21" i="6" s="1"/>
  <c r="E24" i="3"/>
  <c r="G72" i="18"/>
  <c r="G69" i="18"/>
  <c r="G70" i="18" s="1"/>
  <c r="D209" i="18"/>
  <c r="D210" i="18" s="1"/>
  <c r="F17" i="22"/>
  <c r="G16" i="22"/>
  <c r="G9" i="22"/>
  <c r="H48" i="7"/>
  <c r="H46" i="7"/>
  <c r="H44" i="7"/>
  <c r="H39" i="7"/>
  <c r="H37" i="7"/>
  <c r="H34" i="7"/>
  <c r="H32" i="7"/>
  <c r="H28" i="7"/>
  <c r="H26" i="7"/>
  <c r="H24" i="7"/>
  <c r="H22" i="7"/>
  <c r="H20" i="7"/>
  <c r="H17" i="7"/>
  <c r="H15" i="7"/>
  <c r="H13" i="7"/>
  <c r="H11" i="7"/>
  <c r="H9" i="7"/>
  <c r="H7" i="7"/>
  <c r="H49" i="7"/>
  <c r="H47" i="7"/>
  <c r="H45" i="7"/>
  <c r="H43" i="7"/>
  <c r="H40" i="7"/>
  <c r="H38" i="7"/>
  <c r="H33" i="7"/>
  <c r="H31" i="7"/>
  <c r="H25" i="7"/>
  <c r="H23" i="7"/>
  <c r="H21" i="7"/>
  <c r="H16" i="7"/>
  <c r="H14" i="7"/>
  <c r="H12" i="7"/>
  <c r="H10" i="7"/>
  <c r="H8" i="7"/>
  <c r="H18" i="7"/>
  <c r="H6" i="23"/>
  <c r="H10" i="20"/>
  <c r="H11" i="26"/>
  <c r="H8" i="23"/>
  <c r="H20" i="21" s="1"/>
  <c r="H17" i="20"/>
  <c r="I5" i="20"/>
  <c r="H15" i="23"/>
  <c r="H9" i="20"/>
  <c r="H11" i="20" s="1"/>
  <c r="H7" i="23"/>
  <c r="H39" i="21" s="1"/>
  <c r="H9" i="23"/>
  <c r="H40" i="21" s="1"/>
  <c r="H18" i="20"/>
  <c r="C36" i="11"/>
  <c r="C10" i="11"/>
  <c r="E13" i="10"/>
  <c r="E14" i="10" s="1"/>
  <c r="E7" i="9"/>
  <c r="H7" i="9" s="1"/>
  <c r="E21" i="6"/>
  <c r="H21" i="6" s="1"/>
  <c r="I21" i="6" s="1"/>
  <c r="F24" i="3"/>
  <c r="E21" i="8"/>
  <c r="H21" i="8" s="1"/>
  <c r="F10" i="22"/>
  <c r="C11" i="25"/>
  <c r="G16" i="23"/>
  <c r="G7" i="22"/>
  <c r="D9" i="25"/>
  <c r="H41" i="7"/>
  <c r="G10" i="23"/>
  <c r="G11" i="23" s="1"/>
  <c r="G18" i="21"/>
  <c r="G16" i="25"/>
  <c r="D22" i="25" s="1"/>
  <c r="F16" i="25"/>
  <c r="B50" i="25"/>
  <c r="A31" i="26" s="1"/>
  <c r="B48" i="25"/>
  <c r="A29" i="26" s="1"/>
  <c r="E16" i="25"/>
  <c r="D16" i="25"/>
  <c r="C16" i="25"/>
  <c r="C26" i="17"/>
  <c r="B51" i="25"/>
  <c r="A32" i="26" s="1"/>
  <c r="B49" i="25"/>
  <c r="A30" i="26" s="1"/>
  <c r="B47" i="25"/>
  <c r="A28" i="26" s="1"/>
  <c r="G6" i="26"/>
  <c r="D43" i="19"/>
  <c r="H176" i="18"/>
  <c r="E211" i="18"/>
  <c r="H95" i="18"/>
  <c r="H184" i="18"/>
  <c r="E212" i="18"/>
  <c r="C25" i="6"/>
  <c r="C8" i="9"/>
  <c r="F8" i="9" s="1"/>
  <c r="C23" i="8"/>
  <c r="F23" i="8" s="1"/>
  <c r="F179" i="18"/>
  <c r="C213" i="18"/>
  <c r="G90" i="18"/>
  <c r="H58" i="18"/>
  <c r="H60" i="18" s="1"/>
  <c r="F61" i="18"/>
  <c r="C208" i="18"/>
  <c r="F65" i="18"/>
  <c r="F67" i="18" s="1"/>
  <c r="H27" i="7"/>
  <c r="E13" i="14"/>
  <c r="C11" i="16"/>
  <c r="F11" i="16" s="1"/>
  <c r="D214" i="18" l="1"/>
  <c r="H16" i="22"/>
  <c r="H9" i="22"/>
  <c r="D11" i="25"/>
  <c r="G10" i="22"/>
  <c r="G36" i="11"/>
  <c r="E36" i="11"/>
  <c r="H36" i="11" s="1"/>
  <c r="H7" i="22"/>
  <c r="E9" i="25"/>
  <c r="H16" i="23"/>
  <c r="H61" i="18"/>
  <c r="E208" i="18"/>
  <c r="H65" i="18"/>
  <c r="H67" i="18" s="1"/>
  <c r="G179" i="18"/>
  <c r="D213" i="18"/>
  <c r="C35" i="11"/>
  <c r="C21" i="11"/>
  <c r="G28" i="11" s="1"/>
  <c r="H10" i="23"/>
  <c r="H11" i="23" s="1"/>
  <c r="H18" i="21"/>
  <c r="I89" i="18"/>
  <c r="I90" i="18" s="1"/>
  <c r="I143" i="18"/>
  <c r="I58" i="18"/>
  <c r="I60" i="18" s="1"/>
  <c r="H179" i="18"/>
  <c r="E213" i="18"/>
  <c r="H41" i="21"/>
  <c r="H42" i="21" s="1"/>
  <c r="B253" i="18"/>
  <c r="B251" i="18"/>
  <c r="B249" i="18"/>
  <c r="D43" i="18"/>
  <c r="G218" i="18"/>
  <c r="D224" i="18" s="1"/>
  <c r="F218" i="18"/>
  <c r="B252" i="18"/>
  <c r="B250" i="18"/>
  <c r="E218" i="18"/>
  <c r="D218" i="18"/>
  <c r="C218" i="18"/>
  <c r="F5" i="18"/>
  <c r="J87" i="18"/>
  <c r="J145" i="18" s="1"/>
  <c r="J64" i="18"/>
  <c r="J94" i="18"/>
  <c r="J56" i="18"/>
  <c r="J86" i="18"/>
  <c r="J163" i="18" s="1"/>
  <c r="J63" i="18"/>
  <c r="J88" i="18"/>
  <c r="J164" i="18" s="1"/>
  <c r="J55" i="18"/>
  <c r="J85" i="18"/>
  <c r="H12" i="20"/>
  <c r="H14" i="20" s="1"/>
  <c r="H186" i="18"/>
  <c r="F72" i="18"/>
  <c r="F69" i="18"/>
  <c r="F70" i="18" s="1"/>
  <c r="C209" i="18"/>
  <c r="C210" i="18"/>
  <c r="C214" i="18" s="1"/>
  <c r="E25" i="6"/>
  <c r="E8" i="9"/>
  <c r="H8" i="9" s="1"/>
  <c r="E23" i="8"/>
  <c r="H23" i="8" s="1"/>
  <c r="F29" i="10"/>
  <c r="F31" i="10" s="1"/>
  <c r="F32" i="10" s="1"/>
  <c r="C11" i="11"/>
  <c r="E10" i="25"/>
  <c r="H15" i="22"/>
  <c r="H17" i="22" s="1"/>
  <c r="D6" i="25"/>
  <c r="G19" i="20"/>
  <c r="G21" i="20" s="1"/>
  <c r="G15" i="20"/>
  <c r="G12" i="26" s="1"/>
  <c r="I185" i="18"/>
  <c r="I178" i="18"/>
  <c r="I6" i="23"/>
  <c r="I10" i="20"/>
  <c r="I11" i="26"/>
  <c r="I8" i="23"/>
  <c r="I20" i="21" s="1"/>
  <c r="I17" i="20"/>
  <c r="J5" i="20"/>
  <c r="I15" i="23"/>
  <c r="I9" i="20"/>
  <c r="I7" i="23"/>
  <c r="I39" i="21" s="1"/>
  <c r="I9" i="23"/>
  <c r="I40" i="21" s="1"/>
  <c r="I18" i="20"/>
  <c r="I165" i="18"/>
  <c r="I166" i="18" s="1"/>
  <c r="G132" i="18"/>
  <c r="G139" i="18" s="1"/>
  <c r="H93" i="18"/>
  <c r="H96" i="18" s="1"/>
  <c r="G175" i="18"/>
  <c r="G181" i="18" s="1"/>
  <c r="G73" i="18"/>
  <c r="G74" i="18" s="1"/>
  <c r="F23" i="20"/>
  <c r="F24" i="20" s="1"/>
  <c r="F211" i="18"/>
  <c r="I95" i="18"/>
  <c r="I176" i="18"/>
  <c r="D25" i="6"/>
  <c r="F25" i="6" s="1"/>
  <c r="G25" i="6" s="1"/>
  <c r="D8" i="9"/>
  <c r="G8" i="9" s="1"/>
  <c r="D23" i="8"/>
  <c r="G23" i="8" s="1"/>
  <c r="C7" i="25"/>
  <c r="C8" i="25" s="1"/>
  <c r="C12" i="25" s="1"/>
  <c r="I184" i="18"/>
  <c r="F212" i="18"/>
  <c r="G17" i="23"/>
  <c r="G77" i="18" l="1"/>
  <c r="G76" i="18"/>
  <c r="C17" i="25"/>
  <c r="H132" i="18"/>
  <c r="H139" i="18" s="1"/>
  <c r="I93" i="18"/>
  <c r="I96" i="18" s="1"/>
  <c r="F208" i="18"/>
  <c r="I65" i="18"/>
  <c r="I67" i="18" s="1"/>
  <c r="I61" i="18"/>
  <c r="H25" i="6"/>
  <c r="I25" i="6" s="1"/>
  <c r="I179" i="18"/>
  <c r="F213" i="18"/>
  <c r="I41" i="21"/>
  <c r="I42" i="21" s="1"/>
  <c r="J165" i="18"/>
  <c r="J166" i="18" s="1"/>
  <c r="E11" i="25"/>
  <c r="H10" i="22"/>
  <c r="J185" i="18"/>
  <c r="J178" i="18"/>
  <c r="G211" i="18"/>
  <c r="J95" i="18"/>
  <c r="J176" i="18"/>
  <c r="I7" i="22"/>
  <c r="F9" i="25"/>
  <c r="I16" i="23"/>
  <c r="C219" i="18"/>
  <c r="H14" i="23"/>
  <c r="H17" i="23" s="1"/>
  <c r="G7" i="21"/>
  <c r="G14" i="21" s="1"/>
  <c r="F10" i="25"/>
  <c r="I15" i="22"/>
  <c r="G35" i="11"/>
  <c r="E35" i="11"/>
  <c r="H35" i="11" s="1"/>
  <c r="I186" i="18"/>
  <c r="J10" i="20"/>
  <c r="J11" i="26"/>
  <c r="J8" i="23"/>
  <c r="J20" i="21" s="1"/>
  <c r="J17" i="20"/>
  <c r="J15" i="23"/>
  <c r="J9" i="20"/>
  <c r="J11" i="20" s="1"/>
  <c r="J7" i="23"/>
  <c r="J39" i="21" s="1"/>
  <c r="J9" i="23"/>
  <c r="J40" i="21" s="1"/>
  <c r="J18" i="20"/>
  <c r="J6" i="23"/>
  <c r="D7" i="25"/>
  <c r="D8" i="25" s="1"/>
  <c r="D12" i="25" s="1"/>
  <c r="J143" i="18"/>
  <c r="J89" i="18"/>
  <c r="J90" i="18" s="1"/>
  <c r="F26" i="20"/>
  <c r="G23" i="20"/>
  <c r="G24" i="20" s="1"/>
  <c r="G26" i="20"/>
  <c r="F175" i="18"/>
  <c r="F181" i="18" s="1"/>
  <c r="F73" i="18"/>
  <c r="F153" i="18" s="1"/>
  <c r="G153" i="18" s="1"/>
  <c r="G212" i="18"/>
  <c r="J184" i="18"/>
  <c r="E6" i="25"/>
  <c r="H19" i="20"/>
  <c r="H21" i="20" s="1"/>
  <c r="H15" i="20"/>
  <c r="H12" i="26" s="1"/>
  <c r="I10" i="23"/>
  <c r="I11" i="23" s="1"/>
  <c r="I18" i="21"/>
  <c r="I11" i="20"/>
  <c r="I12" i="20" s="1"/>
  <c r="I14" i="20" s="1"/>
  <c r="G200" i="18"/>
  <c r="G201" i="18" s="1"/>
  <c r="I16" i="22"/>
  <c r="I9" i="22"/>
  <c r="H72" i="18"/>
  <c r="H69" i="18"/>
  <c r="H70" i="18" s="1"/>
  <c r="C38" i="11"/>
  <c r="C24" i="11"/>
  <c r="G31" i="11" s="1"/>
  <c r="J57" i="18"/>
  <c r="J58" i="18" s="1"/>
  <c r="J60" i="18" s="1"/>
  <c r="E209" i="18"/>
  <c r="E210" i="18"/>
  <c r="E214" i="18" s="1"/>
  <c r="E219" i="18" s="1"/>
  <c r="D219" i="18"/>
  <c r="F6" i="25" l="1"/>
  <c r="I19" i="20"/>
  <c r="I21" i="20" s="1"/>
  <c r="I15" i="20"/>
  <c r="I12" i="26" s="1"/>
  <c r="D17" i="25"/>
  <c r="G208" i="18"/>
  <c r="J65" i="18"/>
  <c r="J67" i="18" s="1"/>
  <c r="J61" i="18"/>
  <c r="F74" i="18"/>
  <c r="I17" i="22"/>
  <c r="F200" i="18"/>
  <c r="F201" i="18" s="1"/>
  <c r="G6" i="22"/>
  <c r="G12" i="22" s="1"/>
  <c r="G27" i="20"/>
  <c r="G28" i="20"/>
  <c r="J41" i="21"/>
  <c r="J42" i="21" s="1"/>
  <c r="J12" i="20"/>
  <c r="J14" i="20" s="1"/>
  <c r="F6" i="22"/>
  <c r="F12" i="22" s="1"/>
  <c r="F27" i="20"/>
  <c r="F29" i="21" s="1"/>
  <c r="G29" i="21" s="1"/>
  <c r="I69" i="18"/>
  <c r="I70" i="18" s="1"/>
  <c r="G190" i="18"/>
  <c r="G189" i="18"/>
  <c r="G202" i="18"/>
  <c r="H7" i="21"/>
  <c r="H14" i="21" s="1"/>
  <c r="I14" i="23"/>
  <c r="I17" i="23" s="1"/>
  <c r="I10" i="22"/>
  <c r="F11" i="25"/>
  <c r="F210" i="18"/>
  <c r="F214" i="18" s="1"/>
  <c r="F209" i="18"/>
  <c r="J179" i="18"/>
  <c r="G213" i="18"/>
  <c r="J9" i="22"/>
  <c r="J16" i="22"/>
  <c r="J93" i="18"/>
  <c r="J96" i="18" s="1"/>
  <c r="J132" i="18" s="1"/>
  <c r="J139" i="18" s="1"/>
  <c r="I132" i="18"/>
  <c r="I139" i="18" s="1"/>
  <c r="G10" i="25"/>
  <c r="J15" i="22"/>
  <c r="J17" i="22" s="1"/>
  <c r="E8" i="25"/>
  <c r="E12" i="25" s="1"/>
  <c r="E17" i="25" s="1"/>
  <c r="E7" i="25"/>
  <c r="H23" i="20"/>
  <c r="H24" i="20" s="1"/>
  <c r="H26" i="20"/>
  <c r="G38" i="11"/>
  <c r="E38" i="11"/>
  <c r="H38" i="11" s="1"/>
  <c r="H40" i="11" s="1"/>
  <c r="H41" i="11" s="1"/>
  <c r="J186" i="18"/>
  <c r="J7" i="22"/>
  <c r="G9" i="25"/>
  <c r="J16" i="23"/>
  <c r="H175" i="18"/>
  <c r="H181" i="18" s="1"/>
  <c r="H73" i="18"/>
  <c r="H74" i="18" s="1"/>
  <c r="J10" i="23"/>
  <c r="J11" i="23" s="1"/>
  <c r="J18" i="21"/>
  <c r="H77" i="18" l="1"/>
  <c r="H76" i="18"/>
  <c r="J19" i="20"/>
  <c r="J21" i="20" s="1"/>
  <c r="J15" i="20"/>
  <c r="J12" i="26" s="1"/>
  <c r="G6" i="25"/>
  <c r="F151" i="18"/>
  <c r="F77" i="18"/>
  <c r="F76" i="18"/>
  <c r="G192" i="18"/>
  <c r="G194" i="18" s="1"/>
  <c r="H6" i="22"/>
  <c r="H12" i="22" s="1"/>
  <c r="H27" i="20"/>
  <c r="H28" i="20"/>
  <c r="F219" i="18"/>
  <c r="J69" i="18"/>
  <c r="J70" i="18" s="1"/>
  <c r="J10" i="22"/>
  <c r="G11" i="25"/>
  <c r="H153" i="18"/>
  <c r="G13" i="26"/>
  <c r="G31" i="20"/>
  <c r="G30" i="20"/>
  <c r="I72" i="18"/>
  <c r="F28" i="20"/>
  <c r="H200" i="18"/>
  <c r="H201" i="18" s="1"/>
  <c r="G31" i="22"/>
  <c r="G209" i="18"/>
  <c r="G210" i="18" s="1"/>
  <c r="G214" i="18" s="1"/>
  <c r="F202" i="18"/>
  <c r="F190" i="18"/>
  <c r="F189" i="18"/>
  <c r="F192" i="18" s="1"/>
  <c r="H29" i="21"/>
  <c r="F31" i="22"/>
  <c r="I23" i="20"/>
  <c r="I24" i="20" s="1"/>
  <c r="I26" i="20"/>
  <c r="I7" i="21"/>
  <c r="I14" i="21" s="1"/>
  <c r="J14" i="23"/>
  <c r="J17" i="23" s="1"/>
  <c r="J7" i="21" s="1"/>
  <c r="J14" i="21" s="1"/>
  <c r="F8" i="25"/>
  <c r="F12" i="25" s="1"/>
  <c r="F7" i="25"/>
  <c r="D222" i="18" l="1"/>
  <c r="D223" i="18" s="1"/>
  <c r="D225" i="18" s="1"/>
  <c r="D229" i="18" s="1"/>
  <c r="G219" i="18"/>
  <c r="D253" i="18"/>
  <c r="D250" i="18"/>
  <c r="E249" i="18"/>
  <c r="D252" i="18"/>
  <c r="G250" i="18"/>
  <c r="E251" i="18"/>
  <c r="G253" i="18"/>
  <c r="G252" i="18"/>
  <c r="F250" i="18"/>
  <c r="E253" i="18"/>
  <c r="F253" i="18"/>
  <c r="F249" i="18"/>
  <c r="D251" i="18"/>
  <c r="G249" i="18"/>
  <c r="C253" i="18"/>
  <c r="E250" i="18"/>
  <c r="C250" i="18"/>
  <c r="C249" i="18"/>
  <c r="D249" i="18"/>
  <c r="E252" i="18"/>
  <c r="C251" i="18"/>
  <c r="F252" i="18"/>
  <c r="C252" i="18"/>
  <c r="F251" i="18"/>
  <c r="G251" i="18"/>
  <c r="J23" i="20"/>
  <c r="J24" i="20" s="1"/>
  <c r="J26" i="20"/>
  <c r="F13" i="26"/>
  <c r="F31" i="20"/>
  <c r="F30" i="20"/>
  <c r="F27" i="21"/>
  <c r="G151" i="18"/>
  <c r="F152" i="18"/>
  <c r="F154" i="18" s="1"/>
  <c r="F167" i="18" s="1"/>
  <c r="G7" i="25"/>
  <c r="G8" i="25" s="1"/>
  <c r="G12" i="25" s="1"/>
  <c r="I6" i="22"/>
  <c r="I12" i="22" s="1"/>
  <c r="I27" i="20"/>
  <c r="I28" i="20"/>
  <c r="F32" i="22"/>
  <c r="F14" i="26"/>
  <c r="I175" i="18"/>
  <c r="I181" i="18" s="1"/>
  <c r="I73" i="18"/>
  <c r="I153" i="18" s="1"/>
  <c r="J72" i="18"/>
  <c r="F17" i="25"/>
  <c r="I29" i="21"/>
  <c r="G32" i="22"/>
  <c r="G14" i="26"/>
  <c r="D228" i="18"/>
  <c r="D230" i="18" s="1"/>
  <c r="H30" i="20"/>
  <c r="H13" i="26"/>
  <c r="H31" i="20"/>
  <c r="F194" i="18"/>
  <c r="F197" i="18"/>
  <c r="H190" i="18"/>
  <c r="H189" i="18"/>
  <c r="H202" i="18"/>
  <c r="H31" i="22"/>
  <c r="D20" i="25" l="1"/>
  <c r="D21" i="25" s="1"/>
  <c r="D23" i="25" s="1"/>
  <c r="D27" i="25" s="1"/>
  <c r="G17" i="25"/>
  <c r="D50" i="25"/>
  <c r="D48" i="25"/>
  <c r="C48" i="25"/>
  <c r="E48" i="25"/>
  <c r="B29" i="26" s="1"/>
  <c r="G49" i="25"/>
  <c r="C47" i="25"/>
  <c r="C49" i="25"/>
  <c r="F51" i="25"/>
  <c r="D51" i="25"/>
  <c r="E50" i="25"/>
  <c r="B31" i="26" s="1"/>
  <c r="E51" i="25"/>
  <c r="B32" i="26" s="1"/>
  <c r="G51" i="25"/>
  <c r="F48" i="25"/>
  <c r="D49" i="25"/>
  <c r="F50" i="25"/>
  <c r="G48" i="25"/>
  <c r="D47" i="25"/>
  <c r="F47" i="25"/>
  <c r="C51" i="25"/>
  <c r="G50" i="25"/>
  <c r="F49" i="25"/>
  <c r="E49" i="25"/>
  <c r="B30" i="26" s="1"/>
  <c r="G47" i="25"/>
  <c r="C50" i="25"/>
  <c r="E47" i="25"/>
  <c r="B28" i="26" s="1"/>
  <c r="J27" i="20"/>
  <c r="J28" i="20"/>
  <c r="J6" i="22"/>
  <c r="J12" i="22" s="1"/>
  <c r="H32" i="22"/>
  <c r="H14" i="26"/>
  <c r="I200" i="18"/>
  <c r="I201" i="18" s="1"/>
  <c r="H192" i="18"/>
  <c r="H194" i="18" s="1"/>
  <c r="F21" i="22"/>
  <c r="F20" i="22"/>
  <c r="F23" i="22" s="1"/>
  <c r="F33" i="22"/>
  <c r="D26" i="25"/>
  <c r="J175" i="18"/>
  <c r="J181" i="18" s="1"/>
  <c r="J73" i="18"/>
  <c r="J153" i="18" s="1"/>
  <c r="J74" i="18"/>
  <c r="I74" i="18"/>
  <c r="G27" i="21"/>
  <c r="F28" i="21"/>
  <c r="F30" i="21" s="1"/>
  <c r="F43" i="21" s="1"/>
  <c r="D236" i="18"/>
  <c r="D239" i="18" s="1"/>
  <c r="H5" i="18"/>
  <c r="F113" i="18"/>
  <c r="F118" i="18" s="1"/>
  <c r="F119" i="18" s="1"/>
  <c r="G196" i="18"/>
  <c r="G197" i="18" s="1"/>
  <c r="F144" i="18"/>
  <c r="F146" i="18" s="1"/>
  <c r="F147" i="18" s="1"/>
  <c r="F169" i="18" s="1"/>
  <c r="I30" i="20"/>
  <c r="I13" i="26"/>
  <c r="I31" i="20"/>
  <c r="D231" i="18"/>
  <c r="G20" i="22"/>
  <c r="G33" i="22"/>
  <c r="G21" i="22"/>
  <c r="J29" i="21"/>
  <c r="H151" i="18"/>
  <c r="G152" i="18"/>
  <c r="G154" i="18" s="1"/>
  <c r="G167" i="18" s="1"/>
  <c r="I31" i="22"/>
  <c r="C5" i="18" l="1"/>
  <c r="D243" i="18"/>
  <c r="I77" i="18"/>
  <c r="I76" i="18"/>
  <c r="H20" i="22"/>
  <c r="H33" i="22"/>
  <c r="H21" i="22"/>
  <c r="J31" i="22"/>
  <c r="J30" i="20"/>
  <c r="J13" i="26"/>
  <c r="J31" i="20"/>
  <c r="H27" i="21"/>
  <c r="G28" i="21"/>
  <c r="G30" i="21" s="1"/>
  <c r="G43" i="21" s="1"/>
  <c r="J200" i="18"/>
  <c r="J201" i="18" s="1"/>
  <c r="D28" i="25"/>
  <c r="B18" i="26"/>
  <c r="I190" i="18"/>
  <c r="I189" i="18"/>
  <c r="I192" i="18" s="1"/>
  <c r="I194" i="18" s="1"/>
  <c r="I202" i="18"/>
  <c r="G23" i="22"/>
  <c r="G25" i="22" s="1"/>
  <c r="H196" i="18"/>
  <c r="H197" i="18" s="1"/>
  <c r="G144" i="18"/>
  <c r="G146" i="18" s="1"/>
  <c r="G147" i="18" s="1"/>
  <c r="G169" i="18" s="1"/>
  <c r="G113" i="18"/>
  <c r="G118" i="18" s="1"/>
  <c r="G119" i="18" s="1"/>
  <c r="H152" i="18"/>
  <c r="H154" i="18" s="1"/>
  <c r="H167" i="18" s="1"/>
  <c r="I151" i="18"/>
  <c r="J77" i="18"/>
  <c r="J76" i="18"/>
  <c r="I32" i="22"/>
  <c r="I14" i="26"/>
  <c r="F25" i="22"/>
  <c r="F28" i="22"/>
  <c r="B19" i="26"/>
  <c r="D29" i="25"/>
  <c r="J32" i="22" l="1"/>
  <c r="J14" i="26"/>
  <c r="H23" i="22"/>
  <c r="H25" i="22" s="1"/>
  <c r="G27" i="22"/>
  <c r="G28" i="22" s="1"/>
  <c r="F19" i="21"/>
  <c r="F15" i="26"/>
  <c r="J151" i="18"/>
  <c r="J152" i="18" s="1"/>
  <c r="J154" i="18" s="1"/>
  <c r="J167" i="18" s="1"/>
  <c r="I152" i="18"/>
  <c r="I154" i="18" s="1"/>
  <c r="I167" i="18" s="1"/>
  <c r="J190" i="18"/>
  <c r="J189" i="18"/>
  <c r="J192" i="18" s="1"/>
  <c r="J194" i="18" s="1"/>
  <c r="J202" i="18"/>
  <c r="B20" i="26"/>
  <c r="D34" i="25"/>
  <c r="K6" i="26"/>
  <c r="E5" i="18"/>
  <c r="D244" i="18"/>
  <c r="I196" i="18"/>
  <c r="I197" i="18" s="1"/>
  <c r="H144" i="18"/>
  <c r="H146" i="18" s="1"/>
  <c r="H147" i="18" s="1"/>
  <c r="H169" i="18" s="1"/>
  <c r="H113" i="18"/>
  <c r="H118" i="18" s="1"/>
  <c r="H119" i="18" s="1"/>
  <c r="I20" i="22"/>
  <c r="I33" i="22"/>
  <c r="I21" i="22"/>
  <c r="H28" i="21"/>
  <c r="H30" i="21" s="1"/>
  <c r="H43" i="21" s="1"/>
  <c r="I27" i="21"/>
  <c r="J27" i="21" l="1"/>
  <c r="J28" i="21" s="1"/>
  <c r="J30" i="21" s="1"/>
  <c r="J43" i="21" s="1"/>
  <c r="I28" i="21"/>
  <c r="I30" i="21" s="1"/>
  <c r="I43" i="21" s="1"/>
  <c r="F11" i="24"/>
  <c r="F16" i="24" s="1"/>
  <c r="F17" i="24" s="1"/>
  <c r="F21" i="21"/>
  <c r="F22" i="21" s="1"/>
  <c r="F45" i="21" s="1"/>
  <c r="J196" i="18"/>
  <c r="J197" i="18" s="1"/>
  <c r="I144" i="18"/>
  <c r="I146" i="18" s="1"/>
  <c r="I147" i="18" s="1"/>
  <c r="I169" i="18" s="1"/>
  <c r="I113" i="18"/>
  <c r="I118" i="18" s="1"/>
  <c r="I119" i="18" s="1"/>
  <c r="G19" i="21"/>
  <c r="G15" i="26"/>
  <c r="H27" i="22"/>
  <c r="H28" i="22" s="1"/>
  <c r="I23" i="22"/>
  <c r="I25" i="22" s="1"/>
  <c r="D37" i="25"/>
  <c r="B24" i="26"/>
  <c r="J20" i="22"/>
  <c r="J33" i="22"/>
  <c r="J21" i="22"/>
  <c r="G11" i="24" l="1"/>
  <c r="G16" i="24" s="1"/>
  <c r="G17" i="24" s="1"/>
  <c r="G21" i="21"/>
  <c r="G22" i="21" s="1"/>
  <c r="G45" i="21" s="1"/>
  <c r="A6" i="26"/>
  <c r="D41" i="25"/>
  <c r="C23" i="17"/>
  <c r="H19" i="21"/>
  <c r="H15" i="26"/>
  <c r="I27" i="22"/>
  <c r="I28" i="22" s="1"/>
  <c r="J144" i="18"/>
  <c r="J146" i="18" s="1"/>
  <c r="J147" i="18" s="1"/>
  <c r="J169" i="18" s="1"/>
  <c r="J113" i="18"/>
  <c r="J118" i="18" s="1"/>
  <c r="J119" i="18" s="1"/>
  <c r="J23" i="22"/>
  <c r="J25" i="22" s="1"/>
  <c r="I19" i="21" l="1"/>
  <c r="I15" i="26"/>
  <c r="J27" i="22"/>
  <c r="J28" i="22" s="1"/>
  <c r="E6" i="26"/>
  <c r="D42" i="25"/>
  <c r="C25" i="17"/>
  <c r="H11" i="24"/>
  <c r="H16" i="24" s="1"/>
  <c r="H17" i="24" s="1"/>
  <c r="H21" i="21"/>
  <c r="H22" i="21" s="1"/>
  <c r="H45" i="21" s="1"/>
  <c r="J19" i="21" l="1"/>
  <c r="J15" i="26"/>
  <c r="I11" i="24"/>
  <c r="I16" i="24" s="1"/>
  <c r="I17" i="24" s="1"/>
  <c r="I21" i="21"/>
  <c r="I22" i="21" s="1"/>
  <c r="I45" i="21" s="1"/>
  <c r="J11" i="24" l="1"/>
  <c r="J16" i="24" s="1"/>
  <c r="J17" i="24" s="1"/>
  <c r="J21" i="21"/>
  <c r="J22" i="21" s="1"/>
  <c r="J45" i="21" s="1"/>
</calcChain>
</file>

<file path=xl/sharedStrings.xml><?xml version="1.0" encoding="utf-8"?>
<sst xmlns="http://schemas.openxmlformats.org/spreadsheetml/2006/main" count="1471" uniqueCount="791">
  <si>
    <t>INFOSYS LIMITED</t>
  </si>
  <si>
    <t>Financial Statement &amp; Valuation Analysis</t>
  </si>
  <si>
    <t>Comparative &amp; Common-Size Analysis | Ratio Analysis | Predictability Scores | DCF &amp; Comparable-Company Valuation</t>
  </si>
  <si>
    <t>Company</t>
  </si>
  <si>
    <t>Financial years covered</t>
  </si>
  <si>
    <t>FY2023-24, FY2024-25, FY2025-26 (year ended March 31); DCF forecast FY2026-27E to FY2030-31E</t>
  </si>
  <si>
    <t>Source documents</t>
  </si>
  <si>
    <t>Infosys Integrated Annual Report 2024-25; Infosys Integrated Annual Report 2025-26; Infosys IR three-year overview (IFRS); TCS/HCL Tech/Wipro/Tech Mahindra annual reports &amp; screener.in</t>
  </si>
  <si>
    <t>Market data as of</t>
  </si>
  <si>
    <t>6-12 August 2026 (NSE) — see individual sheets for exact dates/sources</t>
  </si>
  <si>
    <t>Currency / units</t>
  </si>
  <si>
    <t>All figures in ₹ Crore (1 crore = 10 million) unless stated otherwise</t>
  </si>
  <si>
    <t>Contents</t>
  </si>
  <si>
    <t>•</t>
  </si>
  <si>
    <t>Data-BS / Data-PL / Data-CF — 3-year consolidated source figures (Balance Sheet, P&amp;L, Cash Flow)</t>
  </si>
  <si>
    <t>Comparative BS — FY24-25-26, ₹ and % change, with observations</t>
  </si>
  <si>
    <t>Comparative PL — FY24-25-26, ₹ and % change, with observations</t>
  </si>
  <si>
    <t>Common-Size BS — % of Total Assets, with observations</t>
  </si>
  <si>
    <t>Common-Size PL — % of Revenue, with observations</t>
  </si>
  <si>
    <t>Trend Analysis — Index, FY24 = 100, with observations</t>
  </si>
  <si>
    <t>Ratio - Cover &amp; Notes — methodology, sources &amp; conventions for the ratio module</t>
  </si>
  <si>
    <t>Input Data — Infosys FY25/FY26 input figures (IFRS three-year overview basis)</t>
  </si>
  <si>
    <t>Ratio Analysis — all 19 ratios: Liquidity, Profitability, Efficiency, Solvency, Market — formula + calculation + interpretation</t>
  </si>
  <si>
    <t>Peer Input Data — TCS &amp; HCL Tech input figures</t>
  </si>
  <si>
    <t>Peer Comparison — Infosys vs TCS vs HCL Tech, ratio-by-ratio benchmarking</t>
  </si>
  <si>
    <t>Predictability Scores — Altman Z-Score (3-yr trend) and Beneish M-Score (FY25→FY26), with interpretation</t>
  </si>
  <si>
    <t>DCF - Cover &amp; Notes — model map &amp; headline outputs</t>
  </si>
  <si>
    <t>All-in-One DCF — entire model on one sheet (assumptions through valuation)</t>
  </si>
  <si>
    <t>Assumptions — revenue/margin/working-capital drivers, WACC build-up, terminal growth, share data</t>
  </si>
  <si>
    <t>Income Statement — FY24A-FY26A actuals &amp; FY27E-FY31E forecast</t>
  </si>
  <si>
    <t>Balance Sheet — fully linked, FY24A-FY31E</t>
  </si>
  <si>
    <t>Cash Flow — statement of cash flows &amp; FCF build</t>
  </si>
  <si>
    <t>WC &amp; PPE Schedule — working capital and fixed-asset roll-forward</t>
  </si>
  <si>
    <t>Capital Structure — debt, cash &amp; WACC support schedule</t>
  </si>
  <si>
    <t>DCF Valuation — FCFF build, EV-to-equity bridge, intrinsic value &amp; sensitivity table</t>
  </si>
  <si>
    <t>Charts &amp; Outputs — output dashboard and charts</t>
  </si>
  <si>
    <t>Comps - EV Multiples — EV/EBITDA, EV/EBIT, EV/Revenue, P/E for 4 peers (TCS, HCL Tech, Wipro, Tech Mahindra); mean/median/min/max and implied valuation of Infosys</t>
  </si>
  <si>
    <t>Note on conventions: Blue text = hardcoded source figures / inputs (cited). Black text = formulas. Green text = links pulling from another sheet. Yellow fill = key assumptions you can flex. The Ratio Analysis, Peer Comparison and full DCF modules were built and supplied directly; this workbook integrates them alongside the comparative/common-size/trend/predictability-score analysis and the EV-multiples comparable-company valuation into a single consolidated file. All formulas recalculate automatically if source or assumption cells are changed.</t>
  </si>
  <si>
    <t>Infosys Limited — Consolidated Balance Sheet (Source Data, ₹ Crore)</t>
  </si>
  <si>
    <t>Particulars</t>
  </si>
  <si>
    <t>FY2024</t>
  </si>
  <si>
    <t>FY2025</t>
  </si>
  <si>
    <t>FY2026</t>
  </si>
  <si>
    <t>ASSETS</t>
  </si>
  <si>
    <t>Non-current assets</t>
  </si>
  <si>
    <t>Property, plant and equipment</t>
  </si>
  <si>
    <t>Right-of-use assets</t>
  </si>
  <si>
    <t>Capital work-in-progress</t>
  </si>
  <si>
    <t>Goodwill</t>
  </si>
  <si>
    <t>Other intangible assets</t>
  </si>
  <si>
    <t>Non-current investments</t>
  </si>
  <si>
    <t>Loans (non-current)</t>
  </si>
  <si>
    <t>Other financial assets (non-current)</t>
  </si>
  <si>
    <t>Deferred tax assets (net)</t>
  </si>
  <si>
    <t>Income tax assets (net) - non-current</t>
  </si>
  <si>
    <t>Other non-current assets</t>
  </si>
  <si>
    <t>Total non-current assets</t>
  </si>
  <si>
    <t>Current assets</t>
  </si>
  <si>
    <t>Current investments</t>
  </si>
  <si>
    <t>Trade receivables</t>
  </si>
  <si>
    <t>Cash and cash equivalents</t>
  </si>
  <si>
    <t>Loans (current)</t>
  </si>
  <si>
    <t>Other financial assets (current)</t>
  </si>
  <si>
    <t>Income tax assets (net) - current</t>
  </si>
  <si>
    <t>Other current assets</t>
  </si>
  <si>
    <t>Total current assets</t>
  </si>
  <si>
    <t>TOTAL ASSETS</t>
  </si>
  <si>
    <t>EQUITY AND LIABILITIES</t>
  </si>
  <si>
    <t>Equity</t>
  </si>
  <si>
    <t>Equity share capital</t>
  </si>
  <si>
    <t>Other equity</t>
  </si>
  <si>
    <t>Total equity attributable to owners</t>
  </si>
  <si>
    <t>Non-controlling interests</t>
  </si>
  <si>
    <t>Total equity</t>
  </si>
  <si>
    <t>Non-current liabilities</t>
  </si>
  <si>
    <t>Lease liabilities (non-current)</t>
  </si>
  <si>
    <t>Other financial liabilities (non-current)</t>
  </si>
  <si>
    <t>Deferred tax liabilities (net)</t>
  </si>
  <si>
    <t>Other non-current liabilities</t>
  </si>
  <si>
    <t>Total non-current liabilities</t>
  </si>
  <si>
    <t>Current liabilities</t>
  </si>
  <si>
    <t>Lease liabilities (current)</t>
  </si>
  <si>
    <t>Trade payables</t>
  </si>
  <si>
    <t>Other financial liabilities (current)</t>
  </si>
  <si>
    <t>Other current liabilities</t>
  </si>
  <si>
    <t>Provisions</t>
  </si>
  <si>
    <t>Income tax liabilities (net)</t>
  </si>
  <si>
    <t>Total current liabilities</t>
  </si>
  <si>
    <t>TOTAL EQUITY AND LIABILITIES</t>
  </si>
  <si>
    <t>Source: Infosys Integrated Annual Report 2024-25 (Consolidated Balance Sheet, p.302-303) and Infosys Integrated Annual Report 2025-26 (Consolidated Balance Sheet, p.316-317), as furnished by user.</t>
  </si>
  <si>
    <t>Infosys Limited — Consolidated Statement of Profit &amp; Loss (Source Data, ₹ Crore)</t>
  </si>
  <si>
    <t>Revenue from operations</t>
  </si>
  <si>
    <t>Other income, net</t>
  </si>
  <si>
    <t>Total income</t>
  </si>
  <si>
    <t>EXPENSES</t>
  </si>
  <si>
    <t>Employee benefit expenses</t>
  </si>
  <si>
    <t>Cost of technical sub-contractors</t>
  </si>
  <si>
    <t>Travel expenses</t>
  </si>
  <si>
    <t>Cost of software packages and others</t>
  </si>
  <si>
    <t>Communication expenses</t>
  </si>
  <si>
    <t>Consultancy and professional charges</t>
  </si>
  <si>
    <t>Depreciation and amortization expenses</t>
  </si>
  <si>
    <t>Finance cost</t>
  </si>
  <si>
    <t>Other expenses</t>
  </si>
  <si>
    <t>Total expenses</t>
  </si>
  <si>
    <t>Profit before exceptional item and tax</t>
  </si>
  <si>
    <t>Exceptional item (Impact of Labour Codes)</t>
  </si>
  <si>
    <t>Profit before tax</t>
  </si>
  <si>
    <t>Current tax</t>
  </si>
  <si>
    <t>Deferred tax</t>
  </si>
  <si>
    <t>Total tax expense</t>
  </si>
  <si>
    <t>Profit for the year</t>
  </si>
  <si>
    <t>Profit attributable to owners of the Company</t>
  </si>
  <si>
    <t>Profit attributable to non-controlling interests</t>
  </si>
  <si>
    <t>EPS — Basic (₹)</t>
  </si>
  <si>
    <t>EPS — Diluted (₹)</t>
  </si>
  <si>
    <t>Weighted avg equity shares — Basic (Cr)</t>
  </si>
  <si>
    <t>Weighted avg equity shares — Diluted (Cr)</t>
  </si>
  <si>
    <t>Source: Infosys Integrated Annual Report 2024-25 &amp; 2025-26, Consolidated Statement of Profit and Loss, as furnished by user.</t>
  </si>
  <si>
    <t>Infosys Limited — Consolidated Statement of Cash Flows (Source Data, ₹ Crore)</t>
  </si>
  <si>
    <t>Net cash generated by operating activities (CFO)</t>
  </si>
  <si>
    <t>Net cash from / (used in) investing activities (CFI)</t>
  </si>
  <si>
    <t>Net cash used in financing activities (CFF)</t>
  </si>
  <si>
    <t>Net increase / (decrease) in cash and cash equivalents</t>
  </si>
  <si>
    <t>Cash and cash equivalents — opening</t>
  </si>
  <si>
    <t>Effect of exchange rate changes</t>
  </si>
  <si>
    <t>Cash and cash equivalents — closing</t>
  </si>
  <si>
    <t>Memo: Capital expenditure (PPE &amp; intangibles)</t>
  </si>
  <si>
    <t>Memo: Dividends paid (cash flow statement)</t>
  </si>
  <si>
    <t>Memo: Buyback of equity shares</t>
  </si>
  <si>
    <t>Memo: Depreciation &amp; amortization (non-cash add-back)</t>
  </si>
  <si>
    <t>Source: Infosys Integrated Annual Report 2024-25 &amp; 2025-26, Consolidated Statement of Cash Flows, as furnished by user.</t>
  </si>
  <si>
    <t>Comparative Balance Sheet — Infosys Limited (Consolidated)</t>
  </si>
  <si>
    <t>All ₹ in Crore. FY25 vs FY24 and FY26 vs FY25 shown side by side.</t>
  </si>
  <si>
    <t>Change ₹
(FY25 vs FY24)</t>
  </si>
  <si>
    <t>Change %
(FY25 vs FY24)</t>
  </si>
  <si>
    <t>Change ₹
(FY26 vs FY25)</t>
  </si>
  <si>
    <t>Change %
(FY26 vs FY25)</t>
  </si>
  <si>
    <t>Observations:</t>
  </si>
  <si>
    <t>• Total assets grew 8.0% in FY25 and a further 4.7% in FY26, driven mainly by trade receivables and cash generation, not by financial leverage — Infosys remains virtually debt-free (borrowings = Nil in all three years).</t>
  </si>
  <si>
    <t>• Goodwill rose sharply (+38.4% FY25, +19.9% FY26) reflecting continued bolt-on acquisitions (e.g., in-tech, and further deals in FY26), while capital work-in-progress swung due to campus/infrastructure build-out.</t>
  </si>
  <si>
    <t>• On the liabilities side, current liabilities grew faster than non-current liabilities in FY26 (+22.1% vs +5.1%), largely from other financial liabilities (unbilled/compensated absences accruals) and income-tax liabilities — consistent with the higher revenue base and the FY26 Labour Codes exceptional charge.</t>
  </si>
  <si>
    <t>• Equity fell in FY26 (-3.0%) despite higher profit, because of an ₹18,058 crore share buyback that reduced share capital and reserves — a capital-allocation choice, not an operating weakness.</t>
  </si>
  <si>
    <t>Comparative Statement of Profit &amp; Loss — Infosys Limited (Consolidated)</t>
  </si>
  <si>
    <t>• Revenue grew 6.1% in FY25 and accelerated to 9.6% in FY26, the strongest growth in three years, aided by large-deal ramp-ups and AI-led services.</t>
  </si>
  <si>
    <t>• Employee costs grew broadly in line with revenue (+4.0% FY25, +10.6% FY26), keeping the cost structure stable; cost of technical sub-contractors rose faster (+19.2% FY26), suggesting greater reliance on subcontracted delivery to meet demand.</t>
  </si>
  <si>
    <t>• Profit before tax grew 4.5% in FY25 but only 6.4% in FY26 net of a one-off ₹1,289 crore exceptional charge relating to the Indian Labour Codes; pre-exceptional PBT actually grew 9.8%, a cleaner read of underlying operating performance.</t>
  </si>
  <si>
    <t>• Net profit for the year rose 1.9% in FY25 and 10.2% in FY26, aided by a lower effective tax rate in FY26 (26.3% vs 28.9% in FY25) from higher deferred-tax credits.</t>
  </si>
  <si>
    <t>Common-Size Balance Sheet — Infosys Limited (Consolidated)</t>
  </si>
  <si>
    <t>Each line as % of Total Assets for that year (₹ columns link to Data-BS).</t>
  </si>
  <si>
    <t>FY2024 ₹Cr</t>
  </si>
  <si>
    <t>FY2025 ₹Cr</t>
  </si>
  <si>
    <t>FY2026 ₹Cr</t>
  </si>
  <si>
    <t>FY2024 %</t>
  </si>
  <si>
    <t>FY2025 %</t>
  </si>
  <si>
    <t>FY2026 %</t>
  </si>
  <si>
    <t>• Trade receivables are the single largest current asset, rising from 21.9% of total assets (FY24) to 22.6% (FY26) — a modest build-up consistent with revenue growth, not a red flag by itself.</t>
  </si>
  <si>
    <t>• Cash &amp; cash equivalents jumped to 16.4% of assets in FY25 (from 10.7% in FY24) after strong FCF generation, then eased to 14.2% in FY26 as ₹18,058 crore was returned via buyback and dividends exceeded operating cash growth.</t>
  </si>
  <si>
    <t>• Goodwill's share of the balance sheet rose from 5.3% (FY24) to 7.8% (FY26), reflecting inorganic growth — worth monitoring for impairment risk given it is now a meaningfully larger share of the asset base.</t>
  </si>
  <si>
    <t>• On the liabilities side, total equity as % of total assets fell from 64.2% (FY24) to 59.8% (FY26) purely due to the buyback; Infosys carries virtually no financial debt, so this does not signal rising leverage risk.</t>
  </si>
  <si>
    <t>Common-Size Statement of Profit &amp; Loss — Infosys Limited (Consolidated)</t>
  </si>
  <si>
    <t>Each line as % of Revenue from operations for that year (₹ columns link to Data-PL).</t>
  </si>
  <si>
    <t>• Employee benefit expenses are consistently the largest cost line, but its share of revenue has been declining — 53.8% (FY24) → 52.7% (FY25) → 53.2% (FY26) — indicating broadly stable but not dramatically improving cost efficiency (offshore/onsite mix, pyramid management, utilization).</t>
  </si>
  <si>
    <t>• Cost of technical sub-contractors rose from 8.0% to 8.6% of revenue over the period, indicating growing use of subcontracted delivery capacity as demand recovered — a flexible cost but typically at a margin premium versus internal staffing.</t>
  </si>
  <si>
    <t>• Net profit margin (Profit for the year / Revenue) moved from 17.1% (FY24) to 16.4% (FY25) to 16.5% (FY26) — broadly stable, with FY26 held back ~0.7pp by the one-off Labour Codes exceptional item; pre-exceptional net margin would be closer to 17.2%, a genuine improvement.</t>
  </si>
  <si>
    <t>• Finance cost as % of revenue is negligible and falling (0.31% → 0.26% → 0.23%), consistent with the company's debt-free balance sheet — the small charge is almost entirely the interest cost on lease liabilities under Ind AS 116.</t>
  </si>
  <si>
    <t>Trend Analysis — Infosys Limited (Index, FY2024 = 100)</t>
  </si>
  <si>
    <t>Each metric indexed to FY2024 = 100 to show relative growth over the 3-year window.</t>
  </si>
  <si>
    <t>Metric</t>
  </si>
  <si>
    <t>Index FY24</t>
  </si>
  <si>
    <t>Index FY25</t>
  </si>
  <si>
    <t>Index FY26</t>
  </si>
  <si>
    <t>Total assets</t>
  </si>
  <si>
    <t>Net cash from operating activities (CFO)</t>
  </si>
  <si>
    <t>• Revenue index rose from 100 (FY24) to 106.1 (FY25) to 116.3 (FY26) — growth clearly accelerated in the third year, the strongest trend signal in the dataset.</t>
  </si>
  <si>
    <t>• Profit for the year (100 → 101.9 → 112.3) trails revenue growth slightly through FY25 then catches up in FY26, showing operating leverage returning after a flattish FY25.</t>
  </si>
  <si>
    <t>• Cash and cash equivalents show the most volatile trend (100 → 165.4 → 150.2) — a spike in FY25 from strong free cash flow, partly unwound in FY26 through the ₹18,058 crore buyback and continued high dividend payout.</t>
  </si>
  <si>
    <t>• EPS trend (100 → 101.8 → 112.9) tracks profit growth closely in FY24-25 but outpaces it in FY26 (net profit index 112.3 vs EPS index 112.9) because the share buyback reduced the weighted-average share count, giving a small per-share uplift on top of underlying profit growth.</t>
  </si>
  <si>
    <t>Predictability Scores — Altman Z-Score &amp; Beneish M-Score (Infosys, Consolidated)</t>
  </si>
  <si>
    <t>Both models were designed for manufacturing / GAAP-reporting companies with inventory and are applied here as general-purpose screening tools for an asset-light IT-services firm — component definitions are adapted where noted, and results should be read as one input among several, not a standalone verdict.</t>
  </si>
  <si>
    <t>A.  ALTMAN Z-SCORE  (Original 1968 public-firm model)</t>
  </si>
  <si>
    <t>Component</t>
  </si>
  <si>
    <t>Definition / Note</t>
  </si>
  <si>
    <t>Market value of equity (proxy, current — Aug-2026, held constant across FY24-26*)</t>
  </si>
  <si>
    <t>Links to Market Cap computed on the DCF Assumptions sheet (current price × diluted shares). *Historical period-end market caps for FY24/FY25 were not in scope; using the current value means FY24/FY25 Z-scores should be read as illustrative of the accounting-driven components only — FY26 is the representative estimate.</t>
  </si>
  <si>
    <t>X1 = Working Capital / Total Assets</t>
  </si>
  <si>
    <t>Working capital = Current Assets − Current Liabilities.</t>
  </si>
  <si>
    <t>X2 = Retained Earnings* / Total Assets</t>
  </si>
  <si>
    <t>*'Other equity' (reserves &amp; retained earnings combined) used as proxy — Infosys does not separately disclose a stand-alone retained-earnings figure in the summarized consolidated balance sheet.</t>
  </si>
  <si>
    <t>X3 = EBIT / Total Assets</t>
  </si>
  <si>
    <t>EBIT = Pre-exceptional PBT + Finance cost − Other income (consistent with Ratio Analysis sheet definition).</t>
  </si>
  <si>
    <t>X4 = Market Value of Equity / Total Liabilities</t>
  </si>
  <si>
    <t>Total liabilities = Total non-current + Total current liabilities (excludes equity).</t>
  </si>
  <si>
    <t>X5 = Sales (Revenue) / Total Assets</t>
  </si>
  <si>
    <t>Asset turnover component.</t>
  </si>
  <si>
    <t>Altman Z-Score  =  1.2·X1 + 1.4·X2 + 3.3·X3 + 0.6·X4 + 1.0·X5</t>
  </si>
  <si>
    <t>Zones: Z &gt; 2.99 = Safe zone (low bankruptcy risk); 1.81 ≤ Z ≤ 2.99 = Grey zone; Z &lt; 1.81 = Distress zone.</t>
  </si>
  <si>
    <t>Zone</t>
  </si>
  <si>
    <t>Interpretation: Infosys' Altman Z-Score sits deep in the 'Safe' zone across all three years (typically 6-8x, far above the 2.99 threshold) — driven mainly by very high asset turnover (X5) and a debt-light, equity-funded balance sheet (X4), both structurally common to large IT-services exporters. The score should be read directionally rather than literally: the original model was calibrated on 1960s-70s US manufacturers, so an asset-light services company will almost always screen as very safe on this test. It is best used here to confirm the complete absence of near-term financial distress signals, which is consistent with every other ratio in this workbook (negligible leverage, strong liquidity, high interest coverage).</t>
  </si>
  <si>
    <t>B.  BENEISH M-SCORE  (Earnings-manipulation risk — FY25 vs FY26)</t>
  </si>
  <si>
    <t>Index Value (FY26 vs FY25)</t>
  </si>
  <si>
    <t>Interpretation</t>
  </si>
  <si>
    <t>DSRI — Days' Sales in Receivables Index</t>
  </si>
  <si>
    <t>&gt;1 means receivables grew faster than sales — a possible revenue-recognition red flag.</t>
  </si>
  <si>
    <t>GMI — Gross Margin Index</t>
  </si>
  <si>
    <t>&gt;1 means gross margin deteriorated y/y (prior-year margin higher) — creates incentive to manipulate earnings.</t>
  </si>
  <si>
    <t>AQI — Asset Quality Index</t>
  </si>
  <si>
    <t>&gt;1 means a growing share of assets sit outside current assets &amp; PP&amp;E (e.g., intangibles/goodwill) — potential for deferred cost capitalization.</t>
  </si>
  <si>
    <t>SGI — Sales Growth Index</t>
  </si>
  <si>
    <t>High sales growth (&gt;1) is not itself a red flag, but fast-growing firms face more pressure to sustain reported growth, which the model treats as elevated (not necessarily fraudulent) risk.</t>
  </si>
  <si>
    <t>DEPI — Depreciation Index</t>
  </si>
  <si>
    <t>&gt;1 means the depreciation rate slowed in the current year (assets depreciated more slowly) — could indicate useful lives were stretched to lift reported income.</t>
  </si>
  <si>
    <t>SGAI — SG&amp;A Index</t>
  </si>
  <si>
    <t>&gt;1 means SG&amp;A-type costs (proxied here as Communication + Consultancy + Other expenses) grew faster than sales — disproportionate overhead growth can flag deteriorating cost discipline.</t>
  </si>
  <si>
    <t>TATA — Total Accruals to Total Assets</t>
  </si>
  <si>
    <t>Higher positive accruals (profit well above operating cash flow) can indicate more aggressive/accrual-based earnings recognition. Uses FY26 net profit and FY26 CFO (col E of Data-CF).</t>
  </si>
  <si>
    <t>LVGI — Leverage Index</t>
  </si>
  <si>
    <t>&gt;1 means leverage (total liabilities/total assets) increased y/y — higher leverage can add pressure to meet debt covenants via aggressive accounting.</t>
  </si>
  <si>
    <t>M-Score  =  -4.84 + 0.920·DSRI + 0.528·GMI + 0.404·AQI + 0.892·SGI + 0.115·DEPI - 0.172·SGAI + 4.679·TATA - 0.327·LVGI</t>
  </si>
  <si>
    <t>Beneish (1999) threshold: M &gt; -1.78 flags an elevated probability of earnings manipulation; M &lt; -1.78 suggests the company is unlikely to be a manipulator.</t>
  </si>
  <si>
    <t>Verdict</t>
  </si>
  <si>
    <t>Interpretation: Infosys' Beneish M-Score for FY26 (vs FY25) comes out well below the -1.78 threshold, placing it in the 'unlikely to be a manipulator' range — consistent with a mature, Big-4-audited, IFRS/Ind-AS reporting company with stable margins and receivables that grow broadly in line with revenue. The main components worth watching are TATA (accruals) and DSRI (receivables growth vs. sales growth): both are modest here, reinforcing that FY26 profit growth was backed by genuine cash generation (CFO grew broadly alongside profit) rather than aggressive accrual recognition. As with the Altman score, this is a screening signal, not proof of the absence or presence of manipulation, and should be read alongside the qualitative disclosures in the annual report.</t>
  </si>
  <si>
    <t>Comparable Company Analysis — EV/EBITDA, EV/EBIT, EV/Revenue, P/E (FY2025-26)</t>
  </si>
  <si>
    <t>Peer set: TCS, HCL Technologies, Wipro, Tech Mahindra — 4 comparable Indian IT-services companies. All figures ₹ Crore, FY2025-26 (year ended 31-Mar-2026), consolidated. Market data as of 11-12 Aug 2026 (NSE).</t>
  </si>
  <si>
    <t>A.  PEER INPUT DATA  (₹ Crore unless noted)  — hardcoded, sourced from screener.in consolidated financials &amp; NSE market data</t>
  </si>
  <si>
    <t>Line item</t>
  </si>
  <si>
    <t>Infosys</t>
  </si>
  <si>
    <t>TCS</t>
  </si>
  <si>
    <t>HCL Tech</t>
  </si>
  <si>
    <t>Wipro</t>
  </si>
  <si>
    <t>Tech Mahindra</t>
  </si>
  <si>
    <t>Source</t>
  </si>
  <si>
    <t>Revenue (₹ Cr)</t>
  </si>
  <si>
    <t>screener.in consolidated P&amp;L, FY ended Mar-2026; Infosys linked to Data-PL</t>
  </si>
  <si>
    <t>EBIT / Operating Profit (₹ Cr)</t>
  </si>
  <si>
    <t>screener.in 'Operating Profit' (Sales − Expenses, i.e. EBIT) for peers; Infosys computed from Data-PL</t>
  </si>
  <si>
    <t>Depreciation &amp; Amortization (₹ Cr)</t>
  </si>
  <si>
    <t>screener.in depreciation line, FY ended Mar-2026</t>
  </si>
  <si>
    <t>EBITDA (₹ Cr) = EBIT + D&amp;A</t>
  </si>
  <si>
    <t>Calculated</t>
  </si>
  <si>
    <t>Net Profit (₹ Cr)</t>
  </si>
  <si>
    <t>screener.in / company FY26 consolidated net profit</t>
  </si>
  <si>
    <t>Market Capitalisation (₹ Cr)</t>
  </si>
  <si>
    <t>NSE market cap, ~11-Aug-2026 (screener.in)</t>
  </si>
  <si>
    <t>Total Debt — borrowings + lease liab. (₹ Cr)</t>
  </si>
  <si>
    <t>screener.in balance sheet 'Borrowings' line, FY ended Mar-2026 (includes lease liabilities)</t>
  </si>
  <si>
    <t>Cash &amp; Investments (₹ Cr)</t>
  </si>
  <si>
    <t>screener.in balance sheet 'Investments' line (proxy for cash + near-cash + investments), FY ended Mar-2026</t>
  </si>
  <si>
    <t>Methodology note: EV is approximated as Market Cap + Total Debt (borrowings + lease liabilities) − Cash &amp; near-cash investments, using each company's simplified consolidated balance-sheet 'Investments' line as the cash/near-cash proxy (a standard simplification for cross-company comparability given differing balance-sheet detail levels). EBIT for peers uses screener.in's 'Operating Profit' (Sales − Expenses), which is computed pre-interest and pre-other-income, consistent with the Infosys EBIT definition used throughout this workbook.</t>
  </si>
  <si>
    <t>B.  IMPLIED TRADING MULTIPLES</t>
  </si>
  <si>
    <t>Multiple</t>
  </si>
  <si>
    <t>EV / EBITDA</t>
  </si>
  <si>
    <t>EV / EBIT</t>
  </si>
  <si>
    <t>EV / Revenue</t>
  </si>
  <si>
    <t>P / E  (Price-to-Earnings)</t>
  </si>
  <si>
    <t>C.  PEER SUMMARY STATISTICS  (TCS, HCL Tech, Wipro, Tech Mahindra — excludes Infosys)</t>
  </si>
  <si>
    <t>Mean</t>
  </si>
  <si>
    <t>Median</t>
  </si>
  <si>
    <t>Minimum</t>
  </si>
  <si>
    <t>Maximum</t>
  </si>
  <si>
    <t>Infosys (actual)</t>
  </si>
  <si>
    <t>D.  IMPLIED VALUATION OF INFOSYS  (applying peer mean/median multiples to Infosys' own metrics)</t>
  </si>
  <si>
    <t>Basis</t>
  </si>
  <si>
    <t>Infosys metric (₹ Cr)</t>
  </si>
  <si>
    <t>Peer Mean ×</t>
  </si>
  <si>
    <t>Implied EV / Equity (₹ Cr, Mean)</t>
  </si>
  <si>
    <t>Peer Median ×</t>
  </si>
  <si>
    <t>Implied EV / Equity (₹ Cr, Median)</t>
  </si>
  <si>
    <t>Per-share (₹, Mean basis)</t>
  </si>
  <si>
    <t>EV / EBITDA basis (Infosys EBITDA)</t>
  </si>
  <si>
    <t>EV / EBIT basis (Infosys EBIT)</t>
  </si>
  <si>
    <t>EV / Revenue basis (Infosys Revenue)</t>
  </si>
  <si>
    <t>P/E basis (Infosys Net Profit) — direct equity value</t>
  </si>
  <si>
    <t>Average implied value per share across the 4 methods (Mean-multiple basis)</t>
  </si>
  <si>
    <t>Current market price (₹, Aug-2026) &amp; implied upside/(downside)</t>
  </si>
  <si>
    <t>• Infosys trades at a discount to peer-average multiples on EV/EBITDA and EV/EBIT — largely reflecting TCS's premium rating (scale, margins) and the broader FY26 de-rating across Indian IT stocks amid AI-disruption concerns, rather than an Infosys-specific fundamental weakness (its own margins and returns are competitive within the peer set — see Ratio Analysis).</t>
  </si>
  <si>
    <t>• Tech Mahindra's elevated EV/EBITDA and P/E multiples reflect its smaller earnings base and post-turnaround re-rating rather than superior fundamentals — a useful reminder to sense-check outlier multiples rather than apply mean/median mechanically.</t>
  </si>
  <si>
    <t>• The comparable-company approach and the DCF (see DCF Valuation sheet) should be read together: DCF captures Infosys-specific growth and margin trajectory, while the comps approach captures how the market is currently pricing the sector — convergence or divergence between the two is itself an important finding for the report.</t>
  </si>
  <si>
    <t>Basis of figures</t>
  </si>
  <si>
    <t>Consolidated financial statements as reported by each company (Infosys &amp; TCS: IFRS; HCLTech: Ind AS) for FY 2025-26 (year ended 31 March 2026). Figures in Rs. Crore unless stated as per-share data.</t>
  </si>
  <si>
    <t>Market price used</t>
  </si>
  <si>
    <t>NSE closing prices, 6-Aug-2026 (same source/date for all three companies, for comparability): Infosys Rs. 1,165.00 · TCS Rs. 2,373.00 · HCLTech Rs. 1,335.00</t>
  </si>
  <si>
    <t>Key methodology notes</t>
  </si>
  <si>
    <t>How this workbook is organised</t>
  </si>
  <si>
    <t>'Input Data' holds Infosys's raw figures with sources. 'Ratio Analysis' computes Infosys's 19 ratios with live formulas, formula text, and interpretation. 'Peer Comparison' places Infosys, TCS and HCLTech side-by-side for FY 2025-26 across the same ratio set.</t>
  </si>
  <si>
    <t>INFOSYS LIMITED — INPUT DATA (Consolidated, IFRS, Rs. Crore unless stated)</t>
  </si>
  <si>
    <t>Line Item</t>
  </si>
  <si>
    <t>Unit</t>
  </si>
  <si>
    <t>FY 2025-26
(Year ended 31-Mar-2026)</t>
  </si>
  <si>
    <t>FY 2024-25
(Year ended 31-Mar-2025)</t>
  </si>
  <si>
    <t>INCOME STATEMENT</t>
  </si>
  <si>
    <t>Revenue from Operations</t>
  </si>
  <si>
    <t>Rs. Cr</t>
  </si>
  <si>
    <t>Cost of Sales</t>
  </si>
  <si>
    <t>Gross Profit</t>
  </si>
  <si>
    <t>Calculated from rows above in this sheet (see formula in cell)</t>
  </si>
  <si>
    <t>Total Operating Expenses (S&amp;M + Admin)</t>
  </si>
  <si>
    <t>Operating Profit (EBIT)</t>
  </si>
  <si>
    <t>Other Income</t>
  </si>
  <si>
    <t>Finance Cost (Interest Expense)</t>
  </si>
  <si>
    <t>Profit Before Tax (PBT)</t>
  </si>
  <si>
    <t>Income Tax Expense</t>
  </si>
  <si>
    <t>Net Profit (Consolidated)</t>
  </si>
  <si>
    <t>Net Profit attributable to Owners of the Company</t>
  </si>
  <si>
    <t>BALANCE SHEET</t>
  </si>
  <si>
    <t>Total Assets</t>
  </si>
  <si>
    <t>Non-Current Assets</t>
  </si>
  <si>
    <t>Total Current Assets</t>
  </si>
  <si>
    <t>Net Current Assets (Working Capital)</t>
  </si>
  <si>
    <t>Total Current Liabilities</t>
  </si>
  <si>
    <t>Non-Current Liabilities</t>
  </si>
  <si>
    <t>Total Liabilities</t>
  </si>
  <si>
    <t>Total Equity (incl. Non-Controlling Interest)</t>
  </si>
  <si>
    <t>Capital Employed (Total Assets minus Current Liabilities)</t>
  </si>
  <si>
    <t>Trade Receivables (Debtors)</t>
  </si>
  <si>
    <t>Infosys Q4 FY26 IFRS-INR Financial Statements (Financial Instruments/Credit Risk note), infosys.com, 23-Apr-2026</t>
  </si>
  <si>
    <t>Inventory</t>
  </si>
  <si>
    <t>Total Debt (Lease Liabilities under Ind AS 116 — Infosys has no long-term borrowings)</t>
  </si>
  <si>
    <t>PER-SHARE &amp; MARKET DATA</t>
  </si>
  <si>
    <t>Earnings Per Share — Basic (Rs.)</t>
  </si>
  <si>
    <t>Rs.</t>
  </si>
  <si>
    <t>Weighted Average Shares Outstanding — Basic</t>
  </si>
  <si>
    <t>Crore shares</t>
  </si>
  <si>
    <t>Dividend Per Share (Interim + Final)</t>
  </si>
  <si>
    <t>Infosys dividend announcements: interim Rs.23 (Oct-2025) + final Rs.25 (Apr-2026) = Rs.48 FY26; interim Rs.21 (Oct-2024) + final Rs.22 (Apr-2025) = Rs.43 FY25</t>
  </si>
  <si>
    <t>Market Price Per Share (NSE close, 06-Aug-2026)</t>
  </si>
  <si>
    <t>NSE closing price, 6-Aug-2026 (Yahoo Finance / Bajaj Broking)</t>
  </si>
  <si>
    <t>Book Value Per Share</t>
  </si>
  <si>
    <t>Legend: yellow fill = source input figure; white fill = calculated via formula from rows above</t>
  </si>
  <si>
    <t>INFOSYS LIMITED — RATIO ANALYSIS (FY 2025-26 vs FY 2024-25, Consolidated IFRS)</t>
  </si>
  <si>
    <t>#</t>
  </si>
  <si>
    <t>Ratio</t>
  </si>
  <si>
    <t>Formula</t>
  </si>
  <si>
    <t>FY26 Calculation
(figures in Rs. Cr unless noted)</t>
  </si>
  <si>
    <t>FY 2025-26</t>
  </si>
  <si>
    <t>FY 2024-25</t>
  </si>
  <si>
    <t>LIQUIDITY RATIOS</t>
  </si>
  <si>
    <t>Current Ratio</t>
  </si>
  <si>
    <t>Current Assets ÷ Current Liabilities</t>
  </si>
  <si>
    <t>Current Assets (Rs. 1,03,489 Cr) ÷ Current Liabilities (Rs. 52,322 Cr)</t>
  </si>
  <si>
    <t>Quick Ratio</t>
  </si>
  <si>
    <t>(Current Assets − Inventory) ÷ Current Liabilities</t>
  </si>
  <si>
    <t>Inventory is nil (IT services company), so Quick Ratio ≈ Current Ratio</t>
  </si>
  <si>
    <t>Because Infosys carries no material inventory, the Quick Ratio is effectively identical to the Current Ratio. This confirms the company's liquid assets (cash, investments, receivables) alone are sufficient to cover short-term obligations without relying on inventory liquidation.</t>
  </si>
  <si>
    <t>PROFITABILITY RATIOS</t>
  </si>
  <si>
    <t>Gross Profit Margin</t>
  </si>
  <si>
    <t>Gross Profit ÷ Revenue × 100</t>
  </si>
  <si>
    <t>Gross Profit ÷ Revenue</t>
  </si>
  <si>
    <t>Gross margin held broadly steady around 30%, typical for a scaled IT-services business where employee/delivery costs dominate cost of sales. The near-flat trend shows pricing and delivery efficiency have kept pace with wage inflation and investment in AI-led delivery.</t>
  </si>
  <si>
    <t>Operating Profit Margin</t>
  </si>
  <si>
    <t>Operating Profit (EBIT) ÷ Revenue × 100</t>
  </si>
  <si>
    <t>Operating Profit ÷ Revenue</t>
  </si>
  <si>
    <t>Operating margin eased from ~21.1% to ~20.3%, mainly due to a one-off increase in gratuity/leave liability from India's new Labour Codes. Management's 'adjusted' (non-IFRS) operating margin, which excludes this one-off, held at 21% — underlying operating efficiency was broadly stable.</t>
  </si>
  <si>
    <t>Net Profit Margin</t>
  </si>
  <si>
    <t>Net Profit ÷ Revenue × 100</t>
  </si>
  <si>
    <t>Net Profit (Consolidated) ÷ Revenue</t>
  </si>
  <si>
    <t>Net margin improved slightly to ~16.5%, helped by higher other income (treasury/interest income) and a lower effective tax rate, which offset the labour-code related hit to operating profit.</t>
  </si>
  <si>
    <t>Return on Assets (ROA)</t>
  </si>
  <si>
    <t>Net Profit ÷ Total Assets × 100</t>
  </si>
  <si>
    <t>Net Profit ÷ Total Assets</t>
  </si>
  <si>
    <t>ROA improved to ~18.9% from ~18.0%, showing Infosys is generating more profit per rupee of assets employed — a services/asset-light business model naturally supports a high ROA relative to capital-intensive industries.</t>
  </si>
  <si>
    <t>Return on Equity (ROE)</t>
  </si>
  <si>
    <t>Net Profit ÷ Total Equity × 100</t>
  </si>
  <si>
    <t>Net Profit ÷ Total Equity</t>
  </si>
  <si>
    <t>ROE rose to ~31.6% from ~27.8%, boosted by the FY26 share buyback which shrank the equity base while profit grew — a strong return for shareholders, though partly a function of capital return policy rather than operating performance alone.</t>
  </si>
  <si>
    <t>Return on Capital Employed (ROCE)</t>
  </si>
  <si>
    <t>EBIT ÷ Capital Employed × 100, where Capital Employed = Total Assets − Current Liabilities</t>
  </si>
  <si>
    <t>Operating Profit ÷ Capital Employed</t>
  </si>
  <si>
    <t>ROCE of ~35% (up from ~32%) confirms Infosys deploys its long-term capital very efficiently — well above its cost of capital — consistent with an asset-light, cash-generative services model.</t>
  </si>
  <si>
    <t>EFFICIENCY / TURNOVER RATIOS</t>
  </si>
  <si>
    <t>Inventory Turnover</t>
  </si>
  <si>
    <t>Revenue ÷ Average Inventory</t>
  </si>
  <si>
    <t>Not applicable — Infosys carries no material inventory (IT services company)</t>
  </si>
  <si>
    <t>N/A</t>
  </si>
  <si>
    <t>Not a meaningful ratio for Infosys: as an IT services provider, it does not hold finished-goods or trading inventory in any significant amount. This itself is a useful observation for the report — the working-capital cycle is driven by receivables, not inventory.</t>
  </si>
  <si>
    <t>Debtors Turnover</t>
  </si>
  <si>
    <t>Revenue ÷ Trade Receivables</t>
  </si>
  <si>
    <t>Revenue ÷ Trade Receivables (Debtors)</t>
  </si>
  <si>
    <t>Debtors turnover of ~5.1x (≈72 days sales outstanding) is consistent with typical enterprise IT services billing/collection cycles. A broadly stable ratio indicates collection discipline has kept pace with revenue growth.</t>
  </si>
  <si>
    <t>Asset Turnover</t>
  </si>
  <si>
    <t>Revenue ÷ Total Assets</t>
  </si>
  <si>
    <t>Asset turnover improved slightly to ~1.15x, showing Infosys generated more revenue per rupee of total assets — a gradual efficiency gain even as the balance sheet grew (partly from acquisitions).</t>
  </si>
  <si>
    <t>Working Capital Turnover</t>
  </si>
  <si>
    <t>Revenue ÷ Net Working Capital, where Net Working Capital = Current Assets − Current Liabilities</t>
  </si>
  <si>
    <t>Revenue ÷ Net Current Assets</t>
  </si>
  <si>
    <t>Working capital turnover rose to ~3.5x from ~3.0x, indicating Infosys is generating more revenue per rupee of net working capital — partly because working capital itself shrank (higher payouts/buyback) while revenue grew, a positive efficiency signal but worth monitoring for liquidity headroom.</t>
  </si>
  <si>
    <t>SOLVENCY RATIOS</t>
  </si>
  <si>
    <t>Debt–Equity Ratio</t>
  </si>
  <si>
    <t>Total Debt ÷ Total Equity</t>
  </si>
  <si>
    <t>Total Debt (lease liabilities) ÷ Total Equity</t>
  </si>
  <si>
    <t>At ~0.10:1, Infosys is virtually debt-free — the only liability captured here is lease obligations under Ind AS 116/IFRS 16, not conventional borrowings. This reflects a very conservative capital structure and strong balance-sheet flexibility.</t>
  </si>
  <si>
    <t>Interest Coverage Ratio</t>
  </si>
  <si>
    <t>EBIT ÷ Interest Expense</t>
  </si>
  <si>
    <t>Operating Profit ÷ Finance Cost</t>
  </si>
  <si>
    <t>Interest coverage of ~85–90x is exceptionally high, confirming Infosys's finance costs (mostly lease interest) are trivial relative to operating profit — there is no meaningful risk of default on interest obligations.</t>
  </si>
  <si>
    <t>Debt Service Coverage Ratio (DSCR)</t>
  </si>
  <si>
    <t>(Net Profit + Interest + Depreciation) ÷ (Interest + Current Maturities of Debt)</t>
  </si>
  <si>
    <t>Not meaningfully computable from disclosed three-year summary data (annual depreciation not separately reported); in any case Infosys has no long-term borrowings with a fixed repayment schedule</t>
  </si>
  <si>
    <t>DSCR is not a meaningful metric for Infosys: the company has no long-term debt requiring scheduled principal and interest servicing. Its only 'debt' is lease liabilities under Ind AS 116/IFRS 16, which are routinely covered many times over by operating cash flow. This debt-free position is itself an important solvency finding for the report.</t>
  </si>
  <si>
    <t>MARKET / VALUATION RATIOS</t>
  </si>
  <si>
    <t>Earnings Per Share (EPS)</t>
  </si>
  <si>
    <t>Net Profit (Basic) ÷ Weighted Average No. of Equity Shares</t>
  </si>
  <si>
    <t>As reported by Infosys</t>
  </si>
  <si>
    <t>Basic EPS grew ~11% to Rs. 71.58, ahead of net profit growth of ~10.2%, because the share count fell slightly due to the buyback — a direct benefit to per-share earnings for continuing shareholders.</t>
  </si>
  <si>
    <t>Price–Earnings (P/E) Ratio</t>
  </si>
  <si>
    <t>Market Price per Share ÷ EPS</t>
  </si>
  <si>
    <t>Market Price (NSE, 06-Aug-2026) ÷ EPS (Basic)</t>
  </si>
  <si>
    <t>At a P/E of ~16x on FY26 earnings (against the market price of Rs. 1,165 on 6-Aug-2026), Infosys trades below its historical average multiple (which was often 22–25x), reflecting weaker sentiment toward Indian IT services amid muted global demand and AI-disruption concerns — a P/E column is shown for FY25 only to illustrate the ratio mechanics, using the same current price; it is not a historical FY25 market P/E.</t>
  </si>
  <si>
    <t>Dividend Payout Ratio</t>
  </si>
  <si>
    <t>Dividend Per Share ÷ EPS × 100</t>
  </si>
  <si>
    <t>Dividend Per Share ÷ EPS (Basic)</t>
  </si>
  <si>
    <t>Infosys paid out ~67% of FY26 earnings as dividends (Rs. 48 of Rs. 71.58 EPS), consistent with its capital allocation policy of returning up to 85% of free cash flow via dividends and buybacks — a shareholder-friendly, high-payout profile typical of mature IT services firms.</t>
  </si>
  <si>
    <t>Total Equity ÷ No. of Equity Shares Outstanding</t>
  </si>
  <si>
    <t>Total Equity ÷ Weighted Average Shares</t>
  </si>
  <si>
    <t>Book value per share fell slightly to ~Rs. 227 (from ~Rs. 232) despite profit growth, because the FY26 share buyback returned capital to shareholders and shrank the equity base faster than retained earnings could rebuild it — a deliberate capital-return outcome rather than value erosion.</t>
  </si>
  <si>
    <t>TCS &amp; HCLTECH — INPUT DATA, FY 2025-26 (Year ended 31 March 2026), Consolidated, Rs. Crore unless stated</t>
  </si>
  <si>
    <t>TCS
FY 2025-26</t>
  </si>
  <si>
    <t>HCLTech
FY 2025-26</t>
  </si>
  <si>
    <t>TCS Integrated Annual Report 2025-26 — Consolidated Statement of Profit and Loss (uploaded)</t>
  </si>
  <si>
    <t>Total Operating Expenses (excl. Finance Cost, Other Income, Exceptional Items)</t>
  </si>
  <si>
    <t>Derived: Total Expenses less Finance Costs (TCS: 2,01,410-1,227; HCLTech: 1,08,616-869)</t>
  </si>
  <si>
    <t>Calculated from rows above in this sheet</t>
  </si>
  <si>
    <t>Depreciation &amp; Amortisation</t>
  </si>
  <si>
    <t>Net Profit (Consolidated, 'Profit for the Year')</t>
  </si>
  <si>
    <t>TCS Integrated Annual Report 2025-26 — Consolidated Balance Sheet (uploaded)</t>
  </si>
  <si>
    <t>Equity attributable to Owners (excl. NCI)</t>
  </si>
  <si>
    <t>Trade Receivables — Billed (Debtors)</t>
  </si>
  <si>
    <t>Total Debt (Lease Liabilities + Borrowings, Current + Non-current)</t>
  </si>
  <si>
    <t>TCS: lease liab. 9,453(NC)+1,830(C)=11,283 (financial-instruments note); HCLTech: borrowings 37(NC)+122(C) + lease liab. 3,180(NC)+1,876(C) = 5,215</t>
  </si>
  <si>
    <t>Current Portion of Debt (for DSCR)</t>
  </si>
  <si>
    <t>TCS: current lease liabilities 1,830 + finance cost 1,227 used as annual debt-service base; HCLTech: current borrowings 122 + current lease liabilities 1,876 = 1,998</t>
  </si>
  <si>
    <t>Dividend Per Share — FY26</t>
  </si>
  <si>
    <t>TCS Annual Report 2025-26 — Dividend table: 3 interim @ Rs.11 + final Rs.31 recommended = Rs.64 for FY26</t>
  </si>
  <si>
    <t>NSE closing price, 6-Aug-2026 (Yahoo Finance)</t>
  </si>
  <si>
    <t>Book Value Per Share (Owners' Equity basis)</t>
  </si>
  <si>
    <t>Legend: yellow fill = source input figure (from uploaded annual reports); white fill = calculated via formula</t>
  </si>
  <si>
    <t>PEER COMPARISON — INFOSYS vs TCS vs HCLTECH (FY 2025-26, Consolidated)</t>
  </si>
  <si>
    <t>Ratio formulas and methodology notes are documented in the 'Ratio Analysis' and 'Cover &amp; Notes' sheets</t>
  </si>
  <si>
    <t>HCLTech</t>
  </si>
  <si>
    <t>Best in Peer Set</t>
  </si>
  <si>
    <t>ROA</t>
  </si>
  <si>
    <t>ROE</t>
  </si>
  <si>
    <t>ROCE</t>
  </si>
  <si>
    <t>Debt-Equity</t>
  </si>
  <si>
    <t>Interest Coverage</t>
  </si>
  <si>
    <t>DSCR</t>
  </si>
  <si>
    <t>—</t>
  </si>
  <si>
    <t>EPS</t>
  </si>
  <si>
    <t>P/E</t>
  </si>
  <si>
    <t>Dividend Payout</t>
  </si>
  <si>
    <t>Book Value/Share</t>
  </si>
  <si>
    <t>Notes:</t>
  </si>
  <si>
    <t>1) All figures are FY 2025-26 (year ended 31 March 2026), Consolidated financial statements, Rs. Crore basis unless a per-share/ratio figure. Market prices are NSE closes for 6-Aug-2026 (same date, same source for all three).</t>
  </si>
  <si>
    <t>2) 'Best in Peer Set' flags the strongest ratio value across the three companies for ratios where a clear directional preference exists (e.g. higher margins/returns/turnover are better; lower gearing is better). It is not shown for EPS, P/E, Dividend Payout, Book Value/Share and DSCR, which do not have a universally 'better' direction (e.g. a low P/E can reflect either undervaluation or weaker growth prospects; a high payout ratio can reflect either shareholder-friendliness or fewer reinvestment opportunities).</t>
  </si>
  <si>
    <t>3) DSCR for Infosys is marked N/A — see the 'Ratio Analysis' sheet and Cover &amp; Notes for the rationale (Infosys has no long-term debt with a fixed repayment schedule). TCS and HCLTech DSCR use the proxy formula (Net Profit + Interest + Depreciation) ÷ (Interest + Current portion of lease liabilities/borrowings), documented in 'Peer Input Data'.</t>
  </si>
  <si>
    <t>4) See 'Cover &amp; Notes' for full source citations and methodology assumptions (operating profit derivation for TCS/HCLTech, debtors definition, dividend basis for HCLTech, etc.).</t>
  </si>
  <si>
    <t>Discounted Cash Flow (DCF) Valuation Model</t>
  </si>
  <si>
    <t>Consolidated (IFRS)  |  NSE: INFY  |  BSE: 500209  |  NYSE: INFY</t>
  </si>
  <si>
    <t>Valuation date: March 31, 2026 (FY26 year-end)   |   Prepared: August 11, 2026</t>
  </si>
  <si>
    <t>0.  All-in-One DCF (single worksheet)</t>
  </si>
  <si>
    <t>1.  Assumptions</t>
  </si>
  <si>
    <t>2.  Income Statement</t>
  </si>
  <si>
    <t>3.  Balance Sheet</t>
  </si>
  <si>
    <t>4.  Cash Flow</t>
  </si>
  <si>
    <t>Consolidated Statement of Cash Flows &amp; Free Cash Flow build</t>
  </si>
  <si>
    <t>5.  WC &amp; PPE Schedule</t>
  </si>
  <si>
    <t>Working Capital and Fixed Asset (PPE) roll-forward schedules</t>
  </si>
  <si>
    <t>6.  Capital Structure</t>
  </si>
  <si>
    <t>Debt, cash &amp; WACC support schedule</t>
  </si>
  <si>
    <t>7.  DCF Valuation</t>
  </si>
  <si>
    <t>Unlevered FCFF valuation, EV-to-equity bridge, intrinsic value &amp; sensitivity</t>
  </si>
  <si>
    <t>8.  Charts &amp; Outputs</t>
  </si>
  <si>
    <t>Key output dashboard and charts</t>
  </si>
  <si>
    <t>Headline Output</t>
  </si>
  <si>
    <t>Intrinsic Value per Share</t>
  </si>
  <si>
    <t>Current Market Price (Aug 10, 2026)</t>
  </si>
  <si>
    <t>Upside / (Downside)</t>
  </si>
  <si>
    <t>WACC</t>
  </si>
  <si>
    <t>Terminal Growth Rate</t>
  </si>
  <si>
    <t>INFOSYS LIMITED — DCF VALUATION MODEL  (Single-Worksheet Edition)</t>
  </si>
  <si>
    <t>Consolidated (IFRS)  |  ₹ Crore unless stated  |  Fiscal Year ends March 31  |  Valuation date: March 31, 2026</t>
  </si>
  <si>
    <t>Intrinsic Value/Share (₹)</t>
  </si>
  <si>
    <t>Current Price (₹)</t>
  </si>
  <si>
    <t>Upside/(Downside)</t>
  </si>
  <si>
    <t>Terminal Growth</t>
  </si>
  <si>
    <t>Enterprise Value (₹cr)</t>
  </si>
  <si>
    <t>SECTION A — ASSUMPTIONS &amp; DRIVERS</t>
  </si>
  <si>
    <t>(₹ Crore, unless stated)</t>
  </si>
  <si>
    <t>FY2024A</t>
  </si>
  <si>
    <t>FY2025A</t>
  </si>
  <si>
    <t>FY2026A</t>
  </si>
  <si>
    <t>FY2027E</t>
  </si>
  <si>
    <t>FY2028E</t>
  </si>
  <si>
    <t>FY2029E</t>
  </si>
  <si>
    <t>FY2030E</t>
  </si>
  <si>
    <t>FY2031E</t>
  </si>
  <si>
    <t>1.  Revenue &amp; Margin Drivers</t>
  </si>
  <si>
    <t>Revenue growth, % y/y</t>
  </si>
  <si>
    <t>n/a</t>
  </si>
  <si>
    <t>Employee benefit expense, % of revenue</t>
  </si>
  <si>
    <t>Depreciation &amp; amortization, % of revenue</t>
  </si>
  <si>
    <t>EBIT margin (Operating margin), %</t>
  </si>
  <si>
    <t>Other income (net), % of revenue</t>
  </si>
  <si>
    <t>Finance cost, % of revenue</t>
  </si>
  <si>
    <t>Effective tax rate, %</t>
  </si>
  <si>
    <t>Non-controlling interest, % of consolidated PAT</t>
  </si>
  <si>
    <t>2.  Working Capital Assumptions</t>
  </si>
  <si>
    <t>Days Sales Outstanding — Trade receivables (days)</t>
  </si>
  <si>
    <t>Days Payable Outstanding — Trade payables (days)</t>
  </si>
  <si>
    <t>Other current assets (net operating), % of revenue</t>
  </si>
  <si>
    <t>Other current liabilities (net operating), % of revenue</t>
  </si>
  <si>
    <t>3.  Capex &amp; Payout Policy</t>
  </si>
  <si>
    <t>Capital expenditure, % of revenue</t>
  </si>
  <si>
    <t>Dividend + buyback payout, % of Free Cash Flow</t>
  </si>
  <si>
    <t>4.  Discount Rate (WACC) Build-up — single estimate, column D</t>
  </si>
  <si>
    <t>Risk-free rate (India 10-yr G-Sec yield)</t>
  </si>
  <si>
    <t>Levered Beta (Infosys)</t>
  </si>
  <si>
    <t>India equity risk premium</t>
  </si>
  <si>
    <t>Cost of equity  =  Rf + Beta × ERP</t>
  </si>
  <si>
    <t>Pre-tax cost of debt (lease discount rate proxy)</t>
  </si>
  <si>
    <t>Marginal tax rate (for after-tax cost of debt)</t>
  </si>
  <si>
    <t>After-tax cost of debt</t>
  </si>
  <si>
    <t>Weight of debt, %</t>
  </si>
  <si>
    <t>Weight of equity, %</t>
  </si>
  <si>
    <t>WACC (Weighted Average Cost of Capital)</t>
  </si>
  <si>
    <t>5.  Terminal Value &amp; Share Data</t>
  </si>
  <si>
    <t>Terminal (perpetuity) growth rate</t>
  </si>
  <si>
    <t>Check: WACC − Terminal growth rate (must be &gt; 0)</t>
  </si>
  <si>
    <t>Current share price (NSE, Aug 10, 2026)</t>
  </si>
  <si>
    <t>Diluted weighted-average shares outstanding (crore)</t>
  </si>
  <si>
    <t>Implied current market capitalization</t>
  </si>
  <si>
    <t>SECTION B — CONSOLIDATED INCOME STATEMENT</t>
  </si>
  <si>
    <t xml:space="preserve">  % growth y/y</t>
  </si>
  <si>
    <t>Operating Expenses</t>
  </si>
  <si>
    <t>Depreciation &amp; amortization expenses</t>
  </si>
  <si>
    <t>Other operating expenses (sub-contractors, travel, S&amp;M, G&amp;A)</t>
  </si>
  <si>
    <t>Total operating expenses</t>
  </si>
  <si>
    <t>EBIT (Operating Profit)</t>
  </si>
  <si>
    <t xml:space="preserve">  EBIT margin, %</t>
  </si>
  <si>
    <t>Exceptional item (Impact of Labour Codes, FY26 only)</t>
  </si>
  <si>
    <t>Profit before tax (PBT)</t>
  </si>
  <si>
    <t>Tax expense</t>
  </si>
  <si>
    <t xml:space="preserve">  Effective tax rate, %</t>
  </si>
  <si>
    <t>Profit for the year (Consolidated PAT)</t>
  </si>
  <si>
    <t>Less: Non-controlling interests</t>
  </si>
  <si>
    <t>Basic EPS (₹)</t>
  </si>
  <si>
    <t>Diluted EPS (₹)</t>
  </si>
  <si>
    <t>Basic weighted-avg shares (crore)</t>
  </si>
  <si>
    <t>Diluted weighted-avg shares (crore)</t>
  </si>
  <si>
    <t>SECTION C — WORKING CAPITAL &amp; FIXED ASSET (PPE) SCHEDULE</t>
  </si>
  <si>
    <t>1.  Working Capital Schedule</t>
  </si>
  <si>
    <t>Trade receivables  (= Revenue × DSO / 365)</t>
  </si>
  <si>
    <t>Trade payables  (= Revenue × DPO / 365)</t>
  </si>
  <si>
    <t>Other current assets, net operating</t>
  </si>
  <si>
    <t>Other current liabilities, net operating</t>
  </si>
  <si>
    <t>Net operating working capital</t>
  </si>
  <si>
    <t>(Increase)/decrease in net working capital — cash flow impact</t>
  </si>
  <si>
    <t>2.  PPE Roll-forward</t>
  </si>
  <si>
    <t>Opening PPE (net block)</t>
  </si>
  <si>
    <t>(+) Capital expenditure</t>
  </si>
  <si>
    <t>(−) Depreciation &amp; amortization</t>
  </si>
  <si>
    <t>Closing PPE (net block)</t>
  </si>
  <si>
    <t>3.  Other Fixed/Intangible Assets (held flat — no M&amp;A assumed)</t>
  </si>
  <si>
    <t>SECTION D — CAPITAL STRUCTURE SCHEDULE &amp; WACC SUPPORT</t>
  </si>
  <si>
    <t>1.  Debt-like Obligations (Infosys carries no financial borrowings — only IFRS 16 lease liabilities)</t>
  </si>
  <si>
    <t>Lease liabilities, non-current</t>
  </si>
  <si>
    <t>Lease liabilities, current</t>
  </si>
  <si>
    <t>Total debt (lease liabilities)</t>
  </si>
  <si>
    <t>2.  Cash &amp; Investments (non-operating)</t>
  </si>
  <si>
    <t>Other financial assets, current</t>
  </si>
  <si>
    <t>Other financial assets, non-current</t>
  </si>
  <si>
    <t>Total cash &amp; investments</t>
  </si>
  <si>
    <t>Net cash/(debt)</t>
  </si>
  <si>
    <t>3.  Equity Market Value &amp; Capital Weights (column D)</t>
  </si>
  <si>
    <t>Equity market value</t>
  </si>
  <si>
    <t>Debt market value (book value proxy)</t>
  </si>
  <si>
    <t>Total capital (Debt + Equity)</t>
  </si>
  <si>
    <t>SECTION E — CONSOLIDATED BALANCE SHEET</t>
  </si>
  <si>
    <t>ASSETS — Non-current</t>
  </si>
  <si>
    <t>ASSETS — Current</t>
  </si>
  <si>
    <t>EQUITY</t>
  </si>
  <si>
    <t>Other equity (reserves &amp; surplus)</t>
  </si>
  <si>
    <t>LIABILITIES — Non-current</t>
  </si>
  <si>
    <t>Lease liabilities</t>
  </si>
  <si>
    <t>LIABILITIES — Current</t>
  </si>
  <si>
    <t>Total liabilities</t>
  </si>
  <si>
    <t>Balance check (Total assets − Total equity &amp; liabilities)</t>
  </si>
  <si>
    <t>SECTION F — CONSOLIDATED STATEMENT OF CASH FLOWS</t>
  </si>
  <si>
    <t>Cash Flow from Operating Activities</t>
  </si>
  <si>
    <t>Profit for the year (consolidated, incl. NCI)</t>
  </si>
  <si>
    <t>(+) Depreciation &amp; amortization</t>
  </si>
  <si>
    <t>(+) Finance cost add-back (historical only; see note)</t>
  </si>
  <si>
    <t>see Other adj.</t>
  </si>
  <si>
    <t>(−) Other income, net</t>
  </si>
  <si>
    <t>(+/−) Change in net working capital</t>
  </si>
  <si>
    <t>Other non-cash adjustments &amp; tax paid (net)</t>
  </si>
  <si>
    <t>Cash Flow from Investing Activities</t>
  </si>
  <si>
    <t>(−) Capital expenditure</t>
  </si>
  <si>
    <t>Other investing activities, net</t>
  </si>
  <si>
    <t>Net cash from/(used in) investing activities (CFI)</t>
  </si>
  <si>
    <t>Cash Flow from Financing Activities</t>
  </si>
  <si>
    <t>(−) Dividends paid</t>
  </si>
  <si>
    <t>(−) Buyback of shares</t>
  </si>
  <si>
    <t>(−) Lease &amp; other financing, net</t>
  </si>
  <si>
    <t>Net increase/(decrease) in cash</t>
  </si>
  <si>
    <t>Effect of exchange rate changes on cash</t>
  </si>
  <si>
    <t>Cash, beginning of year</t>
  </si>
  <si>
    <t>Cash, end of year</t>
  </si>
  <si>
    <t>Memo: Free Cash Flow &amp; Payout</t>
  </si>
  <si>
    <t>Free cash flow  =  CFO − Capex</t>
  </si>
  <si>
    <t>Total shareholder payout  =  Dividends + Buyback</t>
  </si>
  <si>
    <t xml:space="preserve">  Payout, % of Free Cash Flow</t>
  </si>
  <si>
    <t>SECTION G — DISCOUNTED CASH FLOW (DCF) VALUATION</t>
  </si>
  <si>
    <t>1.  Unlevered Free Cash Flow to Firm (FCFF) Build-up</t>
  </si>
  <si>
    <t>EBIT (Operating profit)</t>
  </si>
  <si>
    <t>(−) Tax on EBIT</t>
  </si>
  <si>
    <t>NOPAT</t>
  </si>
  <si>
    <t>(+) D&amp;A</t>
  </si>
  <si>
    <t>(−) Capex</t>
  </si>
  <si>
    <t>(+/−) Change in NWC</t>
  </si>
  <si>
    <t>Unlevered FCFF</t>
  </si>
  <si>
    <t>2.  Discounting</t>
  </si>
  <si>
    <t>Discount period (n)</t>
  </si>
  <si>
    <t>Discount factor = 1/(1+WACC)^n</t>
  </si>
  <si>
    <t>PV of FCFF</t>
  </si>
  <si>
    <t>3.  Terminal Value</t>
  </si>
  <si>
    <t>Terminal-year FCFF (FY2031E)</t>
  </si>
  <si>
    <t>Terminal Value (undiscounted)</t>
  </si>
  <si>
    <t>Terminal discount factor (Year 5)</t>
  </si>
  <si>
    <t>PV of Terminal Value</t>
  </si>
  <si>
    <t>4.  Enterprise Value to Equity Value Bridge</t>
  </si>
  <si>
    <t>Sum of PV of explicit FCFF (FY27-31E)</t>
  </si>
  <si>
    <t>(+) PV of Terminal Value</t>
  </si>
  <si>
    <t>Enterprise Value</t>
  </si>
  <si>
    <t xml:space="preserve">  TV as % of EV</t>
  </si>
  <si>
    <t>(+) Cash &amp; investments (Mar 31, 2026)</t>
  </si>
  <si>
    <t>(−) Total debt (lease liabilities)</t>
  </si>
  <si>
    <t>(−) Non-controlling interests</t>
  </si>
  <si>
    <t>Equity Value attributable to owners</t>
  </si>
  <si>
    <t>÷ Diluted shares outstanding (crore)</t>
  </si>
  <si>
    <t>INTRINSIC VALUE PER SHARE (₹)</t>
  </si>
  <si>
    <t>5.  Valuation vs. Market</t>
  </si>
  <si>
    <t>Current market price</t>
  </si>
  <si>
    <t>Upside/(Downside), %</t>
  </si>
  <si>
    <t>6.  Sensitivity — Intrinsic Value/Share (₹): WACC (rows) × Terminal Growth (cols)</t>
  </si>
  <si>
    <t>WACC / g</t>
  </si>
  <si>
    <t>Note: Unlevered FCFF = EBIT×(1-tax)+D&amp;A-Capex+/-ΔNWC, discounted at WACC; Terminal Value uses Gordon Growth. Equity Value = EV + Cash &amp; Investments - Total Debt - NCI, divided by diluted shares. Sensitivity table re-derives Equity Value at each WACC/terminal-growth combination holding the explicit FCFF forecast constant.</t>
  </si>
  <si>
    <t>Infosys Limited — DCF Valuation Model</t>
  </si>
  <si>
    <t>Assumptions &amp; Drivers   |   Fiscal Year ends March 31   |   Consolidated (IFRS), ₹ Crore unless stated</t>
  </si>
  <si>
    <t>Valuation date:</t>
  </si>
  <si>
    <t>March 31, 2026 (FY26 year-end; latest reported balance sheet date)</t>
  </si>
  <si>
    <t>Source documents:</t>
  </si>
  <si>
    <t>Infosys Integrated Annual Report 2025-26 (audited consolidated financials, FY26/FY25); Infosys Integrated Annual Report 2024-25 (FY24 comparatives)</t>
  </si>
  <si>
    <t>FY27E-31E: Infosys FY27 guidance is 1.5%-3.0% revenue growth in constant currency, margin 20-22% (Infosys Q1 FY27 press release, Jul 23 2026). Reported (INR) growth assumed higher than CC guidance to reflect historical INR depreciation effect and further AI-led deal ramp-up; converges toward long-run IT services growth.</t>
  </si>
  <si>
    <t>FY24-26: Employee benefit expense / Revenue from operations, per Consolidated P&amp;L (AR 2025-26, p.317; AR 2024-25, p.303). Forecast held near FY26 actual (53.2%).</t>
  </si>
  <si>
    <t>FY24-26: Depreciation &amp; amortization expense / Revenue, per Consolidated P&amp;L. Forecast assumes gradual scale efficiency (2.7%).</t>
  </si>
  <si>
    <t>EBIT margin (Operating margin), % of revenue</t>
  </si>
  <si>
    <t>FY24-26: (Revenue - Total expenses excl. finance cost) / Revenue, computed from Consolidated P&amp;L. Forecast aligned to management FY27 operating margin guidance of 20%-22% (Infosys Q1 FY27 press release), trending to top of range by FY31E.</t>
  </si>
  <si>
    <t>FY24-26: Other income, net / Revenue, per Consolidated P&amp;L. Forecast held near recent-year average.</t>
  </si>
  <si>
    <t>FY24-26: Finance cost / Revenue, per Consolidated P&amp;L (lease interest under Ind AS 116 / IFRS 16). Forecast held broadly flat.</t>
  </si>
  <si>
    <t>FY24-26: Tax expense / Profit before tax, per Consolidated P&amp;L. Forecast at 3-yr historical average (~27%).</t>
  </si>
  <si>
    <t>FY24-26: Non-controlling interests / Profit for the year, per Consolidated P&amp;L. Immaterial; held flat.</t>
  </si>
  <si>
    <t>FY24-26: Trade receivables / Revenue x 365, per Consolidated Balance Sheet &amp; P&amp;L. Forecast held at 3-yr average (~71 days).</t>
  </si>
  <si>
    <t>FY24-26: Trade payables / Revenue x 365. Forecast held at 3-yr average (~9.5 days).</t>
  </si>
  <si>
    <t>FY24-26: (Loans + Other financial assets + Other assets + Income tax assets, current) / Revenue, per Consolidated Balance Sheet. Forecast held near FY26 level.</t>
  </si>
  <si>
    <t>FY24-26: (Other financial liabilities + Other liabilities + Provisions + Income tax liabilities, current) / Revenue. Forecast held near FY26 level.</t>
  </si>
  <si>
    <t>3.  Capex &amp; Fixed Asset Assumptions</t>
  </si>
  <si>
    <t>FY24-26: Expenditure on PPE &amp; intangibles (net) / Revenue, per Consolidated Statement of Cash Flows. Forecast held near 3-yr average (~1.5%).</t>
  </si>
  <si>
    <t>4.  Capital Allocation / Payout Policy</t>
  </si>
  <si>
    <t>Dividend + buyback payout, % of Free Cash Flow (CFO less capex)</t>
  </si>
  <si>
    <t>Per policy</t>
  </si>
  <si>
    <t>Per Infosys' stated Capital Allocation Policy: return ~85% of free cash flow (FY25-FY29) cumulatively via dividends and/or buybacks (AR 2025-26, p.7 &amp; p.~15). Applied annually here for modeling simplicity.</t>
  </si>
  <si>
    <t>5.  Discount Rate (WACC) Build-up</t>
  </si>
  <si>
    <t>India 10-year G-Sec benchmark yield, ~6.8% (Aug 2026; Trading Economics / RBI market data).</t>
  </si>
  <si>
    <t>Levered Beta (Infosys, vs. NIFTY/broad market)</t>
  </si>
  <si>
    <t>Estimated levered beta for Infosys (large-cap, low-leverage IT services exporter) vs. broad Indian equity market; typical published beta range 0.7-0.9.</t>
  </si>
  <si>
    <t>India long-run equity risk premium, ~7.0-8.0% (Damodaran India country risk premium framework, applied over risk-free rate).</t>
  </si>
  <si>
    <t>Proxy for Infosys' marginal borrowing/lease discount rate; company carries no financial debt (debt-free), so this reflects the discount rate used for lease liabilities under Ind AS 116.</t>
  </si>
  <si>
    <t>Same as effective tax rate assumption above, for consistency.</t>
  </si>
  <si>
    <t>Weight of debt, % (Total lease liabilities / (Debt+Equity mkt value))</t>
  </si>
  <si>
    <t>Total lease liabilities (current+non-current) / (Lease liabilities + Equity market value) — see Capital Structure Schedule. Infosys carries no financial borrowings; only IFRS 16 lease liabilities.</t>
  </si>
  <si>
    <t>6.  Terminal Value Assumptions</t>
  </si>
  <si>
    <t>Long-run nominal terminal growth assumption for a mature global IT services franchise — approximates long-run nominal GDP/IT services spend growth. Held below WACC to ensure convergence.</t>
  </si>
  <si>
    <t>7.  Share &amp; Market Data</t>
  </si>
  <si>
    <t>Infosys Ltd (NSE: INFY) closing share price, Aug 10, 2026 (Bajaj Broking / Kotak Neo market data).</t>
  </si>
  <si>
    <t>Diluted weighted-average shares outstanding, FY26, per Consolidated P&amp;L EPS note (AR 2025-26, p.318). Closing shares post FY26 buyback ≈ 404.8 crore (Equity share capital ₹2,024 cr ÷ ₹5 face value).</t>
  </si>
  <si>
    <t>Consolidated Income Statement (IFRS)   |   ₹ Crore, except per-share data   |   Fiscal Year ends March 31</t>
  </si>
  <si>
    <t>Note: Historical (FY24A-FY26A) figures are as reported in the Consolidated Statement of Profit and Loss, Infosys Integrated Annual Reports 2025-26 (p.318-319) and 2024-25 (p.304-305). "Other operating expenses" aggregates cost of technical sub-contractors, travel, cost of software packages, communication, consultancy &amp; professional charges, and other expenses. Forecast years (FY27E-FY31E) are driven by the Assumptions &amp; Drivers tab.</t>
  </si>
  <si>
    <t>Consolidated Balance Sheet (IFRS)   |   ₹ Crore   |   As at March 31</t>
  </si>
  <si>
    <t>Other non-current assets (loans, other fin. assets, DTA, tax assets, other)</t>
  </si>
  <si>
    <t>Other current assets (loans, other fin. assets, tax assets, other)</t>
  </si>
  <si>
    <t>Other non-current liabilities (other fin. liab., DTL, other)</t>
  </si>
  <si>
    <t>Other current liabilities (other fin. liab., other, provisions, tax liab.)</t>
  </si>
  <si>
    <t>Note: Forecast (FY27E-FY31E) balance sheet is fully linked — PPE and working-capital lines flow from the WC &amp; PPE Schedule tab; cash flows from the Cash Flow Statement tab; equity rolls forward with net income less the 85% FCF payout policy. Non-current investments, other non-current/current "other" assets &amp; liabilities, lease liabilities and share capital are held flat at FY26A levels (no new debt, M&amp;A or share issuance assumed). Historical (FY24A-FY26A) figures per Consolidated Balance Sheet, Infosys Integrated Annual Reports 2025-26 (p.316-317) and 2024-25 (p.302-303).</t>
  </si>
  <si>
    <t>Consolidated Statement of Cash Flows (IFRS)   |   ₹ Crore   |   Fiscal Year ends March 31</t>
  </si>
  <si>
    <t>(+) Finance cost (non-cash add-back; lease interest)</t>
  </si>
  <si>
    <t>(−) Other income, net (investing-related, excluded from CFO)</t>
  </si>
  <si>
    <t>(−) Purchase of property, plant, equipment &amp; intangibles (capex)</t>
  </si>
  <si>
    <t>Other investing activities, net (investment purchases/sales, interest received, M&amp;A)</t>
  </si>
  <si>
    <t>(−) Payment of lease liabilities &amp; other financing, net</t>
  </si>
  <si>
    <t>Cash and cash equivalents, beginning of year</t>
  </si>
  <si>
    <t>Cash and cash equivalents, end of year</t>
  </si>
  <si>
    <t>Memo: Free Cash Flow (for Capital Allocation Policy)</t>
  </si>
  <si>
    <t>Note: Historical (FY24A-FY26A) CFO/CFI/CFF totals are as reported in the Consolidated Statement of Cash Flows, Infosys Integrated Annual Reports 2025-26 (p.325-326) and 2024-25 (p.310-311); intermediate reconciling lines are shown net as 'Other adjustments' for fidelity to the audited statement. Forecast years build CFO from Net Income + D&amp;A + Finance cost add-back − Other income (moved to investing) +/− change in net working capital (from the WC &amp; PPE Schedule); CFI reflects capex net of other income treated as investment yield; CFF reflects the 85% free-cash-flow payout policy (Assumptions tab), split illustratively 60% dividends / 40% buyback. Ending cash flows through to the Balance Sheet.</t>
  </si>
  <si>
    <t>Working Capital &amp; Fixed Asset (PPE) Schedule   |   ₹ Crore   |   Fiscal Year ends March 31</t>
  </si>
  <si>
    <t>Other current assets, net operating  (= Revenue × % assumption)</t>
  </si>
  <si>
    <t>Other current liabilities, net operating  (= Revenue × % assumption)</t>
  </si>
  <si>
    <t>(Increase) / decrease in net working capital — cash flow impact</t>
  </si>
  <si>
    <t>2.  Property, Plant &amp; Equipment (PPE) Roll-forward</t>
  </si>
  <si>
    <t>Opening PPE (gross block, net of depreciation)</t>
  </si>
  <si>
    <t>(+) Capital expenditure  (= Revenue × Capex % assumption)</t>
  </si>
  <si>
    <t>(−) Depreciation &amp; amortization (from Income Statement)</t>
  </si>
  <si>
    <t>3.  Other Fixed / Intangible Assets (held flat — no M&amp;A assumed in forecast)</t>
  </si>
  <si>
    <t>Note: Trade receivables and payables are forecast using Days Sales/Payable Outstanding on the Assumptions tab; other net operating current assets/liabilities are forecast as a % of revenue. PPE rolls forward from the FY26A closing balance using assumption-driven capex less Income-Statement depreciation &amp; amortization. Capital work-in-progress, right-of-use assets, goodwill and other intangibles are held flat at FY26A levels for the explicit forecast period — i.e., no new acquisitions, leases or impairments are assumed. FY24A-FY26A figures per Consolidated Balance Sheet and Statement of Cash Flows, Infosys Integrated Annual Reports 2025-26 and 2024-25.</t>
  </si>
  <si>
    <t>Capital Structure Schedule &amp; WACC Support   |   ₹ Crore   |   As at March 31, 2026 (unless noted)</t>
  </si>
  <si>
    <t>Other financial assets, current (deposits, etc.)</t>
  </si>
  <si>
    <t>Other financial assets, non-current (deposits, etc.)</t>
  </si>
  <si>
    <t>Net cash / (debt)  =  Total cash &amp; investments − Total debt</t>
  </si>
  <si>
    <t>3.  Equity Market Value &amp; Capital Weights</t>
  </si>
  <si>
    <t>Equity market value (current share price × diluted shares)</t>
  </si>
  <si>
    <t>Debt market value (lease liabilities, book value proxy)</t>
  </si>
  <si>
    <t>Weight of debt, %  =  Debt / Total capital</t>
  </si>
  <si>
    <t>Weight of equity, %  =  Equity / Total capital</t>
  </si>
  <si>
    <t>4.  Credit Profile Commentary</t>
  </si>
  <si>
    <t>Infosys has maintained a debt-free balance sheet across FY24-FY26, funding operations, capex and shareholder returns entirely from internally generated cash flow. The only liabilities resembling debt are IFRS 16 / Ind AS 116 lease liabilities relating to leased office premises. Given the absence of financial borrowings, WACC in this model is driven predominantly by the cost of equity, with a small weighting to the after-tax cost of the lease obligation. This is consistent with Infosys’ stated AAA-rated, debt-free capital allocation philosophy (Infosys Integrated Annual Report 2025-26).</t>
  </si>
  <si>
    <t>Discounted Cash Flow (Unlevered FCFF) Valuation Summary   |   ₹ Crore, except per-share data</t>
  </si>
  <si>
    <t>(−) Tax on EBIT  (at effective tax rate)</t>
  </si>
  <si>
    <t>NOPAT (EBIT after tax)</t>
  </si>
  <si>
    <t>Unlevered Free Cash Flow to Firm (FCFF)</t>
  </si>
  <si>
    <t>Discount period (years from valuation date)</t>
  </si>
  <si>
    <t>Discount factor  =  1 / (1+WACC)^n</t>
  </si>
  <si>
    <t>Present value of FCFF</t>
  </si>
  <si>
    <t>Terminal Value (undiscounted)  =  FCFF×(1+g) / (WACC−g)</t>
  </si>
  <si>
    <t>Present value of Terminal Value</t>
  </si>
  <si>
    <t>Sum of PV of explicit-period FCFF (FY27E-FY31E)</t>
  </si>
  <si>
    <t xml:space="preserve">  Terminal Value as % of Enterprise Value</t>
  </si>
  <si>
    <t>(+) Cash &amp; investments (non-operating, as at Mar 31, 2026)</t>
  </si>
  <si>
    <t>(−) Total debt (lease liabilities, as at Mar 31, 2026)</t>
  </si>
  <si>
    <t>(−) Non-controlling interests (as at Mar 31, 2026)</t>
  </si>
  <si>
    <t>Intrinsic Value per Share (₹)</t>
  </si>
  <si>
    <t>5.  Valuation Football Field vs. Market Price</t>
  </si>
  <si>
    <t>Current market price (Aug 10, 2026)</t>
  </si>
  <si>
    <t>Upside / (Downside) to intrinsic value, %</t>
  </si>
  <si>
    <t>6.  Sensitivity — Intrinsic Value per Share (₹)</t>
  </si>
  <si>
    <t>Intrinsic Value per Share (₹) — WACC (rows) × Terminal Growth Rate (columns)</t>
  </si>
  <si>
    <t>Sensitivity table recomputes Enterprise Value and Equity Value at each WACC/terminal-growth-rate combination, holding the explicit-period FCFF forecast (FY27E-FY31E) constant, then divides by diluted shares outstanding. Base case (highlighted) matches Section 4 above.</t>
  </si>
  <si>
    <t>Charts &amp; Key Outputs Summary</t>
  </si>
  <si>
    <t>Intrinsic Value / Share</t>
  </si>
  <si>
    <t>Current Market Price</t>
  </si>
  <si>
    <t>Enterprise Value (₹ cr)</t>
  </si>
  <si>
    <t>Chart Data Tables (feed the charts below — do not delete)</t>
  </si>
  <si>
    <t>Revenue (₹ cr)</t>
  </si>
  <si>
    <t>EBIT margin (%)</t>
  </si>
  <si>
    <t>PAT attributable to owners (₹ cr)</t>
  </si>
  <si>
    <t>Free Cash Flow (₹ cr)</t>
  </si>
  <si>
    <t>Cash &amp; investments, closing (₹ cr)</t>
  </si>
  <si>
    <t>Valuation Bridge Data</t>
  </si>
  <si>
    <t>PV of Explicit FCFF (FY27-31)</t>
  </si>
  <si>
    <t>(+) Cash &amp; Investments</t>
  </si>
  <si>
    <t>(-) Total Debt</t>
  </si>
  <si>
    <t>(-) NCI</t>
  </si>
  <si>
    <t>Equity Value</t>
  </si>
  <si>
    <t>WACC Sensitivity Data (at base terminal growth)</t>
  </si>
  <si>
    <t>Infosys Limited (NSE/BSE: INFY) - Consolidated financial statements</t>
  </si>
  <si>
    <t xml:space="preserve">  Comparative &amp; Common-Size Analysis, Trend Analysis</t>
  </si>
  <si>
    <t xml:space="preserve">  Ratio Analysis</t>
  </si>
  <si>
    <t xml:space="preserve">  Predictability Scores</t>
  </si>
  <si>
    <t xml:space="preserve">  Valuation - Method 1: DCF</t>
  </si>
  <si>
    <t xml:space="preserve">  Valuation - Method 2: Comparable Companies</t>
  </si>
  <si>
    <t>INFOSYS LIMITED - FINANCIAL RATIO ANALYSIS</t>
  </si>
  <si>
    <t>Financial Statement Analysis &amp; Valuation (FSAV) Project - incl. Peer Comparison vs TCS &amp; HCLTech</t>
  </si>
  <si>
    <t>Infosys Limited (NSE: INFY, BSE: 500209, NYSE ADR: INFY) - Peers: Tata Consultancy Services (TCS) and HCL Technologies (HCLTech)</t>
  </si>
  <si>
    <t>Infosys IR - Three-Year Overview (IFRS, Consolidated INR Basis): P&amp;L Data &amp; Balance Sheet Data, infosys.com/investors/reports-filings/financials/ ; Infosys Q4/FY26 IFRS-INR results, 23-Apr-2026; dividend announcements</t>
  </si>
  <si>
    <t>TCS Integrated Annual Report 2025-26 - Consolidated Balance Sheet &amp; Consolidated Statement of Profit and Loss (as uploaded), and the Directors' Report dividend table</t>
  </si>
  <si>
    <t>HCLTech Integrated Annual Report 2025-26 - Consolidated Balance Sheet &amp; Consolidated Statement of Profit and Loss (as uploaded), Note 3.27 (EPS), and the Directors' Report dividend table</t>
  </si>
  <si>
    <t>1) Infosys and TCS carry no material inventory beyond token amounts; HCLTech's inventory (mainly hardware/stock-in-trade) is small relative to revenue - all three are people-driven services businesses, so Quick Ratio is close to the Current Ratio for each.
2) None of the three companies carries material long-term financial borrowings; 'Total Debt' used in the Debt-Equity Ratio is predominantly lease liabilities recognised under Ind AS 116 / IFRS 16 (plus token working-capital borrowings for HCLTech).
3) Operating Profit (EBIT) for TCS and HCLTech is derived as Revenue from Operations − Total Operating Expenses excluding Finance Costs, Other Income and Exceptional Items - the same concept as Infosys's directly-disclosed 'Operating Profit' line, so the three are comparable.
4) Debtors = billed Trade Receivables (excludes unbilled revenue, shown separately by all three companies).
5) Debt Service Coverage Ratio = (Net Profit + Interest + Depreciation) ÷ (Interest + Current portion of lease liabilities/borrowings) - a reasonable proxy given none of the three has conventional term loans with fixed repayment schedules.
6) Net Profit Margin, ROA and ROE use Net Profit before minority-interest split (i.e. consolidated Profit for the Year) over Total Assets / Total Equity (both inclusive of non-controlling interests) for a like-for-like basis across all three companies.
7) Dividend Per Share: Infosys and TCS = interim(s) + final dividend declared for FY26; HCLTech pays only interim dividends through the year (no final) — the Rs. 54/share figure used is dividends actually paid during FY 2025-26 per its Directors' Report; a further Rs. 24/share interim was declared in April 2026 but is explicitly attributed by HCLTech to FY 2026-27.</t>
  </si>
  <si>
    <t>Primary sources - HCLTech</t>
  </si>
  <si>
    <t>Primary sources - TCS</t>
  </si>
  <si>
    <t>Primary sources - Infosys</t>
  </si>
  <si>
    <t>Infosys IR  Three-Year Overview (IFRS): P&amp;L Data, infosys.com/investors/reports-filings/financials/profit-loss-data.html</t>
  </si>
  <si>
    <t>Infosys IR - Three-Year Overview (IFRS): P&amp;L Data, infosys.com/investors/reports-filings/financials/profit-loss-data.html</t>
  </si>
  <si>
    <t>Infosys IR - Three-Year Overview (IFRS): Balance Sheet Data, infosys.com/investors/reports-filings/financials/balance-sheet-data.html</t>
  </si>
  <si>
    <t>Not applicable - IT services company; Infosys carries no material inventory</t>
  </si>
  <si>
    <t>StockAnalysis.com (Fiscal.ai) balance sheet - lease-liability breakdown, retrieved 06-Aug-2026</t>
  </si>
  <si>
    <t>At ~1.98:1, Infosys holds nearly twice its current liabilities in current assets - a comfortably liquid position, well above the conventional 2:1 benchmark in FY25 and just under it in FY26. The modest FY26 dip mainly reflects cash deployed for the share buyback and higher dividend payouts; short-term solvency remains strong.</t>
  </si>
  <si>
    <t>Entire model - assumptions through valuation - consolidated on ONE sheet for easy printing/scanning</t>
  </si>
  <si>
    <t>Assumptions &amp; Drivers - revenue, margin, working capital, WACC, terminal growth, share data</t>
  </si>
  <si>
    <t>Consolidated Income Statement - FY24A-FY26A actuals &amp; FY27E-FY31E forecast</t>
  </si>
  <si>
    <t>Consolidated Balance Sheet - fully linked, FY24A-FY31E</t>
  </si>
  <si>
    <t>Infosys Limited - DCF Valuation Model</t>
  </si>
  <si>
    <t>Enterprise Value (₹ Cr) = MCap + Debt -CASH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</si>
</sst>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00;\(#,##0.00\);\-"/>
    <numFmt numFmtId="166" formatCode="#,##0.0"/>
    <numFmt numFmtId="167" formatCode="0.0%;\(0.0%\);\-"/>
    <numFmt numFmtId="168" formatCode="0.0"/>
    <numFmt numFmtId="169" formatCode="0.000"/>
    <numFmt numFmtId="170" formatCode="0.00\x"/>
    <numFmt numFmtId="171" formatCode="\₹#,##0.00"/>
    <numFmt numFmtId="172" formatCode="&quot;Rs. &quot;0.00"/>
    <numFmt numFmtId="173" formatCode="#,##0.00&quot; ₹&quot;"/>
    <numFmt numFmtId="174" formatCode="0.0%"/>
    <numFmt numFmtId="175" formatCode="0.00%;\(0.00%\);\-"/>
    <numFmt numFmtId="176" formatCode="0.0&quot; days&quot;"/>
    <numFmt numFmtId="177" formatCode="0.0000"/>
  </numFmts>
  <fonts count="62" x14ac:knownFonts="1">
    <font>
      <sz val="11"/>
      <color theme="1"/>
      <name val="Calibri"/>
      <family val="2"/>
      <charset val="1"/>
    </font>
    <font>
      <sz val="10"/>
      <name val="Arial"/>
      <family val="2"/>
    </font>
    <font>
      <b/>
      <sz val="26"/>
      <color rgb="FF1F3864"/>
      <name val="Calibri"/>
      <family val="2"/>
    </font>
    <font>
      <i/>
      <sz val="16"/>
      <color rgb="FF404040"/>
      <name val="Calibri"/>
      <family val="2"/>
    </font>
    <font>
      <sz val="11"/>
      <color rgb="FF404040"/>
      <name val="Calibri"/>
      <family val="2"/>
    </font>
    <font>
      <b/>
      <sz val="10"/>
      <color rgb="FF000000"/>
      <name val="Calibri"/>
      <family val="2"/>
    </font>
    <font>
      <sz val="10"/>
      <color rgb="FF000000"/>
      <name val="Calibri"/>
      <family val="2"/>
    </font>
    <font>
      <b/>
      <sz val="13"/>
      <color rgb="FF1F3864"/>
      <name val="Calibri"/>
      <family val="2"/>
    </font>
    <font>
      <b/>
      <sz val="11"/>
      <color rgb="FFFFFFFF"/>
      <name val="Calibri"/>
      <family val="2"/>
    </font>
    <font>
      <sz val="9.5"/>
      <color rgb="FF000000"/>
      <name val="Calibri"/>
      <family val="2"/>
    </font>
    <font>
      <i/>
      <sz val="9"/>
      <color rgb="FF595959"/>
      <name val="Calibri"/>
      <family val="2"/>
    </font>
    <font>
      <b/>
      <sz val="16"/>
      <color rgb="FFFFFFFF"/>
      <name val="Calibri"/>
      <family val="2"/>
    </font>
    <font>
      <b/>
      <sz val="10"/>
      <color rgb="FF1F3864"/>
      <name val="Calibri"/>
      <family val="2"/>
    </font>
    <font>
      <sz val="10"/>
      <color rgb="FF0000FF"/>
      <name val="Calibri"/>
      <family val="2"/>
    </font>
    <font>
      <i/>
      <sz val="8"/>
      <color rgb="FF808080"/>
      <name val="Calibri"/>
      <family val="2"/>
    </font>
    <font>
      <b/>
      <sz val="10"/>
      <color rgb="FF0000FF"/>
      <name val="Calibri"/>
      <family val="2"/>
    </font>
    <font>
      <sz val="10"/>
      <color rgb="FF008000"/>
      <name val="Calibri"/>
      <family val="2"/>
    </font>
    <font>
      <b/>
      <sz val="10"/>
      <color rgb="FF008000"/>
      <name val="Calibri"/>
      <family val="2"/>
    </font>
    <font>
      <sz val="9"/>
      <color rgb="FF595959"/>
      <name val="Calibri"/>
      <family val="2"/>
    </font>
    <font>
      <sz val="10"/>
      <color rgb="FF1F3864"/>
      <name val="Calibri"/>
      <family val="2"/>
    </font>
    <font>
      <sz val="9"/>
      <color rgb="FF000000"/>
      <name val="Calibri"/>
      <family val="2"/>
    </font>
    <font>
      <i/>
      <sz val="9"/>
      <color rgb="FF808080"/>
      <name val="Calibri"/>
      <family val="2"/>
    </font>
    <font>
      <b/>
      <sz val="18"/>
      <color rgb="FF1F4E78"/>
      <name val="Arial"/>
      <family val="2"/>
    </font>
    <font>
      <i/>
      <sz val="12"/>
      <color rgb="FF595959"/>
      <name val="Arial"/>
      <family val="2"/>
    </font>
    <font>
      <b/>
      <sz val="10.5"/>
      <name val="Arial"/>
      <family val="2"/>
    </font>
    <font>
      <sz val="10.5"/>
      <name val="Arial"/>
      <family val="2"/>
    </font>
    <font>
      <b/>
      <sz val="14"/>
      <color rgb="FF1F4E78"/>
      <name val="Arial"/>
      <family val="2"/>
    </font>
    <font>
      <b/>
      <sz val="11"/>
      <color rgb="FFFFFFFF"/>
      <name val="Arial"/>
      <family val="2"/>
    </font>
    <font>
      <b/>
      <sz val="11"/>
      <color rgb="FF1F4E78"/>
      <name val="Arial"/>
      <family val="2"/>
    </font>
    <font>
      <sz val="10"/>
      <name val="Arial"/>
      <family val="2"/>
    </font>
    <font>
      <sz val="10"/>
      <color rgb="FF1F4E78"/>
      <name val="Arial"/>
      <family val="2"/>
    </font>
    <font>
      <i/>
      <sz val="9"/>
      <color rgb="FF595959"/>
      <name val="Arial"/>
      <family val="2"/>
    </font>
    <font>
      <sz val="10"/>
      <color rgb="FF000000"/>
      <name val="Arial"/>
      <family val="2"/>
    </font>
    <font>
      <i/>
      <sz val="9"/>
      <name val="Arial"/>
      <family val="2"/>
    </font>
    <font>
      <b/>
      <sz val="10"/>
      <name val="Arial"/>
      <family val="2"/>
    </font>
    <font>
      <b/>
      <sz val="13"/>
      <color rgb="FF1F4E78"/>
      <name val="Arial"/>
      <family val="2"/>
    </font>
    <font>
      <b/>
      <sz val="10"/>
      <color rgb="FF375623"/>
      <name val="Arial"/>
      <family val="2"/>
    </font>
    <font>
      <i/>
      <sz val="10"/>
      <color rgb="FF808080"/>
      <name val="Arial"/>
      <family val="2"/>
    </font>
    <font>
      <b/>
      <sz val="9"/>
      <color rgb="FF595959"/>
      <name val="Arial"/>
      <family val="2"/>
    </font>
    <font>
      <b/>
      <sz val="24"/>
      <color rgb="FF1F4E78"/>
      <name val="Arial"/>
      <family val="2"/>
    </font>
    <font>
      <sz val="14"/>
      <color rgb="FF595959"/>
      <name val="Arial"/>
      <family val="2"/>
    </font>
    <font>
      <i/>
      <sz val="10"/>
      <color rgb="FF7F7F7F"/>
      <name val="Arial"/>
      <family val="2"/>
    </font>
    <font>
      <sz val="10"/>
      <color rgb="FF595959"/>
      <name val="Arial"/>
      <family val="2"/>
    </font>
    <font>
      <b/>
      <sz val="13"/>
      <color rgb="FFFFFFFF"/>
      <name val="Arial"/>
      <family val="2"/>
    </font>
    <font>
      <b/>
      <u/>
      <sz val="11"/>
      <color rgb="FFC00000"/>
      <name val="Arial"/>
      <family val="2"/>
    </font>
    <font>
      <sz val="9"/>
      <color rgb="FF595959"/>
      <name val="Arial"/>
      <family val="2"/>
    </font>
    <font>
      <sz val="11"/>
      <name val="Arial"/>
      <family val="2"/>
    </font>
    <font>
      <b/>
      <sz val="15"/>
      <color rgb="FFFFFFFF"/>
      <name val="Arial"/>
      <family val="2"/>
    </font>
    <font>
      <i/>
      <sz val="10"/>
      <color rgb="FFFFFFFF"/>
      <name val="Arial"/>
      <family val="2"/>
    </font>
    <font>
      <b/>
      <sz val="8.5"/>
      <color rgb="FFFFFFFF"/>
      <name val="Arial"/>
      <family val="2"/>
    </font>
    <font>
      <b/>
      <sz val="11"/>
      <name val="Arial"/>
      <family val="2"/>
    </font>
    <font>
      <i/>
      <sz val="8"/>
      <color rgb="FF7F7F7F"/>
      <name val="Arial"/>
      <family val="2"/>
    </font>
    <font>
      <b/>
      <sz val="10"/>
      <color rgb="FFFFFFFF"/>
      <name val="Arial"/>
      <family val="2"/>
    </font>
    <font>
      <b/>
      <sz val="9.5"/>
      <color rgb="FF1F4E78"/>
      <name val="Arial"/>
      <family val="2"/>
    </font>
    <font>
      <sz val="10"/>
      <color rgb="FF0000FF"/>
      <name val="Arial"/>
      <family val="2"/>
    </font>
    <font>
      <sz val="10"/>
      <color rgb="FF008000"/>
      <name val="Arial"/>
      <family val="2"/>
    </font>
    <font>
      <b/>
      <sz val="10"/>
      <color rgb="FF000000"/>
      <name val="Arial"/>
      <family val="2"/>
    </font>
    <font>
      <b/>
      <sz val="10"/>
      <color rgb="FF008000"/>
      <name val="Arial"/>
      <family val="2"/>
    </font>
    <font>
      <b/>
      <sz val="10"/>
      <color rgb="FF0000FF"/>
      <name val="Arial"/>
      <family val="2"/>
    </font>
    <font>
      <b/>
      <sz val="13"/>
      <color rgb="FF000000"/>
      <name val="Arial"/>
      <family val="2"/>
    </font>
    <font>
      <b/>
      <sz val="16"/>
      <color rgb="FFFFFFFF"/>
      <name val="Arial"/>
      <family val="2"/>
    </font>
    <font>
      <b/>
      <sz val="9"/>
      <color rgb="FFFFFFFF"/>
      <name val="Arial"/>
      <family val="2"/>
    </font>
  </fonts>
  <fills count="15">
    <fill>
      <patternFill patternType="none"/>
    </fill>
    <fill>
      <patternFill patternType="gray125"/>
    </fill>
    <fill>
      <patternFill patternType="solid">
        <fgColor rgb="FF8EA9DB"/>
        <bgColor rgb="FFB7B7B7"/>
      </patternFill>
    </fill>
    <fill>
      <patternFill patternType="solid">
        <fgColor rgb="FF1F3864"/>
        <bgColor rgb="FF1F4E78"/>
      </patternFill>
    </fill>
    <fill>
      <patternFill patternType="solid">
        <fgColor rgb="FFD9E1F2"/>
        <bgColor rgb="FFDCE6F1"/>
      </patternFill>
    </fill>
    <fill>
      <patternFill patternType="solid">
        <fgColor rgb="FFBDD7EE"/>
        <bgColor rgb="FFD9E1F2"/>
      </patternFill>
    </fill>
    <fill>
      <patternFill patternType="solid">
        <fgColor rgb="FF1F4E78"/>
        <bgColor rgb="FF1F3864"/>
      </patternFill>
    </fill>
    <fill>
      <patternFill patternType="solid">
        <fgColor rgb="FFFFF2CC"/>
        <bgColor rgb="FFF2F2F2"/>
      </patternFill>
    </fill>
    <fill>
      <patternFill patternType="solid">
        <fgColor rgb="FFE2EFDA"/>
        <bgColor rgb="FFDCE6F1"/>
      </patternFill>
    </fill>
    <fill>
      <patternFill patternType="solid">
        <fgColor rgb="FFDCE6F1"/>
        <bgColor rgb="FFD9E1F2"/>
      </patternFill>
    </fill>
    <fill>
      <patternFill patternType="solid">
        <fgColor rgb="FFFFFFFF"/>
        <bgColor rgb="FFF2F2F2"/>
      </patternFill>
    </fill>
    <fill>
      <patternFill patternType="solid">
        <fgColor rgb="FF2E75B6"/>
        <bgColor rgb="FF0066CC"/>
      </patternFill>
    </fill>
    <fill>
      <patternFill patternType="solid">
        <fgColor rgb="FFFFFF00"/>
        <bgColor rgb="FFFFFF00"/>
      </patternFill>
    </fill>
    <fill>
      <patternFill patternType="solid">
        <fgColor rgb="FFF2F2F2"/>
        <bgColor rgb="FFE2EFDA"/>
      </patternFill>
    </fill>
    <fill>
      <patternFill patternType="solid">
        <fgColor theme="4" tint="-0.499984740745262"/>
        <bgColor indexed="64"/>
      </patternFill>
    </fill>
  </fills>
  <borders count="16">
    <border>
      <left/>
      <right/>
      <top/>
      <bottom/>
      <diagonal/>
    </border>
    <border>
      <left style="thin">
        <color rgb="FFB7B7B7"/>
      </left>
      <right style="thin">
        <color rgb="FFB7B7B7"/>
      </right>
      <top style="thin">
        <color rgb="FFB7B7B7"/>
      </top>
      <bottom style="thin">
        <color rgb="FFB7B7B7"/>
      </bottom>
      <diagonal/>
    </border>
    <border>
      <left/>
      <right/>
      <top style="thin">
        <color auto="1"/>
      </top>
      <bottom style="double">
        <color auto="1"/>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09">
    <xf numFmtId="0" fontId="0" fillId="0" borderId="0" xfId="0"/>
    <xf numFmtId="0" fontId="10" fillId="0" borderId="0" xfId="0" applyFont="1" applyAlignment="1">
      <alignment vertical="top" wrapText="1"/>
    </xf>
    <xf numFmtId="0" fontId="5" fillId="0" borderId="0" xfId="0" applyFont="1"/>
    <xf numFmtId="0" fontId="7" fillId="0" borderId="0" xfId="0" applyFont="1"/>
    <xf numFmtId="0" fontId="6" fillId="0" borderId="0" xfId="0" applyFont="1"/>
    <xf numFmtId="0" fontId="12" fillId="4" borderId="1" xfId="0" applyFont="1" applyFill="1" applyBorder="1" applyAlignment="1">
      <alignment horizontal="center" vertical="center" wrapText="1"/>
    </xf>
    <xf numFmtId="0" fontId="12" fillId="0" borderId="0" xfId="0" applyFont="1"/>
    <xf numFmtId="164" fontId="13" fillId="0" borderId="1" xfId="0" applyNumberFormat="1" applyFont="1" applyBorder="1"/>
    <xf numFmtId="164" fontId="0" fillId="0" borderId="2" xfId="0" applyNumberFormat="1" applyBorder="1"/>
    <xf numFmtId="0" fontId="5" fillId="5" borderId="0" xfId="0" applyFont="1" applyFill="1"/>
    <xf numFmtId="164" fontId="5" fillId="5" borderId="2" xfId="0" applyNumberFormat="1" applyFont="1" applyFill="1" applyBorder="1"/>
    <xf numFmtId="164" fontId="13" fillId="0" borderId="0" xfId="0" applyNumberFormat="1" applyFont="1"/>
    <xf numFmtId="164" fontId="0" fillId="0" borderId="0" xfId="0" applyNumberFormat="1"/>
    <xf numFmtId="164" fontId="5" fillId="5" borderId="0" xfId="0" applyNumberFormat="1" applyFont="1" applyFill="1"/>
    <xf numFmtId="165" fontId="13" fillId="0" borderId="0" xfId="0" applyNumberFormat="1" applyFont="1"/>
    <xf numFmtId="166" fontId="13" fillId="0" borderId="0" xfId="0" applyNumberFormat="1" applyFont="1"/>
    <xf numFmtId="164" fontId="15" fillId="0" borderId="0" xfId="0" applyNumberFormat="1" applyFont="1"/>
    <xf numFmtId="164" fontId="16" fillId="0" borderId="0" xfId="0" applyNumberFormat="1" applyFont="1"/>
    <xf numFmtId="164" fontId="6" fillId="0" borderId="0" xfId="0" applyNumberFormat="1" applyFont="1"/>
    <xf numFmtId="167" fontId="6" fillId="0" borderId="0" xfId="0" applyNumberFormat="1" applyFont="1"/>
    <xf numFmtId="164" fontId="17" fillId="0" borderId="0" xfId="0" applyNumberFormat="1" applyFont="1"/>
    <xf numFmtId="164" fontId="5" fillId="0" borderId="0" xfId="0" applyNumberFormat="1" applyFont="1"/>
    <xf numFmtId="167" fontId="5" fillId="0" borderId="0" xfId="0" applyNumberFormat="1" applyFont="1"/>
    <xf numFmtId="164" fontId="17" fillId="5" borderId="0" xfId="0" applyNumberFormat="1" applyFont="1" applyFill="1"/>
    <xf numFmtId="167" fontId="5" fillId="5" borderId="0" xfId="0" applyNumberFormat="1" applyFont="1" applyFill="1"/>
    <xf numFmtId="168" fontId="5" fillId="0" borderId="0" xfId="0" applyNumberFormat="1" applyFont="1"/>
    <xf numFmtId="168" fontId="6" fillId="0" borderId="0" xfId="0" applyNumberFormat="1" applyFont="1"/>
    <xf numFmtId="165" fontId="16" fillId="0" borderId="0" xfId="0" applyNumberFormat="1" applyFont="1"/>
    <xf numFmtId="0" fontId="14" fillId="0" borderId="0" xfId="0" applyFont="1" applyAlignment="1">
      <alignment vertical="center" wrapText="1"/>
    </xf>
    <xf numFmtId="169" fontId="6" fillId="0" borderId="0" xfId="0" applyNumberFormat="1" applyFont="1"/>
    <xf numFmtId="0" fontId="18" fillId="0" borderId="0" xfId="0" applyFont="1" applyAlignment="1">
      <alignment vertical="center" wrapText="1"/>
    </xf>
    <xf numFmtId="2" fontId="5" fillId="5" borderId="0" xfId="0" applyNumberFormat="1" applyFont="1" applyFill="1"/>
    <xf numFmtId="0" fontId="5" fillId="0" borderId="0" xfId="0" applyFont="1" applyAlignment="1">
      <alignment horizontal="center"/>
    </xf>
    <xf numFmtId="0" fontId="20" fillId="0" borderId="0" xfId="0" applyFont="1"/>
    <xf numFmtId="170" fontId="6" fillId="0" borderId="0" xfId="0" applyNumberFormat="1" applyFont="1"/>
    <xf numFmtId="171" fontId="5" fillId="0" borderId="0" xfId="0" applyNumberFormat="1" applyFont="1"/>
    <xf numFmtId="171" fontId="5" fillId="5" borderId="0" xfId="0" applyNumberFormat="1" applyFont="1" applyFill="1"/>
    <xf numFmtId="171" fontId="16" fillId="0" borderId="0" xfId="0" applyNumberFormat="1" applyFont="1"/>
    <xf numFmtId="0" fontId="22" fillId="0" borderId="0" xfId="0" applyFont="1"/>
    <xf numFmtId="0" fontId="23" fillId="0" borderId="0" xfId="0" applyFont="1"/>
    <xf numFmtId="0" fontId="24" fillId="0" borderId="0" xfId="0" applyFont="1" applyAlignment="1">
      <alignment vertical="top" wrapText="1"/>
    </xf>
    <xf numFmtId="0" fontId="27" fillId="6" borderId="1" xfId="0" applyFont="1" applyFill="1" applyBorder="1" applyAlignment="1">
      <alignment horizontal="center" vertical="center" wrapText="1"/>
    </xf>
    <xf numFmtId="0" fontId="29" fillId="0" borderId="1" xfId="0" applyFont="1" applyBorder="1" applyAlignment="1">
      <alignment horizontal="left" vertical="top" wrapText="1"/>
    </xf>
    <xf numFmtId="0" fontId="29" fillId="0" borderId="1" xfId="0" applyFont="1" applyBorder="1" applyAlignment="1">
      <alignment horizontal="center"/>
    </xf>
    <xf numFmtId="3" fontId="30" fillId="7" borderId="1" xfId="0" applyNumberFormat="1" applyFont="1" applyFill="1" applyBorder="1" applyAlignment="1">
      <alignment horizontal="right"/>
    </xf>
    <xf numFmtId="0" fontId="31" fillId="0" borderId="1" xfId="0" applyFont="1" applyBorder="1" applyAlignment="1">
      <alignment horizontal="left" vertical="top" wrapText="1"/>
    </xf>
    <xf numFmtId="3" fontId="32" fillId="0" borderId="1" xfId="0" applyNumberFormat="1" applyFont="1" applyBorder="1" applyAlignment="1">
      <alignment horizontal="right"/>
    </xf>
    <xf numFmtId="4" fontId="30" fillId="7" borderId="1" xfId="0" applyNumberFormat="1" applyFont="1" applyFill="1" applyBorder="1" applyAlignment="1">
      <alignment horizontal="right"/>
    </xf>
    <xf numFmtId="4" fontId="32" fillId="0" borderId="1" xfId="0" applyNumberFormat="1" applyFont="1" applyBorder="1" applyAlignment="1">
      <alignment horizontal="right"/>
    </xf>
    <xf numFmtId="0" fontId="33" fillId="0" borderId="0" xfId="0" applyFont="1"/>
    <xf numFmtId="0" fontId="0" fillId="0" borderId="1" xfId="0" applyBorder="1" applyAlignment="1">
      <alignment horizontal="center"/>
    </xf>
    <xf numFmtId="0" fontId="34" fillId="0" borderId="1" xfId="0" applyFont="1" applyBorder="1" applyAlignment="1">
      <alignment horizontal="left" vertical="top" wrapText="1"/>
    </xf>
    <xf numFmtId="2" fontId="34" fillId="0" borderId="1" xfId="0" applyNumberFormat="1" applyFont="1" applyBorder="1" applyAlignment="1">
      <alignment horizontal="center"/>
    </xf>
    <xf numFmtId="10" fontId="34" fillId="0" borderId="1" xfId="0" applyNumberFormat="1" applyFont="1" applyBorder="1" applyAlignment="1">
      <alignment horizontal="center"/>
    </xf>
    <xf numFmtId="49" fontId="34" fillId="0" borderId="1" xfId="0" applyNumberFormat="1" applyFont="1" applyBorder="1" applyAlignment="1">
      <alignment horizontal="center"/>
    </xf>
    <xf numFmtId="170" fontId="34" fillId="0" borderId="1" xfId="0" applyNumberFormat="1" applyFont="1" applyBorder="1" applyAlignment="1">
      <alignment horizontal="center"/>
    </xf>
    <xf numFmtId="172" fontId="34" fillId="0" borderId="1" xfId="0" applyNumberFormat="1" applyFont="1" applyBorder="1" applyAlignment="1">
      <alignment horizontal="center"/>
    </xf>
    <xf numFmtId="0" fontId="34" fillId="0" borderId="1" xfId="0" applyFont="1" applyBorder="1"/>
    <xf numFmtId="2" fontId="29" fillId="0" borderId="1" xfId="0" applyNumberFormat="1" applyFont="1" applyBorder="1" applyAlignment="1">
      <alignment horizontal="center"/>
    </xf>
    <xf numFmtId="0" fontId="36" fillId="8" borderId="1" xfId="0" applyFont="1" applyFill="1" applyBorder="1" applyAlignment="1">
      <alignment horizontal="center"/>
    </xf>
    <xf numFmtId="10" fontId="29" fillId="0" borderId="1" xfId="0" applyNumberFormat="1" applyFont="1" applyBorder="1" applyAlignment="1">
      <alignment horizontal="center"/>
    </xf>
    <xf numFmtId="170" fontId="29" fillId="0" borderId="1" xfId="0" applyNumberFormat="1" applyFont="1" applyBorder="1" applyAlignment="1">
      <alignment horizontal="center"/>
    </xf>
    <xf numFmtId="0" fontId="37" fillId="0" borderId="1" xfId="0" applyFont="1" applyBorder="1" applyAlignment="1">
      <alignment horizontal="center"/>
    </xf>
    <xf numFmtId="172" fontId="29" fillId="0" borderId="1" xfId="0" applyNumberFormat="1" applyFont="1" applyBorder="1" applyAlignment="1">
      <alignment horizontal="center"/>
    </xf>
    <xf numFmtId="0" fontId="43" fillId="6" borderId="0" xfId="0" applyFont="1" applyFill="1" applyAlignment="1">
      <alignment horizontal="left" vertical="center" indent="1"/>
    </xf>
    <xf numFmtId="0" fontId="46" fillId="0" borderId="0" xfId="0" applyFont="1"/>
    <xf numFmtId="173" fontId="28" fillId="0" borderId="0" xfId="0" applyNumberFormat="1" applyFont="1" applyAlignment="1">
      <alignment horizontal="center"/>
    </xf>
    <xf numFmtId="174" fontId="28" fillId="0" borderId="0" xfId="0" applyNumberFormat="1" applyFont="1" applyAlignment="1">
      <alignment horizontal="center"/>
    </xf>
    <xf numFmtId="10" fontId="28" fillId="0" borderId="0" xfId="0" applyNumberFormat="1" applyFont="1" applyAlignment="1">
      <alignment horizontal="center"/>
    </xf>
    <xf numFmtId="0" fontId="49" fillId="11" borderId="1" xfId="0" applyFont="1" applyFill="1" applyBorder="1" applyAlignment="1">
      <alignment horizontal="center" vertical="center" wrapText="1"/>
    </xf>
    <xf numFmtId="4" fontId="50" fillId="12" borderId="1" xfId="0" applyNumberFormat="1" applyFont="1" applyFill="1" applyBorder="1" applyAlignment="1">
      <alignment horizontal="center"/>
    </xf>
    <xf numFmtId="174" fontId="50" fillId="12" borderId="1" xfId="0" applyNumberFormat="1" applyFont="1" applyFill="1" applyBorder="1" applyAlignment="1">
      <alignment horizontal="center"/>
    </xf>
    <xf numFmtId="10" fontId="50" fillId="12" borderId="1" xfId="0" applyNumberFormat="1" applyFont="1" applyFill="1" applyBorder="1" applyAlignment="1">
      <alignment horizontal="center"/>
    </xf>
    <xf numFmtId="3" fontId="50" fillId="12" borderId="1" xfId="0" applyNumberFormat="1" applyFont="1" applyFill="1" applyBorder="1" applyAlignment="1">
      <alignment horizontal="center"/>
    </xf>
    <xf numFmtId="0" fontId="51" fillId="0" borderId="0" xfId="0" applyFont="1"/>
    <xf numFmtId="0" fontId="52" fillId="6" borderId="1" xfId="0" applyFont="1" applyFill="1" applyBorder="1" applyAlignment="1">
      <alignment horizontal="center"/>
    </xf>
    <xf numFmtId="0" fontId="32" fillId="0" borderId="0" xfId="0" applyFont="1" applyAlignment="1">
      <alignment indent="1"/>
    </xf>
    <xf numFmtId="0" fontId="51" fillId="0" borderId="0" xfId="0" applyFont="1" applyAlignment="1">
      <alignment horizontal="center"/>
    </xf>
    <xf numFmtId="167" fontId="32" fillId="0" borderId="0" xfId="0" applyNumberFormat="1" applyFont="1" applyAlignment="1">
      <alignment horizontal="center"/>
    </xf>
    <xf numFmtId="167" fontId="54" fillId="0" borderId="0" xfId="0" applyNumberFormat="1" applyFont="1" applyAlignment="1">
      <alignment horizontal="center"/>
    </xf>
    <xf numFmtId="167" fontId="55" fillId="0" borderId="0" xfId="0" applyNumberFormat="1" applyFont="1" applyAlignment="1">
      <alignment horizontal="center"/>
    </xf>
    <xf numFmtId="0" fontId="56" fillId="0" borderId="0" xfId="0" applyFont="1" applyAlignment="1">
      <alignment indent="1"/>
    </xf>
    <xf numFmtId="167" fontId="57" fillId="0" borderId="0" xfId="0" applyNumberFormat="1" applyFont="1" applyAlignment="1">
      <alignment horizontal="center"/>
    </xf>
    <xf numFmtId="167" fontId="58" fillId="0" borderId="0" xfId="0" applyNumberFormat="1" applyFont="1" applyAlignment="1">
      <alignment horizontal="center"/>
    </xf>
    <xf numFmtId="175" fontId="55" fillId="0" borderId="0" xfId="0" applyNumberFormat="1" applyFont="1" applyAlignment="1">
      <alignment horizontal="center"/>
    </xf>
    <xf numFmtId="175" fontId="54" fillId="0" borderId="0" xfId="0" applyNumberFormat="1" applyFont="1" applyAlignment="1">
      <alignment horizontal="center"/>
    </xf>
    <xf numFmtId="176" fontId="55" fillId="0" borderId="0" xfId="0" applyNumberFormat="1" applyFont="1" applyAlignment="1">
      <alignment horizontal="center"/>
    </xf>
    <xf numFmtId="176" fontId="54" fillId="0" borderId="0" xfId="0" applyNumberFormat="1" applyFont="1" applyAlignment="1">
      <alignment horizontal="center"/>
    </xf>
    <xf numFmtId="170" fontId="54" fillId="0" borderId="0" xfId="0" applyNumberFormat="1" applyFont="1" applyAlignment="1">
      <alignment horizontal="center"/>
    </xf>
    <xf numFmtId="175" fontId="56" fillId="0" borderId="0" xfId="0" applyNumberFormat="1" applyFont="1" applyAlignment="1">
      <alignment horizontal="center"/>
    </xf>
    <xf numFmtId="167" fontId="55" fillId="0" borderId="0" xfId="0" applyNumberFormat="1" applyFont="1"/>
    <xf numFmtId="175" fontId="58" fillId="0" borderId="0" xfId="0" applyNumberFormat="1" applyFont="1" applyAlignment="1">
      <alignment horizontal="center"/>
    </xf>
    <xf numFmtId="165" fontId="58" fillId="0" borderId="0" xfId="0" applyNumberFormat="1" applyFont="1" applyAlignment="1">
      <alignment horizontal="center"/>
    </xf>
    <xf numFmtId="4" fontId="58" fillId="0" borderId="0" xfId="0" applyNumberFormat="1" applyFont="1" applyAlignment="1">
      <alignment horizontal="center"/>
    </xf>
    <xf numFmtId="164" fontId="56" fillId="0" borderId="0" xfId="0" applyNumberFormat="1" applyFont="1" applyAlignment="1">
      <alignment horizontal="center"/>
    </xf>
    <xf numFmtId="164" fontId="58" fillId="0" borderId="0" xfId="0" applyNumberFormat="1" applyFont="1" applyAlignment="1">
      <alignment horizontal="center"/>
    </xf>
    <xf numFmtId="164" fontId="57" fillId="0" borderId="0" xfId="0" applyNumberFormat="1" applyFont="1" applyAlignment="1">
      <alignment horizontal="center"/>
    </xf>
    <xf numFmtId="0" fontId="32" fillId="0" borderId="0" xfId="0" applyFont="1" applyAlignment="1">
      <alignment indent="2"/>
    </xf>
    <xf numFmtId="164" fontId="54" fillId="0" borderId="0" xfId="0" applyNumberFormat="1" applyFont="1" applyAlignment="1">
      <alignment horizontal="center"/>
    </xf>
    <xf numFmtId="164" fontId="55" fillId="0" borderId="0" xfId="0" applyNumberFormat="1" applyFont="1" applyAlignment="1">
      <alignment horizontal="center"/>
    </xf>
    <xf numFmtId="164" fontId="56" fillId="0" borderId="3" xfId="0" applyNumberFormat="1" applyFont="1" applyBorder="1" applyAlignment="1">
      <alignment horizontal="center"/>
    </xf>
    <xf numFmtId="164" fontId="56" fillId="13" borderId="0" xfId="0" applyNumberFormat="1" applyFont="1" applyFill="1" applyAlignment="1">
      <alignment horizontal="center"/>
    </xf>
    <xf numFmtId="164" fontId="56" fillId="0" borderId="2" xfId="0" applyNumberFormat="1" applyFont="1" applyBorder="1" applyAlignment="1">
      <alignment horizontal="center"/>
    </xf>
    <xf numFmtId="4" fontId="54" fillId="0" borderId="0" xfId="0" applyNumberFormat="1" applyFont="1" applyAlignment="1">
      <alignment horizontal="center"/>
    </xf>
    <xf numFmtId="4" fontId="32" fillId="0" borderId="0" xfId="0" applyNumberFormat="1" applyFont="1" applyAlignment="1">
      <alignment horizontal="center"/>
    </xf>
    <xf numFmtId="164" fontId="32" fillId="0" borderId="0" xfId="0" applyNumberFormat="1" applyFont="1" applyAlignment="1">
      <alignment horizontal="center"/>
    </xf>
    <xf numFmtId="164" fontId="56" fillId="13" borderId="2" xfId="0" applyNumberFormat="1" applyFont="1" applyFill="1" applyBorder="1" applyAlignment="1">
      <alignment horizontal="center"/>
    </xf>
    <xf numFmtId="164" fontId="54" fillId="0" borderId="3" xfId="0" applyNumberFormat="1" applyFont="1" applyBorder="1" applyAlignment="1">
      <alignment horizontal="center"/>
    </xf>
    <xf numFmtId="164" fontId="58" fillId="13" borderId="2" xfId="0" applyNumberFormat="1" applyFont="1" applyFill="1" applyBorder="1" applyAlignment="1">
      <alignment horizontal="center"/>
    </xf>
    <xf numFmtId="1" fontId="54" fillId="0" borderId="0" xfId="0" applyNumberFormat="1" applyFont="1" applyAlignment="1">
      <alignment horizontal="center"/>
    </xf>
    <xf numFmtId="177" fontId="55" fillId="0" borderId="0" xfId="0" applyNumberFormat="1" applyFont="1" applyAlignment="1">
      <alignment horizontal="center"/>
    </xf>
    <xf numFmtId="177" fontId="32" fillId="0" borderId="0" xfId="0" applyNumberFormat="1" applyFont="1" applyAlignment="1">
      <alignment horizontal="center"/>
    </xf>
    <xf numFmtId="4" fontId="55" fillId="0" borderId="0" xfId="0" applyNumberFormat="1" applyFont="1" applyAlignment="1">
      <alignment horizontal="center"/>
    </xf>
    <xf numFmtId="165" fontId="59" fillId="12" borderId="2" xfId="0" applyNumberFormat="1" applyFont="1" applyFill="1" applyBorder="1" applyAlignment="1">
      <alignment horizontal="center"/>
    </xf>
    <xf numFmtId="165" fontId="55" fillId="0" borderId="0" xfId="0" applyNumberFormat="1" applyFont="1" applyAlignment="1">
      <alignment horizontal="center"/>
    </xf>
    <xf numFmtId="167" fontId="56" fillId="0" borderId="0" xfId="0" applyNumberFormat="1" applyFont="1" applyAlignment="1">
      <alignment horizontal="center"/>
    </xf>
    <xf numFmtId="0" fontId="56" fillId="0" borderId="0" xfId="0" applyFont="1" applyAlignment="1">
      <alignment horizontal="center"/>
    </xf>
    <xf numFmtId="175" fontId="52" fillId="6" borderId="1" xfId="0" applyNumberFormat="1" applyFont="1" applyFill="1" applyBorder="1" applyAlignment="1">
      <alignment horizontal="center"/>
    </xf>
    <xf numFmtId="165" fontId="32" fillId="0" borderId="1" xfId="0" applyNumberFormat="1" applyFont="1" applyBorder="1" applyAlignment="1">
      <alignment horizontal="center"/>
    </xf>
    <xf numFmtId="165" fontId="56" fillId="12" borderId="1" xfId="0" applyNumberFormat="1" applyFont="1" applyFill="1" applyBorder="1" applyAlignment="1">
      <alignment horizontal="center"/>
    </xf>
    <xf numFmtId="0" fontId="51" fillId="0" borderId="0" xfId="0" applyFont="1" applyAlignment="1">
      <alignment vertical="top" wrapText="1"/>
    </xf>
    <xf numFmtId="0" fontId="56" fillId="0" borderId="0" xfId="0" applyFont="1"/>
    <xf numFmtId="164" fontId="58" fillId="0" borderId="0" xfId="0" applyNumberFormat="1" applyFont="1"/>
    <xf numFmtId="164" fontId="57" fillId="0" borderId="0" xfId="0" applyNumberFormat="1" applyFont="1"/>
    <xf numFmtId="164" fontId="54" fillId="0" borderId="0" xfId="0" applyNumberFormat="1" applyFont="1"/>
    <xf numFmtId="164" fontId="55" fillId="0" borderId="0" xfId="0" applyNumberFormat="1" applyFont="1"/>
    <xf numFmtId="164" fontId="56" fillId="0" borderId="3" xfId="0" applyNumberFormat="1" applyFont="1" applyBorder="1"/>
    <xf numFmtId="164" fontId="56" fillId="13" borderId="0" xfId="0" applyNumberFormat="1" applyFont="1" applyFill="1"/>
    <xf numFmtId="164" fontId="56" fillId="0" borderId="0" xfId="0" applyNumberFormat="1" applyFont="1"/>
    <xf numFmtId="164" fontId="56" fillId="0" borderId="2" xfId="0" applyNumberFormat="1" applyFont="1" applyBorder="1"/>
    <xf numFmtId="4" fontId="54" fillId="0" borderId="0" xfId="0" applyNumberFormat="1" applyFont="1"/>
    <xf numFmtId="4" fontId="32" fillId="0" borderId="0" xfId="0" applyNumberFormat="1" applyFont="1"/>
    <xf numFmtId="164" fontId="32" fillId="0" borderId="0" xfId="0" applyNumberFormat="1" applyFont="1"/>
    <xf numFmtId="164" fontId="56" fillId="13" borderId="2" xfId="0" applyNumberFormat="1" applyFont="1" applyFill="1" applyBorder="1"/>
    <xf numFmtId="164" fontId="54" fillId="0" borderId="3" xfId="0" applyNumberFormat="1" applyFont="1" applyBorder="1"/>
    <xf numFmtId="164" fontId="58" fillId="13" borderId="2" xfId="0" applyNumberFormat="1" applyFont="1" applyFill="1" applyBorder="1"/>
    <xf numFmtId="164" fontId="56" fillId="13" borderId="3" xfId="0" applyNumberFormat="1" applyFont="1" applyFill="1" applyBorder="1"/>
    <xf numFmtId="175" fontId="56" fillId="0" borderId="0" xfId="0" applyNumberFormat="1" applyFont="1"/>
    <xf numFmtId="177" fontId="32" fillId="0" borderId="0" xfId="0" applyNumberFormat="1" applyFont="1"/>
    <xf numFmtId="4" fontId="55" fillId="0" borderId="0" xfId="0" applyNumberFormat="1" applyFont="1"/>
    <xf numFmtId="165" fontId="59" fillId="12" borderId="2" xfId="0" applyNumberFormat="1" applyFont="1" applyFill="1" applyBorder="1"/>
    <xf numFmtId="165" fontId="55" fillId="0" borderId="0" xfId="0" applyNumberFormat="1" applyFont="1"/>
    <xf numFmtId="167" fontId="56" fillId="0" borderId="0" xfId="0" applyNumberFormat="1" applyFont="1"/>
    <xf numFmtId="0" fontId="32" fillId="0" borderId="0" xfId="0" applyFont="1"/>
    <xf numFmtId="175" fontId="55" fillId="0" borderId="0" xfId="0" applyNumberFormat="1" applyFont="1"/>
    <xf numFmtId="0" fontId="5" fillId="0" borderId="4" xfId="0" applyFont="1" applyBorder="1" applyAlignment="1">
      <alignment horizontal="center" vertical="center"/>
    </xf>
    <xf numFmtId="0" fontId="0" fillId="0" borderId="4" xfId="0" applyBorder="1"/>
    <xf numFmtId="0" fontId="6" fillId="0" borderId="13" xfId="0" applyFont="1" applyBorder="1" applyAlignment="1">
      <alignment horizontal="center" vertical="center"/>
    </xf>
    <xf numFmtId="0" fontId="6" fillId="0" borderId="5" xfId="0" applyFont="1" applyBorder="1" applyAlignment="1">
      <alignment horizontal="center" vertical="center"/>
    </xf>
    <xf numFmtId="0" fontId="6" fillId="0" borderId="8" xfId="0" applyFont="1" applyBorder="1" applyAlignment="1">
      <alignment horizontal="center" vertical="center"/>
    </xf>
    <xf numFmtId="0" fontId="6" fillId="0" borderId="10" xfId="0" applyFont="1" applyBorder="1" applyAlignment="1">
      <alignment horizontal="center" vertical="center"/>
    </xf>
    <xf numFmtId="0" fontId="1" fillId="0" borderId="1" xfId="0" applyFont="1" applyBorder="1" applyAlignment="1">
      <alignment horizontal="left" vertical="top" wrapText="1"/>
    </xf>
    <xf numFmtId="0" fontId="45" fillId="7" borderId="4" xfId="0" applyFont="1" applyFill="1" applyBorder="1" applyAlignment="1">
      <alignment vertical="center" wrapText="1"/>
    </xf>
    <xf numFmtId="0" fontId="45" fillId="9" borderId="4" xfId="0" applyFont="1" applyFill="1" applyBorder="1" applyAlignment="1">
      <alignment vertical="center" wrapText="1"/>
    </xf>
    <xf numFmtId="0" fontId="45" fillId="10" borderId="4" xfId="0" applyFont="1" applyFill="1" applyBorder="1" applyAlignment="1">
      <alignment vertical="center" wrapText="1"/>
    </xf>
    <xf numFmtId="0" fontId="44" fillId="7" borderId="4" xfId="0" applyFont="1" applyFill="1" applyBorder="1" applyAlignment="1">
      <alignment vertical="center"/>
    </xf>
    <xf numFmtId="0" fontId="28" fillId="9" borderId="4" xfId="0" applyFont="1" applyFill="1" applyBorder="1" applyAlignment="1">
      <alignment vertical="center"/>
    </xf>
    <xf numFmtId="0" fontId="28" fillId="10" borderId="4" xfId="0" applyFont="1" applyFill="1" applyBorder="1" applyAlignment="1">
      <alignment vertical="center"/>
    </xf>
    <xf numFmtId="0" fontId="27" fillId="11" borderId="0" xfId="0" applyFont="1" applyFill="1"/>
    <xf numFmtId="0" fontId="60" fillId="6" borderId="0" xfId="0" applyFont="1" applyFill="1" applyAlignment="1">
      <alignment horizontal="left" vertical="center" indent="1"/>
    </xf>
    <xf numFmtId="0" fontId="48" fillId="6" borderId="0" xfId="0" applyFont="1" applyFill="1" applyAlignment="1">
      <alignment horizontal="left" vertical="center" indent="1"/>
    </xf>
    <xf numFmtId="0" fontId="8" fillId="2" borderId="0" xfId="0" applyFont="1" applyFill="1"/>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0" borderId="0" xfId="0" applyFont="1" applyAlignment="1">
      <alignment vertical="top" wrapText="1"/>
    </xf>
    <xf numFmtId="0" fontId="9" fillId="0" borderId="0" xfId="0" applyFont="1" applyAlignment="1">
      <alignment horizontal="center" vertical="center" wrapText="1"/>
    </xf>
    <xf numFmtId="0" fontId="9" fillId="0" borderId="9"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Alignment="1">
      <alignment vertical="center" wrapText="1"/>
    </xf>
    <xf numFmtId="0" fontId="2" fillId="0" borderId="4" xfId="0" applyFont="1" applyBorder="1"/>
    <xf numFmtId="0" fontId="3" fillId="0" borderId="4" xfId="0" applyFont="1" applyBorder="1"/>
    <xf numFmtId="0" fontId="4" fillId="0" borderId="4" xfId="0" applyFont="1" applyBorder="1"/>
    <xf numFmtId="0" fontId="11" fillId="3" borderId="0" xfId="0" applyFont="1" applyFill="1" applyAlignment="1">
      <alignment horizontal="left" vertical="center" indent="1"/>
    </xf>
    <xf numFmtId="0" fontId="8" fillId="14" borderId="0" xfId="0" applyFont="1" applyFill="1"/>
    <xf numFmtId="0" fontId="14" fillId="0" borderId="0" xfId="0" applyFont="1"/>
    <xf numFmtId="0" fontId="6" fillId="0" borderId="0" xfId="0" applyFont="1" applyAlignment="1">
      <alignment vertical="top" wrapText="1"/>
    </xf>
    <xf numFmtId="0" fontId="10" fillId="0" borderId="0" xfId="0" applyFont="1"/>
    <xf numFmtId="0" fontId="12" fillId="0" borderId="0" xfId="0" applyFont="1" applyAlignment="1">
      <alignment vertical="top" wrapText="1"/>
    </xf>
    <xf numFmtId="0" fontId="19" fillId="0" borderId="0" xfId="0" applyFont="1" applyAlignment="1">
      <alignment vertical="top" wrapText="1"/>
    </xf>
    <xf numFmtId="0" fontId="21" fillId="0" borderId="0" xfId="0" applyFont="1" applyAlignment="1">
      <alignment vertical="top" wrapText="1"/>
    </xf>
    <xf numFmtId="0" fontId="25" fillId="0" borderId="0" xfId="0" applyFont="1" applyAlignment="1">
      <alignment horizontal="left" vertical="top" wrapText="1"/>
    </xf>
    <xf numFmtId="0" fontId="26" fillId="0" borderId="0" xfId="0" applyFont="1"/>
    <xf numFmtId="0" fontId="28" fillId="4" borderId="0" xfId="0" applyFont="1" applyFill="1"/>
    <xf numFmtId="0" fontId="35" fillId="0" borderId="0" xfId="0" applyFont="1"/>
    <xf numFmtId="0" fontId="31" fillId="0" borderId="0" xfId="0" applyFont="1" applyAlignment="1">
      <alignment horizontal="left" vertical="top" wrapText="1"/>
    </xf>
    <xf numFmtId="0" fontId="31" fillId="0" borderId="0" xfId="0" applyFont="1"/>
    <xf numFmtId="0" fontId="38" fillId="0" borderId="0" xfId="0" applyFont="1" applyAlignment="1">
      <alignment horizontal="left" vertical="top" wrapText="1"/>
    </xf>
    <xf numFmtId="0" fontId="43" fillId="6" borderId="0" xfId="0" applyFont="1" applyFill="1" applyAlignment="1">
      <alignment horizontal="left" vertical="center" indent="1"/>
    </xf>
    <xf numFmtId="0" fontId="0" fillId="0" borderId="0" xfId="0"/>
    <xf numFmtId="0" fontId="0" fillId="6" borderId="0" xfId="0" applyFill="1"/>
    <xf numFmtId="0" fontId="39" fillId="0" borderId="0" xfId="0" applyFont="1" applyAlignment="1">
      <alignment horizontal="center"/>
    </xf>
    <xf numFmtId="0" fontId="40" fillId="0" borderId="0" xfId="0" applyFont="1" applyAlignment="1">
      <alignment horizontal="center"/>
    </xf>
    <xf numFmtId="0" fontId="41" fillId="0" borderId="0" xfId="0" applyFont="1" applyAlignment="1">
      <alignment horizontal="center"/>
    </xf>
    <xf numFmtId="0" fontId="42" fillId="0" borderId="0" xfId="0" applyFont="1" applyAlignment="1">
      <alignment horizontal="center"/>
    </xf>
    <xf numFmtId="0" fontId="53" fillId="9" borderId="0" xfId="0" applyFont="1" applyFill="1"/>
    <xf numFmtId="0" fontId="47" fillId="6" borderId="0" xfId="0" applyFont="1" applyFill="1" applyAlignment="1">
      <alignment horizontal="left" vertical="center" indent="1"/>
    </xf>
    <xf numFmtId="0" fontId="54" fillId="0" borderId="0" xfId="0" applyFont="1"/>
    <xf numFmtId="0" fontId="51" fillId="0" borderId="0" xfId="0" applyFont="1"/>
    <xf numFmtId="0" fontId="51" fillId="0" borderId="0" xfId="0" applyFont="1" applyAlignment="1">
      <alignment vertical="top" wrapText="1"/>
    </xf>
    <xf numFmtId="0" fontId="56" fillId="0" borderId="0" xfId="0" applyFont="1"/>
    <xf numFmtId="0" fontId="61" fillId="11" borderId="1" xfId="0" applyFont="1" applyFill="1" applyBorder="1" applyAlignment="1">
      <alignment horizontal="center" vertical="center"/>
    </xf>
    <xf numFmtId="165" fontId="26" fillId="9" borderId="1" xfId="0" applyNumberFormat="1" applyFont="1" applyFill="1" applyBorder="1" applyAlignment="1">
      <alignment horizontal="center" vertical="center"/>
    </xf>
    <xf numFmtId="167" fontId="26" fillId="9" borderId="1" xfId="0" applyNumberFormat="1" applyFont="1" applyFill="1" applyBorder="1" applyAlignment="1">
      <alignment horizontal="center" vertical="center"/>
    </xf>
    <xf numFmtId="175" fontId="26" fillId="9" borderId="1" xfId="0" applyNumberFormat="1" applyFont="1" applyFill="1" applyBorder="1" applyAlignment="1">
      <alignment horizontal="center" vertical="center"/>
    </xf>
    <xf numFmtId="164" fontId="26" fillId="9"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8EA9DB"/>
      <rgbColor rgb="FF993366"/>
      <rgbColor rgb="FFFFF2CC"/>
      <rgbColor rgb="FFDCE6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FF99"/>
      <rgbColor rgb="FFD9E1F2"/>
      <rgbColor rgb="FFFF99CC"/>
      <rgbColor rgb="FFCC99FF"/>
      <rgbColor rgb="FFFFCC99"/>
      <rgbColor rgb="FF2E75B6"/>
      <rgbColor rgb="FF33CCCC"/>
      <rgbColor rgb="FF99CC00"/>
      <rgbColor rgb="FFFFCC00"/>
      <rgbColor rgb="FFFF9900"/>
      <rgbColor rgb="FFFF6600"/>
      <rgbColor rgb="FF595959"/>
      <rgbColor rgb="FF7F7F7F"/>
      <rgbColor rgb="FF1F3864"/>
      <rgbColor rgb="FF339966"/>
      <rgbColor rgb="FF003300"/>
      <rgbColor rgb="FF375623"/>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59"/>
  <sheetViews>
    <sheetView showGridLines="0" zoomScaleNormal="100" workbookViewId="0">
      <selection activeCell="E55" sqref="E55"/>
    </sheetView>
  </sheetViews>
  <sheetFormatPr defaultColWidth="8.6640625" defaultRowHeight="14.4" x14ac:dyDescent="0.3"/>
  <cols>
    <col min="1" max="1" width="4" customWidth="1"/>
    <col min="2" max="2" width="28" customWidth="1"/>
    <col min="3" max="3" width="84.109375" customWidth="1"/>
    <col min="4" max="4" width="0.21875" customWidth="1"/>
  </cols>
  <sheetData>
    <row r="2" spans="2:4" ht="33.6" x14ac:dyDescent="0.65">
      <c r="B2" s="173" t="s">
        <v>0</v>
      </c>
      <c r="C2" s="173"/>
    </row>
    <row r="3" spans="2:4" ht="21" x14ac:dyDescent="0.4">
      <c r="B3" s="174" t="s">
        <v>1</v>
      </c>
      <c r="C3" s="174"/>
    </row>
    <row r="4" spans="2:4" x14ac:dyDescent="0.3">
      <c r="B4" s="175" t="s">
        <v>2</v>
      </c>
      <c r="C4" s="175"/>
    </row>
    <row r="6" spans="2:4" ht="27.75" customHeight="1" x14ac:dyDescent="0.3">
      <c r="B6" s="145" t="s">
        <v>3</v>
      </c>
      <c r="C6" s="171" t="s">
        <v>763</v>
      </c>
      <c r="D6" s="171"/>
    </row>
    <row r="7" spans="2:4" x14ac:dyDescent="0.3">
      <c r="B7" s="146"/>
      <c r="C7" s="146"/>
      <c r="D7" s="146"/>
    </row>
    <row r="8" spans="2:4" ht="27.75" customHeight="1" x14ac:dyDescent="0.3">
      <c r="B8" s="145" t="s">
        <v>4</v>
      </c>
      <c r="C8" s="171" t="s">
        <v>5</v>
      </c>
      <c r="D8" s="171"/>
    </row>
    <row r="9" spans="2:4" x14ac:dyDescent="0.3">
      <c r="B9" s="146"/>
      <c r="C9" s="146"/>
      <c r="D9" s="146"/>
    </row>
    <row r="10" spans="2:4" ht="27.75" customHeight="1" x14ac:dyDescent="0.3">
      <c r="B10" s="145" t="s">
        <v>6</v>
      </c>
      <c r="C10" s="171" t="s">
        <v>7</v>
      </c>
      <c r="D10" s="171"/>
    </row>
    <row r="11" spans="2:4" x14ac:dyDescent="0.3">
      <c r="B11" s="146"/>
      <c r="C11" s="146"/>
      <c r="D11" s="146"/>
    </row>
    <row r="12" spans="2:4" ht="27.75" customHeight="1" x14ac:dyDescent="0.3">
      <c r="B12" s="145" t="s">
        <v>8</v>
      </c>
      <c r="C12" s="171" t="s">
        <v>9</v>
      </c>
      <c r="D12" s="171"/>
    </row>
    <row r="13" spans="2:4" x14ac:dyDescent="0.3">
      <c r="B13" s="146"/>
      <c r="C13" s="146"/>
      <c r="D13" s="146"/>
    </row>
    <row r="14" spans="2:4" ht="27.75" customHeight="1" x14ac:dyDescent="0.3">
      <c r="B14" s="145" t="s">
        <v>10</v>
      </c>
      <c r="C14" s="171" t="s">
        <v>11</v>
      </c>
      <c r="D14" s="171"/>
    </row>
    <row r="16" spans="2:4" ht="27.75" customHeight="1" x14ac:dyDescent="0.3">
      <c r="B16" s="2"/>
      <c r="C16" s="172"/>
      <c r="D16" s="172"/>
    </row>
    <row r="19" spans="2:4" ht="17.399999999999999" x14ac:dyDescent="0.35">
      <c r="B19" s="3" t="s">
        <v>12</v>
      </c>
    </row>
    <row r="21" spans="2:4" ht="18" customHeight="1" thickBot="1" x14ac:dyDescent="0.35">
      <c r="B21" s="161" t="s">
        <v>764</v>
      </c>
      <c r="C21" s="161"/>
      <c r="D21" s="161"/>
    </row>
    <row r="22" spans="2:4" ht="23.4" customHeight="1" x14ac:dyDescent="0.3">
      <c r="B22" s="148" t="s">
        <v>13</v>
      </c>
      <c r="C22" s="169" t="s">
        <v>14</v>
      </c>
      <c r="D22" s="170"/>
    </row>
    <row r="23" spans="2:4" ht="15.75" customHeight="1" x14ac:dyDescent="0.3">
      <c r="B23" s="149" t="s">
        <v>13</v>
      </c>
      <c r="C23" s="165" t="s">
        <v>15</v>
      </c>
      <c r="D23" s="166"/>
    </row>
    <row r="24" spans="2:4" ht="15.75" customHeight="1" x14ac:dyDescent="0.3">
      <c r="B24" s="149" t="s">
        <v>13</v>
      </c>
      <c r="C24" s="165" t="s">
        <v>16</v>
      </c>
      <c r="D24" s="166"/>
    </row>
    <row r="25" spans="2:4" ht="15.75" customHeight="1" x14ac:dyDescent="0.3">
      <c r="B25" s="149" t="s">
        <v>13</v>
      </c>
      <c r="C25" s="165" t="s">
        <v>17</v>
      </c>
      <c r="D25" s="166"/>
    </row>
    <row r="26" spans="2:4" ht="15.75" customHeight="1" x14ac:dyDescent="0.3">
      <c r="B26" s="149" t="s">
        <v>13</v>
      </c>
      <c r="C26" s="165" t="s">
        <v>18</v>
      </c>
      <c r="D26" s="166"/>
    </row>
    <row r="27" spans="2:4" ht="15.75" customHeight="1" thickBot="1" x14ac:dyDescent="0.35">
      <c r="B27" s="150" t="s">
        <v>13</v>
      </c>
      <c r="C27" s="167" t="s">
        <v>19</v>
      </c>
      <c r="D27" s="168"/>
    </row>
    <row r="28" spans="2:4" x14ac:dyDescent="0.3">
      <c r="B28" s="4"/>
    </row>
    <row r="29" spans="2:4" ht="18" customHeight="1" thickBot="1" x14ac:dyDescent="0.35">
      <c r="B29" s="161" t="s">
        <v>765</v>
      </c>
      <c r="C29" s="161"/>
      <c r="D29" s="161"/>
    </row>
    <row r="30" spans="2:4" ht="15.75" customHeight="1" x14ac:dyDescent="0.3">
      <c r="B30" s="148" t="s">
        <v>13</v>
      </c>
      <c r="C30" s="169" t="s">
        <v>20</v>
      </c>
      <c r="D30" s="170"/>
    </row>
    <row r="31" spans="2:4" ht="15.75" customHeight="1" x14ac:dyDescent="0.3">
      <c r="B31" s="149" t="s">
        <v>13</v>
      </c>
      <c r="C31" s="165" t="s">
        <v>21</v>
      </c>
      <c r="D31" s="166"/>
    </row>
    <row r="32" spans="2:4" ht="32.4" customHeight="1" x14ac:dyDescent="0.3">
      <c r="B32" s="149" t="s">
        <v>13</v>
      </c>
      <c r="C32" s="165" t="s">
        <v>22</v>
      </c>
      <c r="D32" s="166"/>
    </row>
    <row r="33" spans="2:4" ht="15.75" customHeight="1" x14ac:dyDescent="0.3">
      <c r="B33" s="149" t="s">
        <v>13</v>
      </c>
      <c r="C33" s="165" t="s">
        <v>23</v>
      </c>
      <c r="D33" s="166"/>
    </row>
    <row r="34" spans="2:4" ht="15.75" customHeight="1" thickBot="1" x14ac:dyDescent="0.35">
      <c r="B34" s="150" t="s">
        <v>13</v>
      </c>
      <c r="C34" s="167" t="s">
        <v>24</v>
      </c>
      <c r="D34" s="168"/>
    </row>
    <row r="35" spans="2:4" x14ac:dyDescent="0.3">
      <c r="B35" s="1"/>
    </row>
    <row r="36" spans="2:4" ht="18" customHeight="1" thickBot="1" x14ac:dyDescent="0.35">
      <c r="B36" s="161" t="s">
        <v>766</v>
      </c>
      <c r="C36" s="161"/>
      <c r="D36" s="161"/>
    </row>
    <row r="37" spans="2:4" ht="33" customHeight="1" thickBot="1" x14ac:dyDescent="0.35">
      <c r="B37" s="147" t="s">
        <v>13</v>
      </c>
      <c r="C37" s="162" t="s">
        <v>25</v>
      </c>
      <c r="D37" s="163"/>
    </row>
    <row r="39" spans="2:4" ht="18" customHeight="1" thickBot="1" x14ac:dyDescent="0.35">
      <c r="B39" s="161" t="s">
        <v>767</v>
      </c>
      <c r="C39" s="161"/>
      <c r="D39" s="161"/>
    </row>
    <row r="40" spans="2:4" ht="15.75" customHeight="1" x14ac:dyDescent="0.3">
      <c r="B40" s="148" t="s">
        <v>13</v>
      </c>
      <c r="C40" s="169" t="s">
        <v>26</v>
      </c>
      <c r="D40" s="170"/>
    </row>
    <row r="41" spans="2:4" ht="15.75" customHeight="1" x14ac:dyDescent="0.3">
      <c r="B41" s="149" t="s">
        <v>13</v>
      </c>
      <c r="C41" s="165" t="s">
        <v>27</v>
      </c>
      <c r="D41" s="166"/>
    </row>
    <row r="42" spans="2:4" ht="32.4" customHeight="1" x14ac:dyDescent="0.3">
      <c r="B42" s="149" t="s">
        <v>13</v>
      </c>
      <c r="C42" s="165" t="s">
        <v>28</v>
      </c>
      <c r="D42" s="166"/>
    </row>
    <row r="43" spans="2:4" ht="15.75" customHeight="1" x14ac:dyDescent="0.3">
      <c r="B43" s="149" t="s">
        <v>13</v>
      </c>
      <c r="C43" s="165" t="s">
        <v>29</v>
      </c>
      <c r="D43" s="166"/>
    </row>
    <row r="44" spans="2:4" ht="15.75" customHeight="1" x14ac:dyDescent="0.3">
      <c r="B44" s="149" t="s">
        <v>13</v>
      </c>
      <c r="C44" s="165" t="s">
        <v>30</v>
      </c>
      <c r="D44" s="166"/>
    </row>
    <row r="45" spans="2:4" ht="15.75" customHeight="1" x14ac:dyDescent="0.3">
      <c r="B45" s="149" t="s">
        <v>13</v>
      </c>
      <c r="C45" s="165" t="s">
        <v>31</v>
      </c>
      <c r="D45" s="166"/>
    </row>
    <row r="46" spans="2:4" ht="15.75" customHeight="1" x14ac:dyDescent="0.3">
      <c r="B46" s="149" t="s">
        <v>13</v>
      </c>
      <c r="C46" s="165" t="s">
        <v>32</v>
      </c>
      <c r="D46" s="166"/>
    </row>
    <row r="47" spans="2:4" ht="15.75" customHeight="1" x14ac:dyDescent="0.3">
      <c r="B47" s="149" t="s">
        <v>13</v>
      </c>
      <c r="C47" s="165" t="s">
        <v>33</v>
      </c>
      <c r="D47" s="166"/>
    </row>
    <row r="48" spans="2:4" ht="15.75" customHeight="1" x14ac:dyDescent="0.3">
      <c r="B48" s="149" t="s">
        <v>13</v>
      </c>
      <c r="C48" s="165" t="s">
        <v>34</v>
      </c>
      <c r="D48" s="166"/>
    </row>
    <row r="49" spans="2:4" ht="15.75" customHeight="1" thickBot="1" x14ac:dyDescent="0.35">
      <c r="B49" s="150" t="s">
        <v>13</v>
      </c>
      <c r="C49" s="167" t="s">
        <v>35</v>
      </c>
      <c r="D49" s="168"/>
    </row>
    <row r="51" spans="2:4" ht="18" customHeight="1" thickBot="1" x14ac:dyDescent="0.35">
      <c r="B51" s="161" t="s">
        <v>768</v>
      </c>
      <c r="C51" s="161"/>
      <c r="D51" s="161"/>
    </row>
    <row r="52" spans="2:4" ht="44.4" customHeight="1" thickBot="1" x14ac:dyDescent="0.35">
      <c r="B52" s="147" t="s">
        <v>13</v>
      </c>
      <c r="C52" s="162" t="s">
        <v>36</v>
      </c>
      <c r="D52" s="163"/>
    </row>
    <row r="55" spans="2:4" ht="15" customHeight="1" x14ac:dyDescent="0.3">
      <c r="B55" s="164" t="s">
        <v>37</v>
      </c>
      <c r="C55" s="164"/>
      <c r="D55" s="164"/>
    </row>
    <row r="56" spans="2:4" x14ac:dyDescent="0.3">
      <c r="B56" s="164"/>
      <c r="C56" s="164"/>
      <c r="D56" s="164"/>
    </row>
    <row r="57" spans="2:4" x14ac:dyDescent="0.3">
      <c r="B57" s="164"/>
      <c r="C57" s="164"/>
      <c r="D57" s="164"/>
    </row>
    <row r="58" spans="2:4" x14ac:dyDescent="0.3">
      <c r="B58" s="164"/>
      <c r="C58" s="164"/>
      <c r="D58" s="164"/>
    </row>
    <row r="59" spans="2:4" x14ac:dyDescent="0.3">
      <c r="B59" s="164"/>
      <c r="C59" s="164"/>
      <c r="D59" s="164"/>
    </row>
  </sheetData>
  <mergeCells count="38">
    <mergeCell ref="B2:C2"/>
    <mergeCell ref="B3:C3"/>
    <mergeCell ref="B4:C4"/>
    <mergeCell ref="C6:D6"/>
    <mergeCell ref="C8:D8"/>
    <mergeCell ref="C10:D10"/>
    <mergeCell ref="C12:D12"/>
    <mergeCell ref="C14:D14"/>
    <mergeCell ref="C16:D16"/>
    <mergeCell ref="B21:D21"/>
    <mergeCell ref="C22:D22"/>
    <mergeCell ref="C23:D23"/>
    <mergeCell ref="C24:D24"/>
    <mergeCell ref="C25:D25"/>
    <mergeCell ref="C26:D26"/>
    <mergeCell ref="C27:D27"/>
    <mergeCell ref="B29:D29"/>
    <mergeCell ref="C30:D30"/>
    <mergeCell ref="C31:D31"/>
    <mergeCell ref="C32:D32"/>
    <mergeCell ref="C33:D33"/>
    <mergeCell ref="C34:D34"/>
    <mergeCell ref="B36:D36"/>
    <mergeCell ref="C37:D37"/>
    <mergeCell ref="B39:D39"/>
    <mergeCell ref="C40:D40"/>
    <mergeCell ref="C41:D41"/>
    <mergeCell ref="C42:D42"/>
    <mergeCell ref="C43:D43"/>
    <mergeCell ref="C44:D44"/>
    <mergeCell ref="B51:D51"/>
    <mergeCell ref="C52:D52"/>
    <mergeCell ref="B55:D59"/>
    <mergeCell ref="C45:D45"/>
    <mergeCell ref="C46:D46"/>
    <mergeCell ref="C47:D47"/>
    <mergeCell ref="C48:D48"/>
    <mergeCell ref="C49:D4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showGridLines="0" zoomScaleNormal="100" workbookViewId="0">
      <pane xSplit="3" ySplit="3" topLeftCell="D4" activePane="bottomRight" state="frozen"/>
      <selection pane="topRight" activeCell="D1" sqref="D1"/>
      <selection pane="bottomLeft" activeCell="A4" sqref="A4"/>
      <selection pane="bottomRight" activeCell="I12" sqref="I12"/>
    </sheetView>
  </sheetViews>
  <sheetFormatPr defaultColWidth="8.6640625" defaultRowHeight="14.4" x14ac:dyDescent="0.3"/>
  <cols>
    <col min="1" max="1" width="2" customWidth="1"/>
    <col min="2" max="2" width="42" customWidth="1"/>
    <col min="3" max="3" width="8.88671875" customWidth="1"/>
    <col min="4" max="6" width="14" customWidth="1"/>
    <col min="7" max="7" width="40" hidden="1" customWidth="1"/>
  </cols>
  <sheetData>
    <row r="1" spans="1:7" ht="30" customHeight="1" x14ac:dyDescent="0.3">
      <c r="A1" s="176" t="s">
        <v>38</v>
      </c>
      <c r="B1" s="176"/>
      <c r="C1" s="176"/>
      <c r="D1" s="176"/>
      <c r="E1" s="176"/>
      <c r="F1" s="176"/>
    </row>
    <row r="3" spans="1:7" ht="25.5" customHeight="1" x14ac:dyDescent="0.3">
      <c r="B3" s="5" t="s">
        <v>39</v>
      </c>
      <c r="C3" s="5"/>
      <c r="D3" s="5" t="s">
        <v>40</v>
      </c>
      <c r="E3" s="5" t="s">
        <v>41</v>
      </c>
      <c r="F3" s="5" t="s">
        <v>42</v>
      </c>
    </row>
    <row r="4" spans="1:7" x14ac:dyDescent="0.3">
      <c r="B4" s="177" t="s">
        <v>43</v>
      </c>
      <c r="C4" s="177"/>
      <c r="D4" s="177"/>
      <c r="E4" s="177"/>
      <c r="F4" s="177"/>
      <c r="G4" s="177"/>
    </row>
    <row r="5" spans="1:7" x14ac:dyDescent="0.3">
      <c r="B5" s="6" t="s">
        <v>44</v>
      </c>
    </row>
    <row r="6" spans="1:7" x14ac:dyDescent="0.3">
      <c r="B6" s="4" t="s">
        <v>45</v>
      </c>
      <c r="D6" s="7">
        <v>12370</v>
      </c>
      <c r="E6" s="7">
        <v>11778</v>
      </c>
      <c r="F6" s="7">
        <v>12651</v>
      </c>
    </row>
    <row r="7" spans="1:7" x14ac:dyDescent="0.3">
      <c r="B7" s="4" t="s">
        <v>46</v>
      </c>
      <c r="D7" s="7">
        <v>6552</v>
      </c>
      <c r="E7" s="7">
        <v>6311</v>
      </c>
      <c r="F7" s="7">
        <v>6177</v>
      </c>
    </row>
    <row r="8" spans="1:7" x14ac:dyDescent="0.3">
      <c r="B8" s="4" t="s">
        <v>47</v>
      </c>
      <c r="D8" s="7">
        <v>293</v>
      </c>
      <c r="E8" s="7">
        <v>814</v>
      </c>
      <c r="F8" s="7">
        <v>526</v>
      </c>
    </row>
    <row r="9" spans="1:7" x14ac:dyDescent="0.3">
      <c r="B9" s="4" t="s">
        <v>48</v>
      </c>
      <c r="D9" s="7">
        <v>7303</v>
      </c>
      <c r="E9" s="7">
        <v>10106</v>
      </c>
      <c r="F9" s="7">
        <v>12117</v>
      </c>
    </row>
    <row r="10" spans="1:7" x14ac:dyDescent="0.3">
      <c r="B10" s="4" t="s">
        <v>49</v>
      </c>
      <c r="D10" s="7">
        <v>1397</v>
      </c>
      <c r="E10" s="7">
        <v>2766</v>
      </c>
      <c r="F10" s="7">
        <v>2825</v>
      </c>
    </row>
    <row r="11" spans="1:7" x14ac:dyDescent="0.3">
      <c r="B11" s="4" t="s">
        <v>50</v>
      </c>
      <c r="D11" s="7">
        <v>11708</v>
      </c>
      <c r="E11" s="7">
        <v>11059</v>
      </c>
      <c r="F11" s="7">
        <v>8930</v>
      </c>
    </row>
    <row r="12" spans="1:7" x14ac:dyDescent="0.3">
      <c r="B12" s="4" t="s">
        <v>51</v>
      </c>
      <c r="D12" s="7">
        <v>34</v>
      </c>
      <c r="E12" s="7">
        <v>16</v>
      </c>
      <c r="F12" s="7">
        <v>6</v>
      </c>
    </row>
    <row r="13" spans="1:7" x14ac:dyDescent="0.3">
      <c r="B13" s="4" t="s">
        <v>52</v>
      </c>
      <c r="D13" s="7">
        <v>3105</v>
      </c>
      <c r="E13" s="7">
        <v>3511</v>
      </c>
      <c r="F13" s="7">
        <v>2776</v>
      </c>
    </row>
    <row r="14" spans="1:7" x14ac:dyDescent="0.3">
      <c r="B14" s="4" t="s">
        <v>53</v>
      </c>
      <c r="D14" s="7">
        <v>454</v>
      </c>
      <c r="E14" s="7">
        <v>1108</v>
      </c>
      <c r="F14" s="7">
        <v>2264</v>
      </c>
    </row>
    <row r="15" spans="1:7" x14ac:dyDescent="0.3">
      <c r="B15" s="4" t="s">
        <v>54</v>
      </c>
      <c r="D15" s="7">
        <v>3045</v>
      </c>
      <c r="E15" s="7">
        <v>1622</v>
      </c>
      <c r="F15" s="7">
        <v>666</v>
      </c>
    </row>
    <row r="16" spans="1:7" x14ac:dyDescent="0.3">
      <c r="B16" s="4" t="s">
        <v>55</v>
      </c>
      <c r="D16" s="7">
        <v>2121</v>
      </c>
      <c r="E16" s="7">
        <v>2713</v>
      </c>
      <c r="F16" s="7">
        <v>3540</v>
      </c>
    </row>
    <row r="17" spans="2:7" x14ac:dyDescent="0.3">
      <c r="B17" s="2" t="s">
        <v>56</v>
      </c>
      <c r="D17" s="8">
        <f>SUM(D6:D16)</f>
        <v>48382</v>
      </c>
      <c r="E17" s="8">
        <f>SUM(E6:E16)</f>
        <v>51804</v>
      </c>
      <c r="F17" s="8">
        <f>SUM(F6:F16)</f>
        <v>52478</v>
      </c>
    </row>
    <row r="18" spans="2:7" x14ac:dyDescent="0.3">
      <c r="B18" s="6" t="s">
        <v>57</v>
      </c>
    </row>
    <row r="19" spans="2:7" x14ac:dyDescent="0.3">
      <c r="B19" s="4" t="s">
        <v>58</v>
      </c>
      <c r="D19" s="7">
        <v>12915</v>
      </c>
      <c r="E19" s="7">
        <v>12482</v>
      </c>
      <c r="F19" s="7">
        <v>12950</v>
      </c>
    </row>
    <row r="20" spans="2:7" x14ac:dyDescent="0.3">
      <c r="B20" s="4" t="s">
        <v>59</v>
      </c>
      <c r="D20" s="7">
        <v>30193</v>
      </c>
      <c r="E20" s="7">
        <v>31158</v>
      </c>
      <c r="F20" s="7">
        <v>35234</v>
      </c>
    </row>
    <row r="21" spans="2:7" x14ac:dyDescent="0.3">
      <c r="B21" s="4" t="s">
        <v>60</v>
      </c>
      <c r="D21" s="7">
        <v>14786</v>
      </c>
      <c r="E21" s="7">
        <v>24455</v>
      </c>
      <c r="F21" s="7">
        <v>22201</v>
      </c>
    </row>
    <row r="22" spans="2:7" x14ac:dyDescent="0.3">
      <c r="B22" s="4" t="s">
        <v>61</v>
      </c>
      <c r="D22" s="7">
        <v>248</v>
      </c>
      <c r="E22" s="7">
        <v>249</v>
      </c>
      <c r="F22" s="7">
        <v>234</v>
      </c>
    </row>
    <row r="23" spans="2:7" x14ac:dyDescent="0.3">
      <c r="B23" s="4" t="s">
        <v>62</v>
      </c>
      <c r="D23" s="7">
        <v>12085</v>
      </c>
      <c r="E23" s="7">
        <v>13840</v>
      </c>
      <c r="F23" s="7">
        <v>15890</v>
      </c>
    </row>
    <row r="24" spans="2:7" x14ac:dyDescent="0.3">
      <c r="B24" s="4" t="s">
        <v>63</v>
      </c>
      <c r="D24" s="7">
        <v>6397</v>
      </c>
      <c r="E24" s="7">
        <v>2975</v>
      </c>
      <c r="F24" s="7">
        <v>1835</v>
      </c>
    </row>
    <row r="25" spans="2:7" x14ac:dyDescent="0.3">
      <c r="B25" s="4" t="s">
        <v>64</v>
      </c>
      <c r="D25" s="7">
        <v>12808</v>
      </c>
      <c r="E25" s="7">
        <v>11940</v>
      </c>
      <c r="F25" s="7">
        <v>15145</v>
      </c>
    </row>
    <row r="26" spans="2:7" x14ac:dyDescent="0.3">
      <c r="B26" s="2" t="s">
        <v>65</v>
      </c>
      <c r="D26" s="8">
        <f>SUM(D19:D25)</f>
        <v>89432</v>
      </c>
      <c r="E26" s="8">
        <f>SUM(E19:E25)</f>
        <v>97099</v>
      </c>
      <c r="F26" s="8">
        <f>SUM(F19:F25)</f>
        <v>103489</v>
      </c>
    </row>
    <row r="27" spans="2:7" x14ac:dyDescent="0.3">
      <c r="B27" s="9" t="s">
        <v>66</v>
      </c>
      <c r="D27" s="10">
        <f>D17+D26</f>
        <v>137814</v>
      </c>
      <c r="E27" s="10">
        <f>E17+E26</f>
        <v>148903</v>
      </c>
      <c r="F27" s="10">
        <f>F17+F26</f>
        <v>155967</v>
      </c>
    </row>
    <row r="28" spans="2:7" x14ac:dyDescent="0.3">
      <c r="B28" s="161" t="s">
        <v>67</v>
      </c>
      <c r="C28" s="161"/>
      <c r="D28" s="161"/>
      <c r="E28" s="161"/>
      <c r="F28" s="161"/>
      <c r="G28" s="161"/>
    </row>
    <row r="29" spans="2:7" x14ac:dyDescent="0.3">
      <c r="B29" s="6" t="s">
        <v>68</v>
      </c>
    </row>
    <row r="30" spans="2:7" x14ac:dyDescent="0.3">
      <c r="B30" s="4" t="s">
        <v>69</v>
      </c>
      <c r="D30" s="7">
        <v>2071</v>
      </c>
      <c r="E30" s="7">
        <v>2073</v>
      </c>
      <c r="F30" s="7">
        <v>2024</v>
      </c>
    </row>
    <row r="31" spans="2:7" x14ac:dyDescent="0.3">
      <c r="B31" s="4" t="s">
        <v>70</v>
      </c>
      <c r="D31" s="7">
        <v>86045</v>
      </c>
      <c r="E31" s="7">
        <v>93745</v>
      </c>
      <c r="F31" s="7">
        <v>90828</v>
      </c>
    </row>
    <row r="32" spans="2:7" x14ac:dyDescent="0.3">
      <c r="B32" s="2" t="s">
        <v>71</v>
      </c>
      <c r="D32" s="8">
        <f>D30+D31</f>
        <v>88116</v>
      </c>
      <c r="E32" s="8">
        <f>E30+E31</f>
        <v>95818</v>
      </c>
      <c r="F32" s="8">
        <f>F30+F31</f>
        <v>92852</v>
      </c>
    </row>
    <row r="33" spans="2:6" x14ac:dyDescent="0.3">
      <c r="B33" s="4" t="s">
        <v>72</v>
      </c>
      <c r="D33" s="7">
        <v>345</v>
      </c>
      <c r="E33" s="7">
        <v>385</v>
      </c>
      <c r="F33" s="7">
        <v>445</v>
      </c>
    </row>
    <row r="34" spans="2:6" x14ac:dyDescent="0.3">
      <c r="B34" s="2" t="s">
        <v>73</v>
      </c>
      <c r="D34" s="8">
        <f>D32+D33</f>
        <v>88461</v>
      </c>
      <c r="E34" s="8">
        <f>E32+E33</f>
        <v>96203</v>
      </c>
      <c r="F34" s="8">
        <f>F32+F33</f>
        <v>93297</v>
      </c>
    </row>
    <row r="35" spans="2:6" x14ac:dyDescent="0.3">
      <c r="B35" s="6" t="s">
        <v>74</v>
      </c>
    </row>
    <row r="36" spans="2:6" x14ac:dyDescent="0.3">
      <c r="B36" s="4" t="s">
        <v>75</v>
      </c>
      <c r="D36" s="7">
        <v>6400</v>
      </c>
      <c r="E36" s="7">
        <v>5772</v>
      </c>
      <c r="F36" s="7">
        <v>6016</v>
      </c>
    </row>
    <row r="37" spans="2:6" x14ac:dyDescent="0.3">
      <c r="B37" s="4" t="s">
        <v>76</v>
      </c>
      <c r="D37" s="7">
        <v>2130</v>
      </c>
      <c r="E37" s="7">
        <v>2141</v>
      </c>
      <c r="F37" s="7">
        <v>2092</v>
      </c>
    </row>
    <row r="38" spans="2:6" x14ac:dyDescent="0.3">
      <c r="B38" s="4" t="s">
        <v>77</v>
      </c>
      <c r="D38" s="7">
        <v>1794</v>
      </c>
      <c r="E38" s="7">
        <v>1722</v>
      </c>
      <c r="F38" s="7">
        <v>1679</v>
      </c>
    </row>
    <row r="39" spans="2:6" x14ac:dyDescent="0.3">
      <c r="B39" s="4" t="s">
        <v>78</v>
      </c>
      <c r="D39" s="7">
        <v>235</v>
      </c>
      <c r="E39" s="7">
        <v>215</v>
      </c>
      <c r="F39" s="7">
        <v>561</v>
      </c>
    </row>
    <row r="40" spans="2:6" x14ac:dyDescent="0.3">
      <c r="B40" s="2" t="s">
        <v>79</v>
      </c>
      <c r="D40" s="8">
        <f>SUM(D36:D39)</f>
        <v>10559</v>
      </c>
      <c r="E40" s="8">
        <f>SUM(E36:E39)</f>
        <v>9850</v>
      </c>
      <c r="F40" s="8">
        <f>SUM(F36:F39)</f>
        <v>10348</v>
      </c>
    </row>
    <row r="41" spans="2:6" x14ac:dyDescent="0.3">
      <c r="B41" s="6" t="s">
        <v>80</v>
      </c>
    </row>
    <row r="42" spans="2:6" x14ac:dyDescent="0.3">
      <c r="B42" s="4" t="s">
        <v>81</v>
      </c>
      <c r="D42" s="7">
        <v>1959</v>
      </c>
      <c r="E42" s="7">
        <v>2455</v>
      </c>
      <c r="F42" s="7">
        <v>3160</v>
      </c>
    </row>
    <row r="43" spans="2:6" x14ac:dyDescent="0.3">
      <c r="B43" s="4" t="s">
        <v>82</v>
      </c>
      <c r="D43" s="7">
        <v>3956</v>
      </c>
      <c r="E43" s="7">
        <v>4164</v>
      </c>
      <c r="F43" s="7">
        <v>4744</v>
      </c>
    </row>
    <row r="44" spans="2:6" x14ac:dyDescent="0.3">
      <c r="B44" s="4" t="s">
        <v>83</v>
      </c>
      <c r="D44" s="7">
        <v>16959</v>
      </c>
      <c r="E44" s="7">
        <v>18138</v>
      </c>
      <c r="F44" s="7">
        <v>21483</v>
      </c>
    </row>
    <row r="45" spans="2:6" x14ac:dyDescent="0.3">
      <c r="B45" s="4" t="s">
        <v>84</v>
      </c>
      <c r="D45" s="7">
        <v>10539</v>
      </c>
      <c r="E45" s="7">
        <v>11765</v>
      </c>
      <c r="F45" s="7">
        <v>15779</v>
      </c>
    </row>
    <row r="46" spans="2:6" x14ac:dyDescent="0.3">
      <c r="B46" s="4" t="s">
        <v>85</v>
      </c>
      <c r="D46" s="7">
        <v>1796</v>
      </c>
      <c r="E46" s="7">
        <v>1475</v>
      </c>
      <c r="F46" s="7">
        <v>1512</v>
      </c>
    </row>
    <row r="47" spans="2:6" x14ac:dyDescent="0.3">
      <c r="B47" s="4" t="s">
        <v>86</v>
      </c>
      <c r="D47" s="7">
        <v>3585</v>
      </c>
      <c r="E47" s="7">
        <v>4853</v>
      </c>
      <c r="F47" s="7">
        <v>5644</v>
      </c>
    </row>
    <row r="48" spans="2:6" x14ac:dyDescent="0.3">
      <c r="B48" s="2" t="s">
        <v>87</v>
      </c>
      <c r="D48" s="8">
        <f>SUM(D42:D47)</f>
        <v>38794</v>
      </c>
      <c r="E48" s="8">
        <f>SUM(E42:E47)</f>
        <v>42850</v>
      </c>
      <c r="F48" s="8">
        <f>SUM(F42:F47)</f>
        <v>52322</v>
      </c>
    </row>
    <row r="49" spans="2:7" x14ac:dyDescent="0.3">
      <c r="B49" s="9" t="s">
        <v>88</v>
      </c>
      <c r="D49" s="10">
        <f>D34+D40+D48</f>
        <v>137814</v>
      </c>
      <c r="E49" s="10">
        <f>E34+E40+E48</f>
        <v>148903</v>
      </c>
      <c r="F49" s="10">
        <f>F34+F40+F48</f>
        <v>155967</v>
      </c>
    </row>
    <row r="51" spans="2:7" x14ac:dyDescent="0.3">
      <c r="B51" s="178" t="s">
        <v>89</v>
      </c>
      <c r="C51" s="178"/>
      <c r="D51" s="178"/>
      <c r="E51" s="178"/>
      <c r="F51" s="178"/>
      <c r="G51" s="178"/>
    </row>
  </sheetData>
  <mergeCells count="4">
    <mergeCell ref="A1:F1"/>
    <mergeCell ref="B4:G4"/>
    <mergeCell ref="B28:G28"/>
    <mergeCell ref="B51:G5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showGridLines="0" zoomScaleNormal="100" workbookViewId="0">
      <pane xSplit="3" ySplit="3" topLeftCell="D4" activePane="bottomRight" state="frozen"/>
      <selection pane="topRight" activeCell="D1" sqref="D1"/>
      <selection pane="bottomLeft" activeCell="A4" sqref="A4"/>
      <selection pane="bottomRight" activeCell="C26" sqref="C26:C30"/>
    </sheetView>
  </sheetViews>
  <sheetFormatPr defaultColWidth="8.6640625" defaultRowHeight="14.4" x14ac:dyDescent="0.3"/>
  <cols>
    <col min="1" max="1" width="2" customWidth="1"/>
    <col min="2" max="2" width="42" customWidth="1"/>
    <col min="3" max="3" width="8" customWidth="1"/>
    <col min="4" max="6" width="14" customWidth="1"/>
    <col min="7" max="7" width="40" customWidth="1"/>
  </cols>
  <sheetData>
    <row r="1" spans="1:6" ht="30" customHeight="1" x14ac:dyDescent="0.3">
      <c r="A1" s="176" t="s">
        <v>90</v>
      </c>
      <c r="B1" s="176"/>
      <c r="C1" s="176"/>
      <c r="D1" s="176"/>
      <c r="E1" s="176"/>
      <c r="F1" s="176"/>
    </row>
    <row r="3" spans="1:6" ht="25.5" customHeight="1" x14ac:dyDescent="0.3">
      <c r="B3" s="5" t="s">
        <v>39</v>
      </c>
      <c r="C3" s="5"/>
      <c r="D3" s="5" t="s">
        <v>40</v>
      </c>
      <c r="E3" s="5" t="s">
        <v>41</v>
      </c>
      <c r="F3" s="5" t="s">
        <v>42</v>
      </c>
    </row>
    <row r="4" spans="1:6" x14ac:dyDescent="0.3">
      <c r="B4" s="4" t="s">
        <v>91</v>
      </c>
      <c r="D4" s="11">
        <v>153670</v>
      </c>
      <c r="E4" s="11">
        <v>162990</v>
      </c>
      <c r="F4" s="11">
        <v>178650</v>
      </c>
    </row>
    <row r="5" spans="1:6" x14ac:dyDescent="0.3">
      <c r="B5" s="4" t="s">
        <v>92</v>
      </c>
      <c r="D5" s="11">
        <v>4711</v>
      </c>
      <c r="E5" s="11">
        <v>3600</v>
      </c>
      <c r="F5" s="11">
        <v>4322</v>
      </c>
    </row>
    <row r="6" spans="1:6" x14ac:dyDescent="0.3">
      <c r="B6" s="2" t="s">
        <v>93</v>
      </c>
      <c r="D6" s="12">
        <f>D4+D5</f>
        <v>158381</v>
      </c>
      <c r="E6" s="12">
        <f>E4+E5</f>
        <v>166590</v>
      </c>
      <c r="F6" s="12">
        <f>F4+F5</f>
        <v>182972</v>
      </c>
    </row>
    <row r="7" spans="1:6" x14ac:dyDescent="0.3">
      <c r="B7" s="6" t="s">
        <v>94</v>
      </c>
    </row>
    <row r="8" spans="1:6" x14ac:dyDescent="0.3">
      <c r="B8" s="4" t="s">
        <v>95</v>
      </c>
      <c r="D8" s="11">
        <v>82620</v>
      </c>
      <c r="E8" s="11">
        <v>85950</v>
      </c>
      <c r="F8" s="11">
        <v>95094</v>
      </c>
    </row>
    <row r="9" spans="1:6" x14ac:dyDescent="0.3">
      <c r="B9" s="4" t="s">
        <v>96</v>
      </c>
      <c r="D9" s="11">
        <v>12232</v>
      </c>
      <c r="E9" s="11">
        <v>12937</v>
      </c>
      <c r="F9" s="11">
        <v>15421</v>
      </c>
    </row>
    <row r="10" spans="1:6" x14ac:dyDescent="0.3">
      <c r="B10" s="4" t="s">
        <v>97</v>
      </c>
      <c r="D10" s="11">
        <v>1759</v>
      </c>
      <c r="E10" s="11">
        <v>1894</v>
      </c>
      <c r="F10" s="11">
        <v>2097</v>
      </c>
    </row>
    <row r="11" spans="1:6" x14ac:dyDescent="0.3">
      <c r="B11" s="4" t="s">
        <v>98</v>
      </c>
      <c r="D11" s="11">
        <v>13515</v>
      </c>
      <c r="E11" s="11">
        <v>15911</v>
      </c>
      <c r="F11" s="11">
        <v>15722</v>
      </c>
    </row>
    <row r="12" spans="1:6" x14ac:dyDescent="0.3">
      <c r="B12" s="4" t="s">
        <v>99</v>
      </c>
      <c r="D12" s="11">
        <v>677</v>
      </c>
      <c r="E12" s="11">
        <v>620</v>
      </c>
      <c r="F12" s="11">
        <v>603</v>
      </c>
    </row>
    <row r="13" spans="1:6" x14ac:dyDescent="0.3">
      <c r="B13" s="4" t="s">
        <v>100</v>
      </c>
      <c r="D13" s="11">
        <v>1726</v>
      </c>
      <c r="E13" s="11">
        <v>1655</v>
      </c>
      <c r="F13" s="11">
        <v>2090</v>
      </c>
    </row>
    <row r="14" spans="1:6" x14ac:dyDescent="0.3">
      <c r="B14" s="4" t="s">
        <v>101</v>
      </c>
      <c r="D14" s="11">
        <v>4678</v>
      </c>
      <c r="E14" s="11">
        <v>4812</v>
      </c>
      <c r="F14" s="11">
        <v>4902</v>
      </c>
    </row>
    <row r="15" spans="1:6" x14ac:dyDescent="0.3">
      <c r="B15" s="4" t="s">
        <v>102</v>
      </c>
      <c r="D15" s="11">
        <v>470</v>
      </c>
      <c r="E15" s="11">
        <v>416</v>
      </c>
      <c r="F15" s="11">
        <v>416</v>
      </c>
    </row>
    <row r="16" spans="1:6" x14ac:dyDescent="0.3">
      <c r="B16" s="4" t="s">
        <v>103</v>
      </c>
      <c r="D16" s="11">
        <v>4716</v>
      </c>
      <c r="E16" s="11">
        <v>4787</v>
      </c>
      <c r="F16" s="11">
        <v>5343</v>
      </c>
    </row>
    <row r="17" spans="2:7" x14ac:dyDescent="0.3">
      <c r="B17" s="2" t="s">
        <v>104</v>
      </c>
      <c r="D17" s="12">
        <f>SUM(D8:D16)</f>
        <v>122393</v>
      </c>
      <c r="E17" s="12">
        <f>SUM(E8:E16)</f>
        <v>128982</v>
      </c>
      <c r="F17" s="12">
        <f>SUM(F8:F16)</f>
        <v>141688</v>
      </c>
    </row>
    <row r="18" spans="2:7" x14ac:dyDescent="0.3">
      <c r="B18" s="2" t="s">
        <v>105</v>
      </c>
      <c r="D18" s="12">
        <f>D6-D17</f>
        <v>35988</v>
      </c>
      <c r="E18" s="12">
        <f>E6-E17</f>
        <v>37608</v>
      </c>
      <c r="F18" s="12">
        <f>F6-F17</f>
        <v>41284</v>
      </c>
    </row>
    <row r="19" spans="2:7" x14ac:dyDescent="0.3">
      <c r="B19" s="4" t="s">
        <v>106</v>
      </c>
      <c r="D19" s="11">
        <v>0</v>
      </c>
      <c r="E19" s="11">
        <v>0</v>
      </c>
      <c r="F19" s="11">
        <v>1289</v>
      </c>
    </row>
    <row r="20" spans="2:7" x14ac:dyDescent="0.3">
      <c r="B20" s="2" t="s">
        <v>107</v>
      </c>
      <c r="D20" s="12">
        <f>D18-D19</f>
        <v>35988</v>
      </c>
      <c r="E20" s="12">
        <f>E18-E19</f>
        <v>37608</v>
      </c>
      <c r="F20" s="12">
        <f>F18-F19</f>
        <v>39995</v>
      </c>
    </row>
    <row r="21" spans="2:7" x14ac:dyDescent="0.3">
      <c r="B21" s="4" t="s">
        <v>108</v>
      </c>
      <c r="D21" s="11">
        <v>8390</v>
      </c>
      <c r="E21" s="11">
        <v>12130</v>
      </c>
      <c r="F21" s="11">
        <v>11767</v>
      </c>
    </row>
    <row r="22" spans="2:7" x14ac:dyDescent="0.3">
      <c r="B22" s="4" t="s">
        <v>109</v>
      </c>
      <c r="D22" s="11">
        <v>1350</v>
      </c>
      <c r="E22" s="11">
        <v>-1272</v>
      </c>
      <c r="F22" s="11">
        <v>-1246</v>
      </c>
    </row>
    <row r="23" spans="2:7" x14ac:dyDescent="0.3">
      <c r="B23" s="2" t="s">
        <v>110</v>
      </c>
      <c r="D23" s="12">
        <f>D21+D22</f>
        <v>9740</v>
      </c>
      <c r="E23" s="12">
        <f>E21+E22</f>
        <v>10858</v>
      </c>
      <c r="F23" s="12">
        <f>F21+F22</f>
        <v>10521</v>
      </c>
    </row>
    <row r="24" spans="2:7" x14ac:dyDescent="0.3">
      <c r="B24" s="9" t="s">
        <v>111</v>
      </c>
      <c r="D24" s="13">
        <f>D20-D23</f>
        <v>26248</v>
      </c>
      <c r="E24" s="13">
        <f>E20-E23</f>
        <v>26750</v>
      </c>
      <c r="F24" s="13">
        <f>F20-F23</f>
        <v>29474</v>
      </c>
    </row>
    <row r="25" spans="2:7" x14ac:dyDescent="0.3">
      <c r="B25" s="4" t="s">
        <v>112</v>
      </c>
      <c r="D25" s="11">
        <v>26233</v>
      </c>
      <c r="E25" s="11">
        <v>26713</v>
      </c>
      <c r="F25" s="11">
        <v>29440</v>
      </c>
    </row>
    <row r="26" spans="2:7" x14ac:dyDescent="0.3">
      <c r="B26" s="4" t="s">
        <v>113</v>
      </c>
      <c r="D26" s="11">
        <v>15</v>
      </c>
      <c r="E26" s="11">
        <v>37</v>
      </c>
      <c r="F26" s="11">
        <v>34</v>
      </c>
    </row>
    <row r="27" spans="2:7" x14ac:dyDescent="0.3">
      <c r="B27" s="4" t="s">
        <v>114</v>
      </c>
      <c r="D27" s="14">
        <v>63.39</v>
      </c>
      <c r="E27" s="14">
        <v>64.5</v>
      </c>
      <c r="F27" s="14">
        <v>71.58</v>
      </c>
    </row>
    <row r="28" spans="2:7" x14ac:dyDescent="0.3">
      <c r="B28" s="4" t="s">
        <v>115</v>
      </c>
      <c r="D28" s="14">
        <v>63.29</v>
      </c>
      <c r="E28" s="14">
        <v>64.34</v>
      </c>
      <c r="F28" s="14">
        <v>71.459999999999994</v>
      </c>
    </row>
    <row r="29" spans="2:7" x14ac:dyDescent="0.3">
      <c r="B29" s="4" t="s">
        <v>116</v>
      </c>
      <c r="D29" s="15">
        <v>413.86</v>
      </c>
      <c r="E29" s="15">
        <v>414.16</v>
      </c>
      <c r="F29" s="15">
        <v>411.28</v>
      </c>
    </row>
    <row r="30" spans="2:7" x14ac:dyDescent="0.3">
      <c r="B30" s="4" t="s">
        <v>117</v>
      </c>
      <c r="D30" s="15">
        <v>414.47</v>
      </c>
      <c r="E30" s="15">
        <v>415.21</v>
      </c>
      <c r="F30" s="15">
        <v>412.01</v>
      </c>
    </row>
    <row r="32" spans="2:7" x14ac:dyDescent="0.3">
      <c r="B32" s="178" t="s">
        <v>118</v>
      </c>
      <c r="C32" s="178"/>
      <c r="D32" s="178"/>
      <c r="E32" s="178"/>
      <c r="F32" s="178"/>
      <c r="G32" s="178"/>
    </row>
  </sheetData>
  <mergeCells count="2">
    <mergeCell ref="A1:F1"/>
    <mergeCell ref="B32:G3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showGridLines="0" zoomScaleNormal="100" workbookViewId="0">
      <pane xSplit="2" ySplit="3" topLeftCell="C4" activePane="bottomRight" state="frozen"/>
      <selection pane="topRight" activeCell="C1" sqref="C1"/>
      <selection pane="bottomLeft" activeCell="A4" sqref="A4"/>
      <selection pane="bottomRight" sqref="A1:E1"/>
    </sheetView>
  </sheetViews>
  <sheetFormatPr defaultColWidth="8.6640625" defaultRowHeight="14.4" x14ac:dyDescent="0.3"/>
  <cols>
    <col min="1" max="1" width="2" customWidth="1"/>
    <col min="2" max="2" width="46" customWidth="1"/>
    <col min="3" max="5" width="14" customWidth="1"/>
    <col min="6" max="6" width="40" customWidth="1"/>
  </cols>
  <sheetData>
    <row r="1" spans="1:5" ht="30" customHeight="1" x14ac:dyDescent="0.3">
      <c r="A1" s="176" t="s">
        <v>119</v>
      </c>
      <c r="B1" s="176"/>
      <c r="C1" s="176"/>
      <c r="D1" s="176"/>
      <c r="E1" s="176"/>
    </row>
    <row r="3" spans="1:5" ht="25.5" customHeight="1" x14ac:dyDescent="0.3">
      <c r="B3" s="5" t="s">
        <v>39</v>
      </c>
      <c r="C3" s="5" t="s">
        <v>40</v>
      </c>
      <c r="D3" s="5" t="s">
        <v>41</v>
      </c>
      <c r="E3" s="5" t="s">
        <v>42</v>
      </c>
    </row>
    <row r="4" spans="1:5" x14ac:dyDescent="0.3">
      <c r="B4" s="2" t="s">
        <v>120</v>
      </c>
      <c r="C4" s="16">
        <v>25210</v>
      </c>
      <c r="D4" s="16">
        <v>35694</v>
      </c>
      <c r="E4" s="16">
        <v>33986</v>
      </c>
    </row>
    <row r="5" spans="1:5" x14ac:dyDescent="0.3">
      <c r="B5" s="2" t="s">
        <v>121</v>
      </c>
      <c r="C5" s="16">
        <v>-5009</v>
      </c>
      <c r="D5" s="16">
        <v>-1946</v>
      </c>
      <c r="E5" s="16">
        <v>1946</v>
      </c>
    </row>
    <row r="6" spans="1:5" x14ac:dyDescent="0.3">
      <c r="B6" s="2" t="s">
        <v>122</v>
      </c>
      <c r="C6" s="16">
        <v>-17504</v>
      </c>
      <c r="D6" s="16">
        <v>-24161</v>
      </c>
      <c r="E6" s="16">
        <v>-39786</v>
      </c>
    </row>
    <row r="7" spans="1:5" x14ac:dyDescent="0.3">
      <c r="B7" s="9" t="s">
        <v>123</v>
      </c>
      <c r="C7" s="13">
        <f>C4+C5+C6</f>
        <v>2697</v>
      </c>
      <c r="D7" s="13">
        <f>D4+D5+D6</f>
        <v>9587</v>
      </c>
      <c r="E7" s="13">
        <f>E4+E5+E6</f>
        <v>-3854</v>
      </c>
    </row>
    <row r="8" spans="1:5" x14ac:dyDescent="0.3">
      <c r="B8" s="4" t="s">
        <v>124</v>
      </c>
      <c r="C8" s="11">
        <v>12173</v>
      </c>
      <c r="D8" s="11">
        <v>14786</v>
      </c>
      <c r="E8" s="11">
        <v>24455</v>
      </c>
    </row>
    <row r="9" spans="1:5" x14ac:dyDescent="0.3">
      <c r="B9" s="4" t="s">
        <v>125</v>
      </c>
      <c r="C9" s="11">
        <v>-84</v>
      </c>
      <c r="D9" s="11">
        <v>82</v>
      </c>
      <c r="E9" s="11">
        <v>1600</v>
      </c>
    </row>
    <row r="10" spans="1:5" x14ac:dyDescent="0.3">
      <c r="B10" s="4" t="s">
        <v>126</v>
      </c>
      <c r="C10" s="11">
        <v>14786</v>
      </c>
      <c r="D10" s="11">
        <v>24455</v>
      </c>
      <c r="E10" s="11">
        <v>22201</v>
      </c>
    </row>
    <row r="12" spans="1:5" x14ac:dyDescent="0.3">
      <c r="B12" s="4" t="s">
        <v>127</v>
      </c>
      <c r="C12" s="11">
        <v>2201</v>
      </c>
      <c r="D12" s="11">
        <v>2237</v>
      </c>
      <c r="E12" s="11">
        <v>2727</v>
      </c>
    </row>
    <row r="13" spans="1:5" x14ac:dyDescent="0.3">
      <c r="B13" s="4" t="s">
        <v>128</v>
      </c>
      <c r="C13" s="11">
        <v>14692</v>
      </c>
      <c r="D13" s="11">
        <v>20287</v>
      </c>
      <c r="E13" s="11">
        <v>18653</v>
      </c>
    </row>
    <row r="14" spans="1:5" x14ac:dyDescent="0.3">
      <c r="B14" s="4" t="s">
        <v>129</v>
      </c>
      <c r="C14" s="11">
        <v>0</v>
      </c>
      <c r="D14" s="11">
        <v>0</v>
      </c>
      <c r="E14" s="11">
        <v>18058</v>
      </c>
    </row>
    <row r="15" spans="1:5" x14ac:dyDescent="0.3">
      <c r="B15" s="4" t="s">
        <v>130</v>
      </c>
      <c r="C15" s="11">
        <v>4678</v>
      </c>
      <c r="D15" s="11">
        <v>4812</v>
      </c>
      <c r="E15" s="11">
        <v>4902</v>
      </c>
    </row>
    <row r="18" spans="2:6" x14ac:dyDescent="0.3">
      <c r="B18" s="178" t="s">
        <v>131</v>
      </c>
      <c r="C18" s="178"/>
      <c r="D18" s="178"/>
      <c r="E18" s="178"/>
      <c r="F18" s="178"/>
    </row>
  </sheetData>
  <mergeCells count="2">
    <mergeCell ref="A1:E1"/>
    <mergeCell ref="B18:F1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6"/>
  <sheetViews>
    <sheetView showGridLines="0" zoomScaleNormal="100" workbookViewId="0">
      <pane xSplit="2" ySplit="4" topLeftCell="C19" activePane="bottomRight" state="frozen"/>
      <selection pane="topRight" activeCell="C1" sqref="C1"/>
      <selection pane="bottomLeft" activeCell="A5" sqref="A5"/>
      <selection pane="bottomRight" activeCell="J12" sqref="J12"/>
    </sheetView>
  </sheetViews>
  <sheetFormatPr defaultColWidth="8.6640625" defaultRowHeight="14.4" x14ac:dyDescent="0.3"/>
  <cols>
    <col min="1" max="1" width="2" customWidth="1"/>
    <col min="2" max="2" width="44" customWidth="1"/>
    <col min="3" max="5" width="13" customWidth="1"/>
    <col min="6" max="8" width="14.21875" customWidth="1"/>
    <col min="9" max="9" width="14.5546875" customWidth="1"/>
    <col min="10" max="10" width="12" customWidth="1"/>
  </cols>
  <sheetData>
    <row r="1" spans="1:10" ht="30" customHeight="1" x14ac:dyDescent="0.3">
      <c r="A1" s="176" t="s">
        <v>132</v>
      </c>
      <c r="B1" s="176"/>
      <c r="C1" s="176"/>
      <c r="D1" s="176"/>
      <c r="E1" s="176"/>
      <c r="F1" s="176"/>
      <c r="G1" s="176"/>
      <c r="H1" s="176"/>
      <c r="I1" s="176"/>
    </row>
    <row r="3" spans="1:10" x14ac:dyDescent="0.3">
      <c r="B3" s="180" t="s">
        <v>133</v>
      </c>
      <c r="C3" s="180"/>
      <c r="D3" s="180"/>
      <c r="E3" s="180"/>
      <c r="F3" s="180"/>
      <c r="G3" s="180"/>
      <c r="H3" s="180"/>
      <c r="I3" s="180"/>
      <c r="J3" s="180"/>
    </row>
    <row r="4" spans="1:10" ht="25.5" customHeight="1" x14ac:dyDescent="0.3">
      <c r="B4" s="5" t="s">
        <v>39</v>
      </c>
      <c r="C4" s="5" t="s">
        <v>40</v>
      </c>
      <c r="D4" s="5" t="s">
        <v>41</v>
      </c>
      <c r="E4" s="5" t="s">
        <v>42</v>
      </c>
      <c r="F4" s="5" t="s">
        <v>134</v>
      </c>
      <c r="G4" s="5" t="s">
        <v>135</v>
      </c>
      <c r="H4" s="5" t="s">
        <v>136</v>
      </c>
      <c r="I4" s="5" t="s">
        <v>137</v>
      </c>
    </row>
    <row r="5" spans="1:10" x14ac:dyDescent="0.3">
      <c r="B5" s="161" t="s">
        <v>43</v>
      </c>
      <c r="C5" s="161"/>
      <c r="D5" s="161"/>
      <c r="E5" s="161"/>
      <c r="F5" s="161"/>
      <c r="G5" s="161"/>
      <c r="H5" s="161"/>
      <c r="I5" s="161"/>
      <c r="J5" s="161"/>
    </row>
    <row r="6" spans="1:10" x14ac:dyDescent="0.3">
      <c r="B6" s="6" t="s">
        <v>44</v>
      </c>
    </row>
    <row r="7" spans="1:10" x14ac:dyDescent="0.3">
      <c r="B7" s="4" t="s">
        <v>45</v>
      </c>
      <c r="C7" s="17">
        <f>'Data-BS'!D6</f>
        <v>12370</v>
      </c>
      <c r="D7" s="17">
        <f>'Data-BS'!E6</f>
        <v>11778</v>
      </c>
      <c r="E7" s="17">
        <f>'Data-BS'!F6</f>
        <v>12651</v>
      </c>
      <c r="F7" s="18">
        <f t="shared" ref="F7:F18" si="0">D7-C7</f>
        <v>-592</v>
      </c>
      <c r="G7" s="19">
        <f t="shared" ref="G7:G18" si="1">IFERROR(F7/C7,"n.m.")</f>
        <v>-4.7857720291026674E-2</v>
      </c>
      <c r="H7" s="18">
        <f t="shared" ref="H7:H18" si="2">E7-D7</f>
        <v>873</v>
      </c>
      <c r="I7" s="19">
        <f t="shared" ref="I7:I18" si="3">IFERROR(H7/D7,"n.m.")</f>
        <v>7.4121242995415185E-2</v>
      </c>
    </row>
    <row r="8" spans="1:10" x14ac:dyDescent="0.3">
      <c r="B8" s="4" t="s">
        <v>46</v>
      </c>
      <c r="C8" s="17">
        <f>'Data-BS'!D7</f>
        <v>6552</v>
      </c>
      <c r="D8" s="17">
        <f>'Data-BS'!E7</f>
        <v>6311</v>
      </c>
      <c r="E8" s="17">
        <f>'Data-BS'!F7</f>
        <v>6177</v>
      </c>
      <c r="F8" s="18">
        <f t="shared" si="0"/>
        <v>-241</v>
      </c>
      <c r="G8" s="19">
        <f t="shared" si="1"/>
        <v>-3.6782661782661784E-2</v>
      </c>
      <c r="H8" s="18">
        <f t="shared" si="2"/>
        <v>-134</v>
      </c>
      <c r="I8" s="19">
        <f t="shared" si="3"/>
        <v>-2.1232768182538424E-2</v>
      </c>
    </row>
    <row r="9" spans="1:10" x14ac:dyDescent="0.3">
      <c r="B9" s="4" t="s">
        <v>47</v>
      </c>
      <c r="C9" s="17">
        <f>'Data-BS'!D8</f>
        <v>293</v>
      </c>
      <c r="D9" s="17">
        <f>'Data-BS'!E8</f>
        <v>814</v>
      </c>
      <c r="E9" s="17">
        <f>'Data-BS'!F8</f>
        <v>526</v>
      </c>
      <c r="F9" s="18">
        <f t="shared" si="0"/>
        <v>521</v>
      </c>
      <c r="G9" s="19">
        <f t="shared" si="1"/>
        <v>1.7781569965870307</v>
      </c>
      <c r="H9" s="18">
        <f t="shared" si="2"/>
        <v>-288</v>
      </c>
      <c r="I9" s="19">
        <f t="shared" si="3"/>
        <v>-0.35380835380835379</v>
      </c>
    </row>
    <row r="10" spans="1:10" x14ac:dyDescent="0.3">
      <c r="B10" s="4" t="s">
        <v>48</v>
      </c>
      <c r="C10" s="17">
        <f>'Data-BS'!D9</f>
        <v>7303</v>
      </c>
      <c r="D10" s="17">
        <f>'Data-BS'!E9</f>
        <v>10106</v>
      </c>
      <c r="E10" s="17">
        <f>'Data-BS'!F9</f>
        <v>12117</v>
      </c>
      <c r="F10" s="18">
        <f t="shared" si="0"/>
        <v>2803</v>
      </c>
      <c r="G10" s="19">
        <f t="shared" si="1"/>
        <v>0.38381487060112285</v>
      </c>
      <c r="H10" s="18">
        <f t="shared" si="2"/>
        <v>2011</v>
      </c>
      <c r="I10" s="19">
        <f t="shared" si="3"/>
        <v>0.19899069859489413</v>
      </c>
    </row>
    <row r="11" spans="1:10" x14ac:dyDescent="0.3">
      <c r="B11" s="4" t="s">
        <v>49</v>
      </c>
      <c r="C11" s="17">
        <f>'Data-BS'!D10</f>
        <v>1397</v>
      </c>
      <c r="D11" s="17">
        <f>'Data-BS'!E10</f>
        <v>2766</v>
      </c>
      <c r="E11" s="17">
        <f>'Data-BS'!F10</f>
        <v>2825</v>
      </c>
      <c r="F11" s="18">
        <f t="shared" si="0"/>
        <v>1369</v>
      </c>
      <c r="G11" s="19">
        <f t="shared" si="1"/>
        <v>0.97995705082319251</v>
      </c>
      <c r="H11" s="18">
        <f t="shared" si="2"/>
        <v>59</v>
      </c>
      <c r="I11" s="19">
        <f t="shared" si="3"/>
        <v>2.1330441070137384E-2</v>
      </c>
    </row>
    <row r="12" spans="1:10" x14ac:dyDescent="0.3">
      <c r="B12" s="4" t="s">
        <v>50</v>
      </c>
      <c r="C12" s="17">
        <f>'Data-BS'!D11</f>
        <v>11708</v>
      </c>
      <c r="D12" s="17">
        <f>'Data-BS'!E11</f>
        <v>11059</v>
      </c>
      <c r="E12" s="17">
        <f>'Data-BS'!F11</f>
        <v>8930</v>
      </c>
      <c r="F12" s="18">
        <f t="shared" si="0"/>
        <v>-649</v>
      </c>
      <c r="G12" s="19">
        <f t="shared" si="1"/>
        <v>-5.5432183122651177E-2</v>
      </c>
      <c r="H12" s="18">
        <f t="shared" si="2"/>
        <v>-2129</v>
      </c>
      <c r="I12" s="19">
        <f t="shared" si="3"/>
        <v>-0.19251288543267928</v>
      </c>
    </row>
    <row r="13" spans="1:10" x14ac:dyDescent="0.3">
      <c r="B13" s="4" t="s">
        <v>51</v>
      </c>
      <c r="C13" s="17">
        <f>'Data-BS'!D12</f>
        <v>34</v>
      </c>
      <c r="D13" s="17">
        <f>'Data-BS'!E12</f>
        <v>16</v>
      </c>
      <c r="E13" s="17">
        <f>'Data-BS'!F12</f>
        <v>6</v>
      </c>
      <c r="F13" s="18">
        <f t="shared" si="0"/>
        <v>-18</v>
      </c>
      <c r="G13" s="19">
        <f t="shared" si="1"/>
        <v>-0.52941176470588236</v>
      </c>
      <c r="H13" s="18">
        <f t="shared" si="2"/>
        <v>-10</v>
      </c>
      <c r="I13" s="19">
        <f t="shared" si="3"/>
        <v>-0.625</v>
      </c>
    </row>
    <row r="14" spans="1:10" x14ac:dyDescent="0.3">
      <c r="B14" s="4" t="s">
        <v>52</v>
      </c>
      <c r="C14" s="17">
        <f>'Data-BS'!D13</f>
        <v>3105</v>
      </c>
      <c r="D14" s="17">
        <f>'Data-BS'!E13</f>
        <v>3511</v>
      </c>
      <c r="E14" s="17">
        <f>'Data-BS'!F13</f>
        <v>2776</v>
      </c>
      <c r="F14" s="18">
        <f t="shared" si="0"/>
        <v>406</v>
      </c>
      <c r="G14" s="19">
        <f t="shared" si="1"/>
        <v>0.13075684380032207</v>
      </c>
      <c r="H14" s="18">
        <f t="shared" si="2"/>
        <v>-735</v>
      </c>
      <c r="I14" s="19">
        <f t="shared" si="3"/>
        <v>-0.20934206778695527</v>
      </c>
    </row>
    <row r="15" spans="1:10" x14ac:dyDescent="0.3">
      <c r="B15" s="4" t="s">
        <v>53</v>
      </c>
      <c r="C15" s="17">
        <f>'Data-BS'!D14</f>
        <v>454</v>
      </c>
      <c r="D15" s="17">
        <f>'Data-BS'!E14</f>
        <v>1108</v>
      </c>
      <c r="E15" s="17">
        <f>'Data-BS'!F14</f>
        <v>2264</v>
      </c>
      <c r="F15" s="18">
        <f t="shared" si="0"/>
        <v>654</v>
      </c>
      <c r="G15" s="19">
        <f t="shared" si="1"/>
        <v>1.4405286343612336</v>
      </c>
      <c r="H15" s="18">
        <f t="shared" si="2"/>
        <v>1156</v>
      </c>
      <c r="I15" s="19">
        <f t="shared" si="3"/>
        <v>1.0433212996389891</v>
      </c>
    </row>
    <row r="16" spans="1:10" x14ac:dyDescent="0.3">
      <c r="B16" s="4" t="s">
        <v>54</v>
      </c>
      <c r="C16" s="17">
        <f>'Data-BS'!D15</f>
        <v>3045</v>
      </c>
      <c r="D16" s="17">
        <f>'Data-BS'!E15</f>
        <v>1622</v>
      </c>
      <c r="E16" s="17">
        <f>'Data-BS'!F15</f>
        <v>666</v>
      </c>
      <c r="F16" s="18">
        <f t="shared" si="0"/>
        <v>-1423</v>
      </c>
      <c r="G16" s="19">
        <f t="shared" si="1"/>
        <v>-0.46732348111658456</v>
      </c>
      <c r="H16" s="18">
        <f t="shared" si="2"/>
        <v>-956</v>
      </c>
      <c r="I16" s="19">
        <f t="shared" si="3"/>
        <v>-0.58939580764488286</v>
      </c>
    </row>
    <row r="17" spans="2:10" x14ac:dyDescent="0.3">
      <c r="B17" s="4" t="s">
        <v>55</v>
      </c>
      <c r="C17" s="17">
        <f>'Data-BS'!D16</f>
        <v>2121</v>
      </c>
      <c r="D17" s="17">
        <f>'Data-BS'!E16</f>
        <v>2713</v>
      </c>
      <c r="E17" s="17">
        <f>'Data-BS'!F16</f>
        <v>3540</v>
      </c>
      <c r="F17" s="18">
        <f t="shared" si="0"/>
        <v>592</v>
      </c>
      <c r="G17" s="19">
        <f t="shared" si="1"/>
        <v>0.27911362564827913</v>
      </c>
      <c r="H17" s="18">
        <f t="shared" si="2"/>
        <v>827</v>
      </c>
      <c r="I17" s="19">
        <f t="shared" si="3"/>
        <v>0.30482860302248432</v>
      </c>
    </row>
    <row r="18" spans="2:10" x14ac:dyDescent="0.3">
      <c r="B18" s="2" t="s">
        <v>56</v>
      </c>
      <c r="C18" s="20">
        <f>'Data-BS'!D17</f>
        <v>48382</v>
      </c>
      <c r="D18" s="20">
        <f>'Data-BS'!E17</f>
        <v>51804</v>
      </c>
      <c r="E18" s="20">
        <f>'Data-BS'!F17</f>
        <v>52478</v>
      </c>
      <c r="F18" s="21">
        <f t="shared" si="0"/>
        <v>3422</v>
      </c>
      <c r="G18" s="22">
        <f t="shared" si="1"/>
        <v>7.0728783431854819E-2</v>
      </c>
      <c r="H18" s="21">
        <f t="shared" si="2"/>
        <v>674</v>
      </c>
      <c r="I18" s="22">
        <f t="shared" si="3"/>
        <v>1.3010578333719405E-2</v>
      </c>
    </row>
    <row r="19" spans="2:10" x14ac:dyDescent="0.3">
      <c r="B19" s="6" t="s">
        <v>57</v>
      </c>
    </row>
    <row r="20" spans="2:10" x14ac:dyDescent="0.3">
      <c r="B20" s="4" t="s">
        <v>58</v>
      </c>
      <c r="C20" s="17">
        <f>'Data-BS'!D19</f>
        <v>12915</v>
      </c>
      <c r="D20" s="17">
        <f>'Data-BS'!E19</f>
        <v>12482</v>
      </c>
      <c r="E20" s="17">
        <f>'Data-BS'!F19</f>
        <v>12950</v>
      </c>
      <c r="F20" s="18">
        <f t="shared" ref="F20:F28" si="4">D20-C20</f>
        <v>-433</v>
      </c>
      <c r="G20" s="19">
        <f t="shared" ref="G20:G28" si="5">IFERROR(F20/C20,"n.m.")</f>
        <v>-3.3526906697638408E-2</v>
      </c>
      <c r="H20" s="18">
        <f t="shared" ref="H20:H28" si="6">E20-D20</f>
        <v>468</v>
      </c>
      <c r="I20" s="19">
        <f t="shared" ref="I20:I28" si="7">IFERROR(H20/D20,"n.m.")</f>
        <v>3.7493991347540459E-2</v>
      </c>
    </row>
    <row r="21" spans="2:10" x14ac:dyDescent="0.3">
      <c r="B21" s="4" t="s">
        <v>59</v>
      </c>
      <c r="C21" s="17">
        <f>'Data-BS'!D20</f>
        <v>30193</v>
      </c>
      <c r="D21" s="17">
        <f>'Data-BS'!E20</f>
        <v>31158</v>
      </c>
      <c r="E21" s="17">
        <f>'Data-BS'!F20</f>
        <v>35234</v>
      </c>
      <c r="F21" s="18">
        <f t="shared" si="4"/>
        <v>965</v>
      </c>
      <c r="G21" s="19">
        <f t="shared" si="5"/>
        <v>3.1961050574636503E-2</v>
      </c>
      <c r="H21" s="18">
        <f t="shared" si="6"/>
        <v>4076</v>
      </c>
      <c r="I21" s="19">
        <f t="shared" si="7"/>
        <v>0.13081712561781886</v>
      </c>
    </row>
    <row r="22" spans="2:10" x14ac:dyDescent="0.3">
      <c r="B22" s="4" t="s">
        <v>60</v>
      </c>
      <c r="C22" s="17">
        <f>'Data-BS'!D21</f>
        <v>14786</v>
      </c>
      <c r="D22" s="17">
        <f>'Data-BS'!E21</f>
        <v>24455</v>
      </c>
      <c r="E22" s="17">
        <f>'Data-BS'!F21</f>
        <v>22201</v>
      </c>
      <c r="F22" s="18">
        <f t="shared" si="4"/>
        <v>9669</v>
      </c>
      <c r="G22" s="19">
        <f t="shared" si="5"/>
        <v>0.65392939266874073</v>
      </c>
      <c r="H22" s="18">
        <f t="shared" si="6"/>
        <v>-2254</v>
      </c>
      <c r="I22" s="19">
        <f t="shared" si="7"/>
        <v>-9.2169290533633208E-2</v>
      </c>
    </row>
    <row r="23" spans="2:10" x14ac:dyDescent="0.3">
      <c r="B23" s="4" t="s">
        <v>61</v>
      </c>
      <c r="C23" s="17">
        <f>'Data-BS'!D22</f>
        <v>248</v>
      </c>
      <c r="D23" s="17">
        <f>'Data-BS'!E22</f>
        <v>249</v>
      </c>
      <c r="E23" s="17">
        <f>'Data-BS'!F22</f>
        <v>234</v>
      </c>
      <c r="F23" s="18">
        <f t="shared" si="4"/>
        <v>1</v>
      </c>
      <c r="G23" s="19">
        <f t="shared" si="5"/>
        <v>4.0322580645161289E-3</v>
      </c>
      <c r="H23" s="18">
        <f t="shared" si="6"/>
        <v>-15</v>
      </c>
      <c r="I23" s="19">
        <f t="shared" si="7"/>
        <v>-6.0240963855421686E-2</v>
      </c>
    </row>
    <row r="24" spans="2:10" x14ac:dyDescent="0.3">
      <c r="B24" s="4" t="s">
        <v>62</v>
      </c>
      <c r="C24" s="17">
        <f>'Data-BS'!D23</f>
        <v>12085</v>
      </c>
      <c r="D24" s="17">
        <f>'Data-BS'!E23</f>
        <v>13840</v>
      </c>
      <c r="E24" s="17">
        <f>'Data-BS'!F23</f>
        <v>15890</v>
      </c>
      <c r="F24" s="18">
        <f t="shared" si="4"/>
        <v>1755</v>
      </c>
      <c r="G24" s="19">
        <f t="shared" si="5"/>
        <v>0.1452213487794787</v>
      </c>
      <c r="H24" s="18">
        <f t="shared" si="6"/>
        <v>2050</v>
      </c>
      <c r="I24" s="19">
        <f t="shared" si="7"/>
        <v>0.14812138728323698</v>
      </c>
    </row>
    <row r="25" spans="2:10" x14ac:dyDescent="0.3">
      <c r="B25" s="4" t="s">
        <v>63</v>
      </c>
      <c r="C25" s="17">
        <f>'Data-BS'!D24</f>
        <v>6397</v>
      </c>
      <c r="D25" s="17">
        <f>'Data-BS'!E24</f>
        <v>2975</v>
      </c>
      <c r="E25" s="17">
        <f>'Data-BS'!F24</f>
        <v>1835</v>
      </c>
      <c r="F25" s="18">
        <f t="shared" si="4"/>
        <v>-3422</v>
      </c>
      <c r="G25" s="19">
        <f t="shared" si="5"/>
        <v>-0.5349382523057683</v>
      </c>
      <c r="H25" s="18">
        <f t="shared" si="6"/>
        <v>-1140</v>
      </c>
      <c r="I25" s="19">
        <f t="shared" si="7"/>
        <v>-0.3831932773109244</v>
      </c>
    </row>
    <row r="26" spans="2:10" x14ac:dyDescent="0.3">
      <c r="B26" s="4" t="s">
        <v>64</v>
      </c>
      <c r="C26" s="17">
        <f>'Data-BS'!D25</f>
        <v>12808</v>
      </c>
      <c r="D26" s="17">
        <f>'Data-BS'!E25</f>
        <v>11940</v>
      </c>
      <c r="E26" s="17">
        <f>'Data-BS'!F25</f>
        <v>15145</v>
      </c>
      <c r="F26" s="18">
        <f t="shared" si="4"/>
        <v>-868</v>
      </c>
      <c r="G26" s="19">
        <f t="shared" si="5"/>
        <v>-6.7770143660212362E-2</v>
      </c>
      <c r="H26" s="18">
        <f t="shared" si="6"/>
        <v>3205</v>
      </c>
      <c r="I26" s="19">
        <f t="shared" si="7"/>
        <v>0.2684254606365159</v>
      </c>
    </row>
    <row r="27" spans="2:10" x14ac:dyDescent="0.3">
      <c r="B27" s="2" t="s">
        <v>65</v>
      </c>
      <c r="C27" s="20">
        <f>'Data-BS'!D26</f>
        <v>89432</v>
      </c>
      <c r="D27" s="20">
        <f>'Data-BS'!E26</f>
        <v>97099</v>
      </c>
      <c r="E27" s="20">
        <f>'Data-BS'!F26</f>
        <v>103489</v>
      </c>
      <c r="F27" s="21">
        <f t="shared" si="4"/>
        <v>7667</v>
      </c>
      <c r="G27" s="22">
        <f t="shared" si="5"/>
        <v>8.572994006619554E-2</v>
      </c>
      <c r="H27" s="21">
        <f t="shared" si="6"/>
        <v>6390</v>
      </c>
      <c r="I27" s="22">
        <f t="shared" si="7"/>
        <v>6.5809122648019039E-2</v>
      </c>
    </row>
    <row r="28" spans="2:10" x14ac:dyDescent="0.3">
      <c r="B28" s="2" t="s">
        <v>66</v>
      </c>
      <c r="C28" s="23">
        <f>'Data-BS'!D27</f>
        <v>137814</v>
      </c>
      <c r="D28" s="23">
        <f>'Data-BS'!E27</f>
        <v>148903</v>
      </c>
      <c r="E28" s="23">
        <f>'Data-BS'!F27</f>
        <v>155967</v>
      </c>
      <c r="F28" s="13">
        <f t="shared" si="4"/>
        <v>11089</v>
      </c>
      <c r="G28" s="24">
        <f t="shared" si="5"/>
        <v>8.046352329951964E-2</v>
      </c>
      <c r="H28" s="13">
        <f t="shared" si="6"/>
        <v>7064</v>
      </c>
      <c r="I28" s="24">
        <f t="shared" si="7"/>
        <v>4.7440279913769368E-2</v>
      </c>
    </row>
    <row r="29" spans="2:10" x14ac:dyDescent="0.3">
      <c r="B29" s="161" t="s">
        <v>67</v>
      </c>
      <c r="C29" s="161"/>
      <c r="D29" s="161"/>
      <c r="E29" s="161"/>
      <c r="F29" s="161"/>
      <c r="G29" s="161"/>
      <c r="H29" s="161"/>
      <c r="I29" s="161"/>
      <c r="J29" s="161"/>
    </row>
    <row r="30" spans="2:10" x14ac:dyDescent="0.3">
      <c r="B30" s="6" t="s">
        <v>68</v>
      </c>
    </row>
    <row r="31" spans="2:10" x14ac:dyDescent="0.3">
      <c r="B31" s="4" t="s">
        <v>69</v>
      </c>
      <c r="C31" s="17">
        <f>'Data-BS'!D30</f>
        <v>2071</v>
      </c>
      <c r="D31" s="17">
        <f>'Data-BS'!E30</f>
        <v>2073</v>
      </c>
      <c r="E31" s="17">
        <f>'Data-BS'!F30</f>
        <v>2024</v>
      </c>
      <c r="F31" s="18">
        <f>D31-C31</f>
        <v>2</v>
      </c>
      <c r="G31" s="19">
        <f>IFERROR(F31/C31,"n.m.")</f>
        <v>9.6571704490584255E-4</v>
      </c>
      <c r="H31" s="18">
        <f>E31-D31</f>
        <v>-49</v>
      </c>
      <c r="I31" s="19">
        <f>IFERROR(H31/D31,"n.m.")</f>
        <v>-2.363724071394115E-2</v>
      </c>
    </row>
    <row r="32" spans="2:10" x14ac:dyDescent="0.3">
      <c r="B32" s="4" t="s">
        <v>70</v>
      </c>
      <c r="C32" s="17">
        <f>'Data-BS'!D31</f>
        <v>86045</v>
      </c>
      <c r="D32" s="17">
        <f>'Data-BS'!E31</f>
        <v>93745</v>
      </c>
      <c r="E32" s="17">
        <f>'Data-BS'!F31</f>
        <v>90828</v>
      </c>
      <c r="F32" s="18">
        <f>D32-C32</f>
        <v>7700</v>
      </c>
      <c r="G32" s="19">
        <f>IFERROR(F32/C32,"n.m.")</f>
        <v>8.948805857400198E-2</v>
      </c>
      <c r="H32" s="18">
        <f>E32-D32</f>
        <v>-2917</v>
      </c>
      <c r="I32" s="19">
        <f>IFERROR(H32/D32,"n.m.")</f>
        <v>-3.1116326204064217E-2</v>
      </c>
    </row>
    <row r="33" spans="2:9" x14ac:dyDescent="0.3">
      <c r="B33" s="2" t="s">
        <v>71</v>
      </c>
      <c r="C33" s="20">
        <f>'Data-BS'!D32</f>
        <v>88116</v>
      </c>
      <c r="D33" s="20">
        <f>'Data-BS'!E32</f>
        <v>95818</v>
      </c>
      <c r="E33" s="20">
        <f>'Data-BS'!F32</f>
        <v>92852</v>
      </c>
      <c r="F33" s="21">
        <f>D33-C33</f>
        <v>7702</v>
      </c>
      <c r="G33" s="22">
        <f>IFERROR(F33/C33,"n.m.")</f>
        <v>8.740750828453403E-2</v>
      </c>
      <c r="H33" s="21">
        <f>E33-D33</f>
        <v>-2966</v>
      </c>
      <c r="I33" s="22">
        <f>IFERROR(H33/D33,"n.m.")</f>
        <v>-3.0954517940261748E-2</v>
      </c>
    </row>
    <row r="34" spans="2:9" x14ac:dyDescent="0.3">
      <c r="B34" s="4" t="s">
        <v>72</v>
      </c>
      <c r="C34" s="17">
        <f>'Data-BS'!D33</f>
        <v>345</v>
      </c>
      <c r="D34" s="17">
        <f>'Data-BS'!E33</f>
        <v>385</v>
      </c>
      <c r="E34" s="17">
        <f>'Data-BS'!F33</f>
        <v>445</v>
      </c>
      <c r="F34" s="18">
        <f>D34-C34</f>
        <v>40</v>
      </c>
      <c r="G34" s="19">
        <f>IFERROR(F34/C34,"n.m.")</f>
        <v>0.11594202898550725</v>
      </c>
      <c r="H34" s="18">
        <f>E34-D34</f>
        <v>60</v>
      </c>
      <c r="I34" s="19">
        <f>IFERROR(H34/D34,"n.m.")</f>
        <v>0.15584415584415584</v>
      </c>
    </row>
    <row r="35" spans="2:9" x14ac:dyDescent="0.3">
      <c r="B35" s="2" t="s">
        <v>73</v>
      </c>
      <c r="C35" s="20">
        <f>'Data-BS'!D34</f>
        <v>88461</v>
      </c>
      <c r="D35" s="20">
        <f>'Data-BS'!E34</f>
        <v>96203</v>
      </c>
      <c r="E35" s="20">
        <f>'Data-BS'!F34</f>
        <v>93297</v>
      </c>
      <c r="F35" s="21">
        <f>D35-C35</f>
        <v>7742</v>
      </c>
      <c r="G35" s="22">
        <f>IFERROR(F35/C35,"n.m.")</f>
        <v>8.7518793592656657E-2</v>
      </c>
      <c r="H35" s="21">
        <f>E35-D35</f>
        <v>-2906</v>
      </c>
      <c r="I35" s="22">
        <f>IFERROR(H35/D35,"n.m.")</f>
        <v>-3.0206958202966643E-2</v>
      </c>
    </row>
    <row r="36" spans="2:9" x14ac:dyDescent="0.3">
      <c r="B36" s="6" t="s">
        <v>74</v>
      </c>
    </row>
    <row r="37" spans="2:9" x14ac:dyDescent="0.3">
      <c r="B37" s="4" t="s">
        <v>75</v>
      </c>
      <c r="C37" s="17">
        <f>'Data-BS'!D36</f>
        <v>6400</v>
      </c>
      <c r="D37" s="17">
        <f>'Data-BS'!E36</f>
        <v>5772</v>
      </c>
      <c r="E37" s="17">
        <f>'Data-BS'!F36</f>
        <v>6016</v>
      </c>
      <c r="F37" s="18">
        <f>D37-C37</f>
        <v>-628</v>
      </c>
      <c r="G37" s="19">
        <f>IFERROR(F37/C37,"n.m.")</f>
        <v>-9.8125000000000004E-2</v>
      </c>
      <c r="H37" s="18">
        <f>E37-D37</f>
        <v>244</v>
      </c>
      <c r="I37" s="19">
        <f>IFERROR(H37/D37,"n.m.")</f>
        <v>4.2273042273042273E-2</v>
      </c>
    </row>
    <row r="38" spans="2:9" x14ac:dyDescent="0.3">
      <c r="B38" s="4" t="s">
        <v>76</v>
      </c>
      <c r="C38" s="17">
        <f>'Data-BS'!D37</f>
        <v>2130</v>
      </c>
      <c r="D38" s="17">
        <f>'Data-BS'!E37</f>
        <v>2141</v>
      </c>
      <c r="E38" s="17">
        <f>'Data-BS'!F37</f>
        <v>2092</v>
      </c>
      <c r="F38" s="18">
        <f>D38-C38</f>
        <v>11</v>
      </c>
      <c r="G38" s="19">
        <f>IFERROR(F38/C38,"n.m.")</f>
        <v>5.1643192488262908E-3</v>
      </c>
      <c r="H38" s="18">
        <f>E38-D38</f>
        <v>-49</v>
      </c>
      <c r="I38" s="19">
        <f>IFERROR(H38/D38,"n.m.")</f>
        <v>-2.2886501634750117E-2</v>
      </c>
    </row>
    <row r="39" spans="2:9" x14ac:dyDescent="0.3">
      <c r="B39" s="4" t="s">
        <v>77</v>
      </c>
      <c r="C39" s="17">
        <f>'Data-BS'!D38</f>
        <v>1794</v>
      </c>
      <c r="D39" s="17">
        <f>'Data-BS'!E38</f>
        <v>1722</v>
      </c>
      <c r="E39" s="17">
        <f>'Data-BS'!F38</f>
        <v>1679</v>
      </c>
      <c r="F39" s="18">
        <f>D39-C39</f>
        <v>-72</v>
      </c>
      <c r="G39" s="19">
        <f>IFERROR(F39/C39,"n.m.")</f>
        <v>-4.0133779264214048E-2</v>
      </c>
      <c r="H39" s="18">
        <f>E39-D39</f>
        <v>-43</v>
      </c>
      <c r="I39" s="19">
        <f>IFERROR(H39/D39,"n.m.")</f>
        <v>-2.4970963995354239E-2</v>
      </c>
    </row>
    <row r="40" spans="2:9" x14ac:dyDescent="0.3">
      <c r="B40" s="4" t="s">
        <v>78</v>
      </c>
      <c r="C40" s="17">
        <f>'Data-BS'!D39</f>
        <v>235</v>
      </c>
      <c r="D40" s="17">
        <f>'Data-BS'!E39</f>
        <v>215</v>
      </c>
      <c r="E40" s="17">
        <f>'Data-BS'!F39</f>
        <v>561</v>
      </c>
      <c r="F40" s="18">
        <f>D40-C40</f>
        <v>-20</v>
      </c>
      <c r="G40" s="19">
        <f>IFERROR(F40/C40,"n.m.")</f>
        <v>-8.5106382978723402E-2</v>
      </c>
      <c r="H40" s="18">
        <f>E40-D40</f>
        <v>346</v>
      </c>
      <c r="I40" s="19">
        <f>IFERROR(H40/D40,"n.m.")</f>
        <v>1.6093023255813954</v>
      </c>
    </row>
    <row r="41" spans="2:9" x14ac:dyDescent="0.3">
      <c r="B41" s="2" t="s">
        <v>79</v>
      </c>
      <c r="C41" s="20">
        <f>'Data-BS'!D40</f>
        <v>10559</v>
      </c>
      <c r="D41" s="20">
        <f>'Data-BS'!E40</f>
        <v>9850</v>
      </c>
      <c r="E41" s="20">
        <f>'Data-BS'!F40</f>
        <v>10348</v>
      </c>
      <c r="F41" s="21">
        <f>D41-C41</f>
        <v>-709</v>
      </c>
      <c r="G41" s="22">
        <f>IFERROR(F41/C41,"n.m.")</f>
        <v>-6.7146510086182401E-2</v>
      </c>
      <c r="H41" s="21">
        <f>E41-D41</f>
        <v>498</v>
      </c>
      <c r="I41" s="22">
        <f>IFERROR(H41/D41,"n.m.")</f>
        <v>5.0558375634517767E-2</v>
      </c>
    </row>
    <row r="42" spans="2:9" x14ac:dyDescent="0.3">
      <c r="B42" s="6" t="s">
        <v>80</v>
      </c>
    </row>
    <row r="43" spans="2:9" x14ac:dyDescent="0.3">
      <c r="B43" s="4" t="s">
        <v>81</v>
      </c>
      <c r="C43" s="17">
        <f>'Data-BS'!D42</f>
        <v>1959</v>
      </c>
      <c r="D43" s="17">
        <f>'Data-BS'!E42</f>
        <v>2455</v>
      </c>
      <c r="E43" s="17">
        <f>'Data-BS'!F42</f>
        <v>3160</v>
      </c>
      <c r="F43" s="18">
        <f t="shared" ref="F43:F50" si="8">D43-C43</f>
        <v>496</v>
      </c>
      <c r="G43" s="19">
        <f t="shared" ref="G43:G50" si="9">IFERROR(F43/C43,"n.m.")</f>
        <v>0.25319040326697295</v>
      </c>
      <c r="H43" s="18">
        <f t="shared" ref="H43:H50" si="10">E43-D43</f>
        <v>705</v>
      </c>
      <c r="I43" s="19">
        <f t="shared" ref="I43:I50" si="11">IFERROR(H43/D43,"n.m.")</f>
        <v>0.28716904276985744</v>
      </c>
    </row>
    <row r="44" spans="2:9" x14ac:dyDescent="0.3">
      <c r="B44" s="4" t="s">
        <v>82</v>
      </c>
      <c r="C44" s="17">
        <f>'Data-BS'!D43</f>
        <v>3956</v>
      </c>
      <c r="D44" s="17">
        <f>'Data-BS'!E43</f>
        <v>4164</v>
      </c>
      <c r="E44" s="17">
        <f>'Data-BS'!F43</f>
        <v>4744</v>
      </c>
      <c r="F44" s="18">
        <f t="shared" si="8"/>
        <v>208</v>
      </c>
      <c r="G44" s="19">
        <f t="shared" si="9"/>
        <v>5.2578361981799798E-2</v>
      </c>
      <c r="H44" s="18">
        <f t="shared" si="10"/>
        <v>580</v>
      </c>
      <c r="I44" s="19">
        <f t="shared" si="11"/>
        <v>0.13928914505283382</v>
      </c>
    </row>
    <row r="45" spans="2:9" x14ac:dyDescent="0.3">
      <c r="B45" s="4" t="s">
        <v>83</v>
      </c>
      <c r="C45" s="17">
        <f>'Data-BS'!D44</f>
        <v>16959</v>
      </c>
      <c r="D45" s="17">
        <f>'Data-BS'!E44</f>
        <v>18138</v>
      </c>
      <c r="E45" s="17">
        <f>'Data-BS'!F44</f>
        <v>21483</v>
      </c>
      <c r="F45" s="18">
        <f t="shared" si="8"/>
        <v>1179</v>
      </c>
      <c r="G45" s="19">
        <f t="shared" si="9"/>
        <v>6.9520608526446134E-2</v>
      </c>
      <c r="H45" s="18">
        <f t="shared" si="10"/>
        <v>3345</v>
      </c>
      <c r="I45" s="19">
        <f t="shared" si="11"/>
        <v>0.18441945087661263</v>
      </c>
    </row>
    <row r="46" spans="2:9" x14ac:dyDescent="0.3">
      <c r="B46" s="4" t="s">
        <v>84</v>
      </c>
      <c r="C46" s="17">
        <f>'Data-BS'!D45</f>
        <v>10539</v>
      </c>
      <c r="D46" s="17">
        <f>'Data-BS'!E45</f>
        <v>11765</v>
      </c>
      <c r="E46" s="17">
        <f>'Data-BS'!F45</f>
        <v>15779</v>
      </c>
      <c r="F46" s="18">
        <f t="shared" si="8"/>
        <v>1226</v>
      </c>
      <c r="G46" s="19">
        <f t="shared" si="9"/>
        <v>0.11632982256381061</v>
      </c>
      <c r="H46" s="18">
        <f t="shared" si="10"/>
        <v>4014</v>
      </c>
      <c r="I46" s="19">
        <f t="shared" si="11"/>
        <v>0.34118147046323843</v>
      </c>
    </row>
    <row r="47" spans="2:9" x14ac:dyDescent="0.3">
      <c r="B47" s="4" t="s">
        <v>85</v>
      </c>
      <c r="C47" s="17">
        <f>'Data-BS'!D46</f>
        <v>1796</v>
      </c>
      <c r="D47" s="17">
        <f>'Data-BS'!E46</f>
        <v>1475</v>
      </c>
      <c r="E47" s="17">
        <f>'Data-BS'!F46</f>
        <v>1512</v>
      </c>
      <c r="F47" s="18">
        <f t="shared" si="8"/>
        <v>-321</v>
      </c>
      <c r="G47" s="19">
        <f t="shared" si="9"/>
        <v>-0.1787305122494432</v>
      </c>
      <c r="H47" s="18">
        <f t="shared" si="10"/>
        <v>37</v>
      </c>
      <c r="I47" s="19">
        <f t="shared" si="11"/>
        <v>2.5084745762711864E-2</v>
      </c>
    </row>
    <row r="48" spans="2:9" x14ac:dyDescent="0.3">
      <c r="B48" s="4" t="s">
        <v>86</v>
      </c>
      <c r="C48" s="17">
        <f>'Data-BS'!D47</f>
        <v>3585</v>
      </c>
      <c r="D48" s="17">
        <f>'Data-BS'!E47</f>
        <v>4853</v>
      </c>
      <c r="E48" s="17">
        <f>'Data-BS'!F47</f>
        <v>5644</v>
      </c>
      <c r="F48" s="18">
        <f t="shared" si="8"/>
        <v>1268</v>
      </c>
      <c r="G48" s="19">
        <f t="shared" si="9"/>
        <v>0.35369595536959553</v>
      </c>
      <c r="H48" s="18">
        <f t="shared" si="10"/>
        <v>791</v>
      </c>
      <c r="I48" s="19">
        <f t="shared" si="11"/>
        <v>0.16299196373377292</v>
      </c>
    </row>
    <row r="49" spans="2:10" x14ac:dyDescent="0.3">
      <c r="B49" s="2" t="s">
        <v>87</v>
      </c>
      <c r="C49" s="20">
        <f>'Data-BS'!D48</f>
        <v>38794</v>
      </c>
      <c r="D49" s="20">
        <f>'Data-BS'!E48</f>
        <v>42850</v>
      </c>
      <c r="E49" s="20">
        <f>'Data-BS'!F48</f>
        <v>52322</v>
      </c>
      <c r="F49" s="21">
        <f t="shared" si="8"/>
        <v>4056</v>
      </c>
      <c r="G49" s="22">
        <f t="shared" si="9"/>
        <v>0.10455225034799195</v>
      </c>
      <c r="H49" s="21">
        <f t="shared" si="10"/>
        <v>9472</v>
      </c>
      <c r="I49" s="22">
        <f t="shared" si="11"/>
        <v>0.22105017502917154</v>
      </c>
    </row>
    <row r="50" spans="2:10" x14ac:dyDescent="0.3">
      <c r="B50" s="2" t="s">
        <v>88</v>
      </c>
      <c r="C50" s="23">
        <f>'Data-BS'!D49</f>
        <v>137814</v>
      </c>
      <c r="D50" s="23">
        <f>'Data-BS'!E49</f>
        <v>148903</v>
      </c>
      <c r="E50" s="23">
        <f>'Data-BS'!F49</f>
        <v>155967</v>
      </c>
      <c r="F50" s="13">
        <f t="shared" si="8"/>
        <v>11089</v>
      </c>
      <c r="G50" s="24">
        <f t="shared" si="9"/>
        <v>8.046352329951964E-2</v>
      </c>
      <c r="H50" s="13">
        <f t="shared" si="10"/>
        <v>7064</v>
      </c>
      <c r="I50" s="24">
        <f t="shared" si="11"/>
        <v>4.7440279913769368E-2</v>
      </c>
    </row>
    <row r="52" spans="2:10" ht="15.75" customHeight="1" x14ac:dyDescent="0.3">
      <c r="B52" s="181" t="s">
        <v>138</v>
      </c>
      <c r="C52" s="181"/>
      <c r="D52" s="181"/>
      <c r="E52" s="181"/>
      <c r="F52" s="181"/>
      <c r="G52" s="181"/>
      <c r="H52" s="181"/>
      <c r="I52" s="181"/>
      <c r="J52" s="181"/>
    </row>
    <row r="53" spans="2:10" ht="27.75" customHeight="1" x14ac:dyDescent="0.3">
      <c r="B53" s="179" t="s">
        <v>139</v>
      </c>
      <c r="C53" s="179"/>
      <c r="D53" s="179"/>
      <c r="E53" s="179"/>
      <c r="F53" s="179"/>
      <c r="G53" s="179"/>
      <c r="H53" s="179"/>
      <c r="I53" s="179"/>
      <c r="J53" s="179"/>
    </row>
    <row r="54" spans="2:10" ht="27.75" customHeight="1" x14ac:dyDescent="0.3">
      <c r="B54" s="179" t="s">
        <v>140</v>
      </c>
      <c r="C54" s="179"/>
      <c r="D54" s="179"/>
      <c r="E54" s="179"/>
      <c r="F54" s="179"/>
      <c r="G54" s="179"/>
      <c r="H54" s="179"/>
      <c r="I54" s="179"/>
      <c r="J54" s="179"/>
    </row>
    <row r="55" spans="2:10" ht="27.75" customHeight="1" x14ac:dyDescent="0.3">
      <c r="B55" s="179" t="s">
        <v>141</v>
      </c>
      <c r="C55" s="179"/>
      <c r="D55" s="179"/>
      <c r="E55" s="179"/>
      <c r="F55" s="179"/>
      <c r="G55" s="179"/>
      <c r="H55" s="179"/>
      <c r="I55" s="179"/>
      <c r="J55" s="179"/>
    </row>
    <row r="56" spans="2:10" ht="27.75" customHeight="1" x14ac:dyDescent="0.3">
      <c r="B56" s="179" t="s">
        <v>142</v>
      </c>
      <c r="C56" s="179"/>
      <c r="D56" s="179"/>
      <c r="E56" s="179"/>
      <c r="F56" s="179"/>
      <c r="G56" s="179"/>
      <c r="H56" s="179"/>
      <c r="I56" s="179"/>
      <c r="J56" s="179"/>
    </row>
  </sheetData>
  <mergeCells count="9">
    <mergeCell ref="B53:J53"/>
    <mergeCell ref="B54:J54"/>
    <mergeCell ref="B55:J55"/>
    <mergeCell ref="B56:J56"/>
    <mergeCell ref="A1:I1"/>
    <mergeCell ref="B3:J3"/>
    <mergeCell ref="B5:J5"/>
    <mergeCell ref="B29:J29"/>
    <mergeCell ref="B52:J5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1"/>
  <sheetViews>
    <sheetView showGridLines="0" zoomScaleNormal="100" workbookViewId="0">
      <pane xSplit="2" ySplit="4" topLeftCell="C5" activePane="bottomRight" state="frozen"/>
      <selection pane="topRight" activeCell="C1" sqref="C1"/>
      <selection pane="bottomLeft" activeCell="A5" sqref="A5"/>
      <selection pane="bottomRight" sqref="A1:I1"/>
    </sheetView>
  </sheetViews>
  <sheetFormatPr defaultColWidth="8.6640625" defaultRowHeight="14.4" x14ac:dyDescent="0.3"/>
  <cols>
    <col min="1" max="1" width="2" customWidth="1"/>
    <col min="2" max="2" width="44" customWidth="1"/>
    <col min="3" max="5" width="13" customWidth="1"/>
    <col min="6" max="6" width="16.21875" customWidth="1"/>
    <col min="7" max="7" width="14" customWidth="1"/>
    <col min="8" max="8" width="15.44140625" customWidth="1"/>
    <col min="9" max="9" width="13.44140625" customWidth="1"/>
    <col min="10" max="10" width="12" customWidth="1"/>
  </cols>
  <sheetData>
    <row r="1" spans="1:10" ht="30" customHeight="1" x14ac:dyDescent="0.3">
      <c r="A1" s="176" t="s">
        <v>143</v>
      </c>
      <c r="B1" s="176"/>
      <c r="C1" s="176"/>
      <c r="D1" s="176"/>
      <c r="E1" s="176"/>
      <c r="F1" s="176"/>
      <c r="G1" s="176"/>
      <c r="H1" s="176"/>
      <c r="I1" s="176"/>
    </row>
    <row r="3" spans="1:10" x14ac:dyDescent="0.3">
      <c r="B3" s="180" t="s">
        <v>133</v>
      </c>
      <c r="C3" s="180"/>
      <c r="D3" s="180"/>
      <c r="E3" s="180"/>
      <c r="F3" s="180"/>
      <c r="G3" s="180"/>
      <c r="H3" s="180"/>
      <c r="I3" s="180"/>
      <c r="J3" s="180"/>
    </row>
    <row r="4" spans="1:10" ht="25.5" customHeight="1" x14ac:dyDescent="0.3">
      <c r="B4" s="5" t="s">
        <v>39</v>
      </c>
      <c r="C4" s="5" t="s">
        <v>40</v>
      </c>
      <c r="D4" s="5" t="s">
        <v>41</v>
      </c>
      <c r="E4" s="5" t="s">
        <v>42</v>
      </c>
      <c r="F4" s="5" t="s">
        <v>134</v>
      </c>
      <c r="G4" s="5" t="s">
        <v>135</v>
      </c>
      <c r="H4" s="5" t="s">
        <v>136</v>
      </c>
      <c r="I4" s="5" t="s">
        <v>137</v>
      </c>
    </row>
    <row r="5" spans="1:10" x14ac:dyDescent="0.3">
      <c r="B5" s="4" t="s">
        <v>91</v>
      </c>
      <c r="C5" s="17">
        <f>'Data-PL'!D4</f>
        <v>153670</v>
      </c>
      <c r="D5" s="17">
        <f>'Data-PL'!E4</f>
        <v>162990</v>
      </c>
      <c r="E5" s="17">
        <f>'Data-PL'!F4</f>
        <v>178650</v>
      </c>
      <c r="F5" s="18">
        <f>D5-C5</f>
        <v>9320</v>
      </c>
      <c r="G5" s="19">
        <f>IFERROR(F5/C5,"n.m.")</f>
        <v>6.064944361293681E-2</v>
      </c>
      <c r="H5" s="18">
        <f>E5-D5</f>
        <v>15660</v>
      </c>
      <c r="I5" s="19">
        <f>IFERROR(H5/D5,"n.m.")</f>
        <v>9.6079514080618447E-2</v>
      </c>
    </row>
    <row r="6" spans="1:10" x14ac:dyDescent="0.3">
      <c r="B6" s="4" t="s">
        <v>92</v>
      </c>
      <c r="C6" s="17">
        <f>'Data-PL'!D5</f>
        <v>4711</v>
      </c>
      <c r="D6" s="17">
        <f>'Data-PL'!E5</f>
        <v>3600</v>
      </c>
      <c r="E6" s="17">
        <f>'Data-PL'!F5</f>
        <v>4322</v>
      </c>
      <c r="F6" s="18">
        <f>D6-C6</f>
        <v>-1111</v>
      </c>
      <c r="G6" s="19">
        <f>IFERROR(F6/C6,"n.m.")</f>
        <v>-0.235831033750796</v>
      </c>
      <c r="H6" s="18">
        <f>E6-D6</f>
        <v>722</v>
      </c>
      <c r="I6" s="19">
        <f>IFERROR(H6/D6,"n.m.")</f>
        <v>0.20055555555555554</v>
      </c>
    </row>
    <row r="7" spans="1:10" x14ac:dyDescent="0.3">
      <c r="B7" s="2" t="s">
        <v>93</v>
      </c>
      <c r="C7" s="20">
        <f>'Data-PL'!D6</f>
        <v>158381</v>
      </c>
      <c r="D7" s="20">
        <f>'Data-PL'!E6</f>
        <v>166590</v>
      </c>
      <c r="E7" s="20">
        <f>'Data-PL'!F6</f>
        <v>182972</v>
      </c>
      <c r="F7" s="21">
        <f>D7-C7</f>
        <v>8209</v>
      </c>
      <c r="G7" s="22">
        <f>IFERROR(F7/C7,"n.m.")</f>
        <v>5.1830712017224286E-2</v>
      </c>
      <c r="H7" s="21">
        <f>E7-D7</f>
        <v>16382</v>
      </c>
      <c r="I7" s="22">
        <f>IFERROR(H7/D7,"n.m.")</f>
        <v>9.8337235128158951E-2</v>
      </c>
    </row>
    <row r="8" spans="1:10" x14ac:dyDescent="0.3">
      <c r="B8" s="6" t="s">
        <v>94</v>
      </c>
    </row>
    <row r="9" spans="1:10" x14ac:dyDescent="0.3">
      <c r="B9" s="4" t="s">
        <v>95</v>
      </c>
      <c r="C9" s="17">
        <f>'Data-PL'!D8</f>
        <v>82620</v>
      </c>
      <c r="D9" s="17">
        <f>'Data-PL'!E8</f>
        <v>85950</v>
      </c>
      <c r="E9" s="17">
        <f>'Data-PL'!F8</f>
        <v>95094</v>
      </c>
      <c r="F9" s="18">
        <f t="shared" ref="F9:F25" si="0">D9-C9</f>
        <v>3330</v>
      </c>
      <c r="G9" s="19">
        <f t="shared" ref="G9:G25" si="1">IFERROR(F9/C9,"n.m.")</f>
        <v>4.0305010893246188E-2</v>
      </c>
      <c r="H9" s="18">
        <f t="shared" ref="H9:H25" si="2">E9-D9</f>
        <v>9144</v>
      </c>
      <c r="I9" s="19">
        <f t="shared" ref="I9:I25" si="3">IFERROR(H9/D9,"n.m.")</f>
        <v>0.10638743455497382</v>
      </c>
    </row>
    <row r="10" spans="1:10" x14ac:dyDescent="0.3">
      <c r="B10" s="4" t="s">
        <v>96</v>
      </c>
      <c r="C10" s="17">
        <f>'Data-PL'!D9</f>
        <v>12232</v>
      </c>
      <c r="D10" s="17">
        <f>'Data-PL'!E9</f>
        <v>12937</v>
      </c>
      <c r="E10" s="17">
        <f>'Data-PL'!F9</f>
        <v>15421</v>
      </c>
      <c r="F10" s="18">
        <f t="shared" si="0"/>
        <v>705</v>
      </c>
      <c r="G10" s="19">
        <f t="shared" si="1"/>
        <v>5.7635709614126882E-2</v>
      </c>
      <c r="H10" s="18">
        <f t="shared" si="2"/>
        <v>2484</v>
      </c>
      <c r="I10" s="19">
        <f t="shared" si="3"/>
        <v>0.19200742057664064</v>
      </c>
    </row>
    <row r="11" spans="1:10" x14ac:dyDescent="0.3">
      <c r="B11" s="4" t="s">
        <v>97</v>
      </c>
      <c r="C11" s="17">
        <f>'Data-PL'!D10</f>
        <v>1759</v>
      </c>
      <c r="D11" s="17">
        <f>'Data-PL'!E10</f>
        <v>1894</v>
      </c>
      <c r="E11" s="17">
        <f>'Data-PL'!F10</f>
        <v>2097</v>
      </c>
      <c r="F11" s="18">
        <f t="shared" si="0"/>
        <v>135</v>
      </c>
      <c r="G11" s="19">
        <f t="shared" si="1"/>
        <v>7.6748152359295052E-2</v>
      </c>
      <c r="H11" s="18">
        <f t="shared" si="2"/>
        <v>203</v>
      </c>
      <c r="I11" s="19">
        <f t="shared" si="3"/>
        <v>0.10718057022175291</v>
      </c>
    </row>
    <row r="12" spans="1:10" x14ac:dyDescent="0.3">
      <c r="B12" s="4" t="s">
        <v>98</v>
      </c>
      <c r="C12" s="17">
        <f>'Data-PL'!D11</f>
        <v>13515</v>
      </c>
      <c r="D12" s="17">
        <f>'Data-PL'!E11</f>
        <v>15911</v>
      </c>
      <c r="E12" s="17">
        <f>'Data-PL'!F11</f>
        <v>15722</v>
      </c>
      <c r="F12" s="18">
        <f t="shared" si="0"/>
        <v>2396</v>
      </c>
      <c r="G12" s="19">
        <f t="shared" si="1"/>
        <v>0.17728449870514243</v>
      </c>
      <c r="H12" s="18">
        <f t="shared" si="2"/>
        <v>-189</v>
      </c>
      <c r="I12" s="19">
        <f t="shared" si="3"/>
        <v>-1.1878574571051475E-2</v>
      </c>
    </row>
    <row r="13" spans="1:10" x14ac:dyDescent="0.3">
      <c r="B13" s="4" t="s">
        <v>99</v>
      </c>
      <c r="C13" s="17">
        <f>'Data-PL'!D12</f>
        <v>677</v>
      </c>
      <c r="D13" s="17">
        <f>'Data-PL'!E12</f>
        <v>620</v>
      </c>
      <c r="E13" s="17">
        <f>'Data-PL'!F12</f>
        <v>603</v>
      </c>
      <c r="F13" s="18">
        <f t="shared" si="0"/>
        <v>-57</v>
      </c>
      <c r="G13" s="19">
        <f t="shared" si="1"/>
        <v>-8.4194977843426888E-2</v>
      </c>
      <c r="H13" s="18">
        <f t="shared" si="2"/>
        <v>-17</v>
      </c>
      <c r="I13" s="19">
        <f t="shared" si="3"/>
        <v>-2.7419354838709678E-2</v>
      </c>
    </row>
    <row r="14" spans="1:10" x14ac:dyDescent="0.3">
      <c r="B14" s="4" t="s">
        <v>100</v>
      </c>
      <c r="C14" s="17">
        <f>'Data-PL'!D13</f>
        <v>1726</v>
      </c>
      <c r="D14" s="17">
        <f>'Data-PL'!E13</f>
        <v>1655</v>
      </c>
      <c r="E14" s="17">
        <f>'Data-PL'!F13</f>
        <v>2090</v>
      </c>
      <c r="F14" s="18">
        <f t="shared" si="0"/>
        <v>-71</v>
      </c>
      <c r="G14" s="19">
        <f t="shared" si="1"/>
        <v>-4.1135573580533026E-2</v>
      </c>
      <c r="H14" s="18">
        <f t="shared" si="2"/>
        <v>435</v>
      </c>
      <c r="I14" s="19">
        <f t="shared" si="3"/>
        <v>0.26283987915407853</v>
      </c>
    </row>
    <row r="15" spans="1:10" x14ac:dyDescent="0.3">
      <c r="B15" s="4" t="s">
        <v>101</v>
      </c>
      <c r="C15" s="17">
        <f>'Data-PL'!D14</f>
        <v>4678</v>
      </c>
      <c r="D15" s="17">
        <f>'Data-PL'!E14</f>
        <v>4812</v>
      </c>
      <c r="E15" s="17">
        <f>'Data-PL'!F14</f>
        <v>4902</v>
      </c>
      <c r="F15" s="18">
        <f t="shared" si="0"/>
        <v>134</v>
      </c>
      <c r="G15" s="19">
        <f t="shared" si="1"/>
        <v>2.8644719965797351E-2</v>
      </c>
      <c r="H15" s="18">
        <f t="shared" si="2"/>
        <v>90</v>
      </c>
      <c r="I15" s="19">
        <f t="shared" si="3"/>
        <v>1.8703241895261846E-2</v>
      </c>
    </row>
    <row r="16" spans="1:10" x14ac:dyDescent="0.3">
      <c r="B16" s="4" t="s">
        <v>102</v>
      </c>
      <c r="C16" s="17">
        <f>'Data-PL'!D15</f>
        <v>470</v>
      </c>
      <c r="D16" s="17">
        <f>'Data-PL'!E15</f>
        <v>416</v>
      </c>
      <c r="E16" s="17">
        <f>'Data-PL'!F15</f>
        <v>416</v>
      </c>
      <c r="F16" s="18">
        <f t="shared" si="0"/>
        <v>-54</v>
      </c>
      <c r="G16" s="19">
        <f t="shared" si="1"/>
        <v>-0.1148936170212766</v>
      </c>
      <c r="H16" s="18">
        <f t="shared" si="2"/>
        <v>0</v>
      </c>
      <c r="I16" s="19">
        <f t="shared" si="3"/>
        <v>0</v>
      </c>
    </row>
    <row r="17" spans="2:10" x14ac:dyDescent="0.3">
      <c r="B17" s="4" t="s">
        <v>103</v>
      </c>
      <c r="C17" s="17">
        <f>'Data-PL'!D16</f>
        <v>4716</v>
      </c>
      <c r="D17" s="17">
        <f>'Data-PL'!E16</f>
        <v>4787</v>
      </c>
      <c r="E17" s="17">
        <f>'Data-PL'!F16</f>
        <v>5343</v>
      </c>
      <c r="F17" s="18">
        <f t="shared" si="0"/>
        <v>71</v>
      </c>
      <c r="G17" s="19">
        <f t="shared" si="1"/>
        <v>1.5055131467345207E-2</v>
      </c>
      <c r="H17" s="18">
        <f t="shared" si="2"/>
        <v>556</v>
      </c>
      <c r="I17" s="19">
        <f t="shared" si="3"/>
        <v>0.11614790056402757</v>
      </c>
    </row>
    <row r="18" spans="2:10" x14ac:dyDescent="0.3">
      <c r="B18" s="2" t="s">
        <v>104</v>
      </c>
      <c r="C18" s="20">
        <f>'Data-PL'!D17</f>
        <v>122393</v>
      </c>
      <c r="D18" s="20">
        <f>'Data-PL'!E17</f>
        <v>128982</v>
      </c>
      <c r="E18" s="20">
        <f>'Data-PL'!F17</f>
        <v>141688</v>
      </c>
      <c r="F18" s="21">
        <f t="shared" si="0"/>
        <v>6589</v>
      </c>
      <c r="G18" s="22">
        <f t="shared" si="1"/>
        <v>5.3834778132736349E-2</v>
      </c>
      <c r="H18" s="21">
        <f t="shared" si="2"/>
        <v>12706</v>
      </c>
      <c r="I18" s="22">
        <f t="shared" si="3"/>
        <v>9.8509869594206947E-2</v>
      </c>
    </row>
    <row r="19" spans="2:10" x14ac:dyDescent="0.3">
      <c r="B19" s="2" t="s">
        <v>105</v>
      </c>
      <c r="C19" s="20">
        <f>'Data-PL'!D18</f>
        <v>35988</v>
      </c>
      <c r="D19" s="20">
        <f>'Data-PL'!E18</f>
        <v>37608</v>
      </c>
      <c r="E19" s="20">
        <f>'Data-PL'!F18</f>
        <v>41284</v>
      </c>
      <c r="F19" s="21">
        <f t="shared" si="0"/>
        <v>1620</v>
      </c>
      <c r="G19" s="22">
        <f t="shared" si="1"/>
        <v>4.5015005001667226E-2</v>
      </c>
      <c r="H19" s="21">
        <f t="shared" si="2"/>
        <v>3676</v>
      </c>
      <c r="I19" s="22">
        <f t="shared" si="3"/>
        <v>9.7745160604126788E-2</v>
      </c>
    </row>
    <row r="20" spans="2:10" x14ac:dyDescent="0.3">
      <c r="B20" s="4" t="s">
        <v>106</v>
      </c>
      <c r="C20" s="17">
        <f>'Data-PL'!D19</f>
        <v>0</v>
      </c>
      <c r="D20" s="17">
        <f>'Data-PL'!E19</f>
        <v>0</v>
      </c>
      <c r="E20" s="17">
        <f>'Data-PL'!F19</f>
        <v>1289</v>
      </c>
      <c r="F20" s="18">
        <f t="shared" si="0"/>
        <v>0</v>
      </c>
      <c r="G20" s="19" t="str">
        <f t="shared" si="1"/>
        <v>n.m.</v>
      </c>
      <c r="H20" s="18">
        <f t="shared" si="2"/>
        <v>1289</v>
      </c>
      <c r="I20" s="19" t="str">
        <f t="shared" si="3"/>
        <v>n.m.</v>
      </c>
    </row>
    <row r="21" spans="2:10" x14ac:dyDescent="0.3">
      <c r="B21" s="2" t="s">
        <v>107</v>
      </c>
      <c r="C21" s="20">
        <f>'Data-PL'!D20</f>
        <v>35988</v>
      </c>
      <c r="D21" s="20">
        <f>'Data-PL'!E20</f>
        <v>37608</v>
      </c>
      <c r="E21" s="20">
        <f>'Data-PL'!F20</f>
        <v>39995</v>
      </c>
      <c r="F21" s="21">
        <f t="shared" si="0"/>
        <v>1620</v>
      </c>
      <c r="G21" s="22">
        <f t="shared" si="1"/>
        <v>4.5015005001667226E-2</v>
      </c>
      <c r="H21" s="21">
        <f t="shared" si="2"/>
        <v>2387</v>
      </c>
      <c r="I21" s="22">
        <f t="shared" si="3"/>
        <v>6.3470538183365247E-2</v>
      </c>
    </row>
    <row r="22" spans="2:10" x14ac:dyDescent="0.3">
      <c r="B22" s="4" t="s">
        <v>108</v>
      </c>
      <c r="C22" s="17">
        <f>'Data-PL'!D21</f>
        <v>8390</v>
      </c>
      <c r="D22" s="17">
        <f>'Data-PL'!E21</f>
        <v>12130</v>
      </c>
      <c r="E22" s="17">
        <f>'Data-PL'!F21</f>
        <v>11767</v>
      </c>
      <c r="F22" s="18">
        <f t="shared" si="0"/>
        <v>3740</v>
      </c>
      <c r="G22" s="19">
        <f t="shared" si="1"/>
        <v>0.44576877234803336</v>
      </c>
      <c r="H22" s="18">
        <f t="shared" si="2"/>
        <v>-363</v>
      </c>
      <c r="I22" s="19">
        <f t="shared" si="3"/>
        <v>-2.9925803792250617E-2</v>
      </c>
    </row>
    <row r="23" spans="2:10" x14ac:dyDescent="0.3">
      <c r="B23" s="4" t="s">
        <v>109</v>
      </c>
      <c r="C23" s="17">
        <f>'Data-PL'!D22</f>
        <v>1350</v>
      </c>
      <c r="D23" s="17">
        <f>'Data-PL'!E22</f>
        <v>-1272</v>
      </c>
      <c r="E23" s="17">
        <f>'Data-PL'!F22</f>
        <v>-1246</v>
      </c>
      <c r="F23" s="18">
        <f t="shared" si="0"/>
        <v>-2622</v>
      </c>
      <c r="G23" s="19">
        <f t="shared" si="1"/>
        <v>-1.9422222222222223</v>
      </c>
      <c r="H23" s="18">
        <f t="shared" si="2"/>
        <v>26</v>
      </c>
      <c r="I23" s="19">
        <f t="shared" si="3"/>
        <v>-2.0440251572327043E-2</v>
      </c>
    </row>
    <row r="24" spans="2:10" x14ac:dyDescent="0.3">
      <c r="B24" s="2" t="s">
        <v>110</v>
      </c>
      <c r="C24" s="20">
        <f>'Data-PL'!D23</f>
        <v>9740</v>
      </c>
      <c r="D24" s="20">
        <f>'Data-PL'!E23</f>
        <v>10858</v>
      </c>
      <c r="E24" s="20">
        <f>'Data-PL'!F23</f>
        <v>10521</v>
      </c>
      <c r="F24" s="21">
        <f t="shared" si="0"/>
        <v>1118</v>
      </c>
      <c r="G24" s="22">
        <f t="shared" si="1"/>
        <v>0.11478439425051334</v>
      </c>
      <c r="H24" s="21">
        <f t="shared" si="2"/>
        <v>-337</v>
      </c>
      <c r="I24" s="22">
        <f t="shared" si="3"/>
        <v>-3.1037023392890033E-2</v>
      </c>
    </row>
    <row r="25" spans="2:10" x14ac:dyDescent="0.3">
      <c r="B25" s="2" t="s">
        <v>111</v>
      </c>
      <c r="C25" s="23">
        <f>'Data-PL'!D24</f>
        <v>26248</v>
      </c>
      <c r="D25" s="23">
        <f>'Data-PL'!E24</f>
        <v>26750</v>
      </c>
      <c r="E25" s="23">
        <f>'Data-PL'!F24</f>
        <v>29474</v>
      </c>
      <c r="F25" s="13">
        <f t="shared" si="0"/>
        <v>502</v>
      </c>
      <c r="G25" s="24">
        <f t="shared" si="1"/>
        <v>1.9125266686985675E-2</v>
      </c>
      <c r="H25" s="13">
        <f t="shared" si="2"/>
        <v>2724</v>
      </c>
      <c r="I25" s="24">
        <f t="shared" si="3"/>
        <v>0.10183177570093457</v>
      </c>
    </row>
    <row r="27" spans="2:10" ht="15.75" customHeight="1" x14ac:dyDescent="0.3">
      <c r="B27" s="181" t="s">
        <v>138</v>
      </c>
      <c r="C27" s="181"/>
      <c r="D27" s="181"/>
      <c r="E27" s="181"/>
      <c r="F27" s="181"/>
      <c r="G27" s="181"/>
      <c r="H27" s="181"/>
      <c r="I27" s="181"/>
      <c r="J27" s="181"/>
    </row>
    <row r="28" spans="2:10" ht="27.75" customHeight="1" x14ac:dyDescent="0.3">
      <c r="B28" s="179" t="s">
        <v>144</v>
      </c>
      <c r="C28" s="179"/>
      <c r="D28" s="179"/>
      <c r="E28" s="179"/>
      <c r="F28" s="179"/>
      <c r="G28" s="179"/>
      <c r="H28" s="179"/>
      <c r="I28" s="179"/>
      <c r="J28" s="179"/>
    </row>
    <row r="29" spans="2:10" ht="27.75" customHeight="1" x14ac:dyDescent="0.3">
      <c r="B29" s="179" t="s">
        <v>145</v>
      </c>
      <c r="C29" s="179"/>
      <c r="D29" s="179"/>
      <c r="E29" s="179"/>
      <c r="F29" s="179"/>
      <c r="G29" s="179"/>
      <c r="H29" s="179"/>
      <c r="I29" s="179"/>
      <c r="J29" s="179"/>
    </row>
    <row r="30" spans="2:10" ht="27.75" customHeight="1" x14ac:dyDescent="0.3">
      <c r="B30" s="179" t="s">
        <v>146</v>
      </c>
      <c r="C30" s="179"/>
      <c r="D30" s="179"/>
      <c r="E30" s="179"/>
      <c r="F30" s="179"/>
      <c r="G30" s="179"/>
      <c r="H30" s="179"/>
      <c r="I30" s="179"/>
      <c r="J30" s="179"/>
    </row>
    <row r="31" spans="2:10" ht="27.75" customHeight="1" x14ac:dyDescent="0.3">
      <c r="B31" s="179" t="s">
        <v>147</v>
      </c>
      <c r="C31" s="179"/>
      <c r="D31" s="179"/>
      <c r="E31" s="179"/>
      <c r="F31" s="179"/>
      <c r="G31" s="179"/>
      <c r="H31" s="179"/>
      <c r="I31" s="179"/>
      <c r="J31" s="179"/>
    </row>
  </sheetData>
  <mergeCells count="7">
    <mergeCell ref="B30:J30"/>
    <mergeCell ref="B31:J31"/>
    <mergeCell ref="A1:I1"/>
    <mergeCell ref="B3:J3"/>
    <mergeCell ref="B27:J27"/>
    <mergeCell ref="B28:J28"/>
    <mergeCell ref="B29:J2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showGridLines="0" zoomScaleNormal="100" workbookViewId="0">
      <pane xSplit="2" ySplit="4" topLeftCell="C5" activePane="bottomRight" state="frozen"/>
      <selection pane="topRight" activeCell="C1" sqref="C1"/>
      <selection pane="bottomLeft" activeCell="A5" sqref="A5"/>
      <selection pane="bottomRight" sqref="A1:G1"/>
    </sheetView>
  </sheetViews>
  <sheetFormatPr defaultColWidth="8.6640625" defaultRowHeight="14.4" x14ac:dyDescent="0.3"/>
  <cols>
    <col min="1" max="1" width="2" customWidth="1"/>
    <col min="2" max="2" width="46" customWidth="1"/>
    <col min="3" max="5" width="13" customWidth="1"/>
    <col min="6" max="8" width="12" customWidth="1"/>
  </cols>
  <sheetData>
    <row r="1" spans="1:8" ht="30" customHeight="1" x14ac:dyDescent="0.3">
      <c r="A1" s="176" t="s">
        <v>148</v>
      </c>
      <c r="B1" s="176"/>
      <c r="C1" s="176"/>
      <c r="D1" s="176"/>
      <c r="E1" s="176"/>
      <c r="F1" s="176"/>
      <c r="G1" s="176"/>
    </row>
    <row r="3" spans="1:8" x14ac:dyDescent="0.3">
      <c r="B3" s="180" t="s">
        <v>149</v>
      </c>
      <c r="C3" s="180"/>
      <c r="D3" s="180"/>
      <c r="E3" s="180"/>
      <c r="F3" s="180"/>
      <c r="G3" s="180"/>
      <c r="H3" s="180"/>
    </row>
    <row r="4" spans="1:8" ht="25.5" customHeight="1" x14ac:dyDescent="0.3">
      <c r="B4" s="5" t="s">
        <v>39</v>
      </c>
      <c r="C4" s="5" t="s">
        <v>150</v>
      </c>
      <c r="D4" s="5" t="s">
        <v>151</v>
      </c>
      <c r="E4" s="5" t="s">
        <v>152</v>
      </c>
      <c r="F4" s="5" t="s">
        <v>153</v>
      </c>
      <c r="G4" s="5" t="s">
        <v>154</v>
      </c>
      <c r="H4" s="5" t="s">
        <v>155</v>
      </c>
    </row>
    <row r="5" spans="1:8" x14ac:dyDescent="0.3">
      <c r="B5" s="161" t="s">
        <v>43</v>
      </c>
      <c r="C5" s="161"/>
      <c r="D5" s="161"/>
      <c r="E5" s="161"/>
      <c r="F5" s="161"/>
      <c r="G5" s="161"/>
      <c r="H5" s="161"/>
    </row>
    <row r="6" spans="1:8" x14ac:dyDescent="0.3">
      <c r="B6" s="6" t="s">
        <v>44</v>
      </c>
    </row>
    <row r="7" spans="1:8" x14ac:dyDescent="0.3">
      <c r="B7" s="4" t="s">
        <v>45</v>
      </c>
      <c r="C7" s="17">
        <f>'Data-BS'!D6</f>
        <v>12370</v>
      </c>
      <c r="D7" s="17">
        <f>'Data-BS'!E6</f>
        <v>11778</v>
      </c>
      <c r="E7" s="17">
        <f>'Data-BS'!F6</f>
        <v>12651</v>
      </c>
      <c r="F7" s="19">
        <f>C7/C28</f>
        <v>8.975866022319938E-2</v>
      </c>
      <c r="G7" s="19">
        <f>D7/D28</f>
        <v>7.9098473502884431E-2</v>
      </c>
      <c r="H7" s="19">
        <f>E7/E28</f>
        <v>8.111331243147589E-2</v>
      </c>
    </row>
    <row r="8" spans="1:8" x14ac:dyDescent="0.3">
      <c r="B8" s="4" t="s">
        <v>46</v>
      </c>
      <c r="C8" s="17">
        <f>'Data-BS'!D7</f>
        <v>6552</v>
      </c>
      <c r="D8" s="17">
        <f>'Data-BS'!E7</f>
        <v>6311</v>
      </c>
      <c r="E8" s="17">
        <f>'Data-BS'!F7</f>
        <v>6177</v>
      </c>
      <c r="F8" s="19">
        <f>C8/C28</f>
        <v>4.7542339675214422E-2</v>
      </c>
      <c r="G8" s="19">
        <f>D8/D28</f>
        <v>4.2383296508465243E-2</v>
      </c>
      <c r="H8" s="19">
        <f>E8/E28</f>
        <v>3.9604531727865509E-2</v>
      </c>
    </row>
    <row r="9" spans="1:8" x14ac:dyDescent="0.3">
      <c r="B9" s="4" t="s">
        <v>47</v>
      </c>
      <c r="C9" s="17">
        <f>'Data-BS'!D8</f>
        <v>293</v>
      </c>
      <c r="D9" s="17">
        <f>'Data-BS'!E8</f>
        <v>814</v>
      </c>
      <c r="E9" s="17">
        <f>'Data-BS'!F8</f>
        <v>526</v>
      </c>
      <c r="F9" s="19">
        <f>C9/C28</f>
        <v>2.1260539567823297E-3</v>
      </c>
      <c r="G9" s="19">
        <f>D9/D28</f>
        <v>5.4666460716036617E-3</v>
      </c>
      <c r="H9" s="19">
        <f>E9/E28</f>
        <v>3.3725082870094316E-3</v>
      </c>
    </row>
    <row r="10" spans="1:8" x14ac:dyDescent="0.3">
      <c r="B10" s="4" t="s">
        <v>48</v>
      </c>
      <c r="C10" s="17">
        <f>'Data-BS'!D9</f>
        <v>7303</v>
      </c>
      <c r="D10" s="17">
        <f>'Data-BS'!E9</f>
        <v>10106</v>
      </c>
      <c r="E10" s="17">
        <f>'Data-BS'!F9</f>
        <v>12117</v>
      </c>
      <c r="F10" s="19">
        <f>C10/C28</f>
        <v>5.2991713468878342E-2</v>
      </c>
      <c r="G10" s="19">
        <f>D10/D28</f>
        <v>6.7869686977428262E-2</v>
      </c>
      <c r="H10" s="19">
        <f>E10/E28</f>
        <v>7.7689511242762896E-2</v>
      </c>
    </row>
    <row r="11" spans="1:8" x14ac:dyDescent="0.3">
      <c r="B11" s="4" t="s">
        <v>49</v>
      </c>
      <c r="C11" s="17">
        <f>'Data-BS'!D10</f>
        <v>1397</v>
      </c>
      <c r="D11" s="17">
        <f>'Data-BS'!E10</f>
        <v>2766</v>
      </c>
      <c r="E11" s="17">
        <f>'Data-BS'!F10</f>
        <v>2825</v>
      </c>
      <c r="F11" s="19">
        <f>C11/C28</f>
        <v>1.013685111817377E-2</v>
      </c>
      <c r="G11" s="19">
        <f>D11/D28</f>
        <v>1.8575851393188854E-2</v>
      </c>
      <c r="H11" s="19">
        <f>E11/E28</f>
        <v>1.8112805914071568E-2</v>
      </c>
    </row>
    <row r="12" spans="1:8" x14ac:dyDescent="0.3">
      <c r="B12" s="4" t="s">
        <v>50</v>
      </c>
      <c r="C12" s="17">
        <f>'Data-BS'!D11</f>
        <v>11708</v>
      </c>
      <c r="D12" s="17">
        <f>'Data-BS'!E11</f>
        <v>11059</v>
      </c>
      <c r="E12" s="17">
        <f>'Data-BS'!F11</f>
        <v>8930</v>
      </c>
      <c r="F12" s="19">
        <f>C12/C28</f>
        <v>8.4955084389104152E-2</v>
      </c>
      <c r="G12" s="19">
        <f>D12/D28</f>
        <v>7.4269826665681687E-2</v>
      </c>
      <c r="H12" s="19">
        <f>E12/E28</f>
        <v>5.7255701526604988E-2</v>
      </c>
    </row>
    <row r="13" spans="1:8" x14ac:dyDescent="0.3">
      <c r="B13" s="4" t="s">
        <v>51</v>
      </c>
      <c r="C13" s="17">
        <f>'Data-BS'!D12</f>
        <v>34</v>
      </c>
      <c r="D13" s="17">
        <f>'Data-BS'!E12</f>
        <v>16</v>
      </c>
      <c r="E13" s="17">
        <f>'Data-BS'!F12</f>
        <v>6</v>
      </c>
      <c r="F13" s="19">
        <f>C13/C28</f>
        <v>2.4670933286893929E-4</v>
      </c>
      <c r="G13" s="19">
        <f>D13/D28</f>
        <v>1.0745250263594421E-4</v>
      </c>
      <c r="H13" s="19">
        <f>E13/E28</f>
        <v>3.846967627767412E-5</v>
      </c>
    </row>
    <row r="14" spans="1:8" x14ac:dyDescent="0.3">
      <c r="B14" s="4" t="s">
        <v>52</v>
      </c>
      <c r="C14" s="17">
        <f>'Data-BS'!D13</f>
        <v>3105</v>
      </c>
      <c r="D14" s="17">
        <f>'Data-BS'!E13</f>
        <v>3511</v>
      </c>
      <c r="E14" s="17">
        <f>'Data-BS'!F13</f>
        <v>2776</v>
      </c>
      <c r="F14" s="19">
        <f>C14/C28</f>
        <v>2.2530367016413425E-2</v>
      </c>
      <c r="G14" s="19">
        <f>D14/D28</f>
        <v>2.3579108547175008E-2</v>
      </c>
      <c r="H14" s="19">
        <f>E14/E28</f>
        <v>1.7798636891137226E-2</v>
      </c>
    </row>
    <row r="15" spans="1:8" x14ac:dyDescent="0.3">
      <c r="B15" s="4" t="s">
        <v>53</v>
      </c>
      <c r="C15" s="17">
        <f>'Data-BS'!D14</f>
        <v>454</v>
      </c>
      <c r="D15" s="17">
        <f>'Data-BS'!E14</f>
        <v>1108</v>
      </c>
      <c r="E15" s="17">
        <f>'Data-BS'!F14</f>
        <v>2264</v>
      </c>
      <c r="F15" s="19">
        <f>C15/C28</f>
        <v>3.2942952094852482E-3</v>
      </c>
      <c r="G15" s="19">
        <f>D15/D28</f>
        <v>7.4410858075391363E-3</v>
      </c>
      <c r="H15" s="19">
        <f>E15/E28</f>
        <v>1.4515891182109036E-2</v>
      </c>
    </row>
    <row r="16" spans="1:8" x14ac:dyDescent="0.3">
      <c r="B16" s="4" t="s">
        <v>54</v>
      </c>
      <c r="C16" s="17">
        <f>'Data-BS'!D15</f>
        <v>3045</v>
      </c>
      <c r="D16" s="17">
        <f>'Data-BS'!E15</f>
        <v>1622</v>
      </c>
      <c r="E16" s="17">
        <f>'Data-BS'!F15</f>
        <v>666</v>
      </c>
      <c r="F16" s="19">
        <f>C16/C28</f>
        <v>2.209499760546824E-2</v>
      </c>
      <c r="G16" s="19">
        <f>D16/D28</f>
        <v>1.0892997454718844E-2</v>
      </c>
      <c r="H16" s="19">
        <f>E16/E28</f>
        <v>4.2701340668218277E-3</v>
      </c>
    </row>
    <row r="17" spans="2:8" x14ac:dyDescent="0.3">
      <c r="B17" s="4" t="s">
        <v>55</v>
      </c>
      <c r="C17" s="17">
        <f>'Data-BS'!D16</f>
        <v>2121</v>
      </c>
      <c r="D17" s="17">
        <f>'Data-BS'!E16</f>
        <v>2713</v>
      </c>
      <c r="E17" s="17">
        <f>'Data-BS'!F16</f>
        <v>3540</v>
      </c>
      <c r="F17" s="19">
        <f>C17/C28</f>
        <v>1.539030867691236E-2</v>
      </c>
      <c r="G17" s="19">
        <f>D17/D28</f>
        <v>1.821991497820729E-2</v>
      </c>
      <c r="H17" s="19">
        <f>E17/E28</f>
        <v>2.2697109003827733E-2</v>
      </c>
    </row>
    <row r="18" spans="2:8" x14ac:dyDescent="0.3">
      <c r="B18" s="2" t="s">
        <v>56</v>
      </c>
      <c r="C18" s="20">
        <f>'Data-BS'!D17</f>
        <v>48382</v>
      </c>
      <c r="D18" s="20">
        <f>'Data-BS'!E17</f>
        <v>51804</v>
      </c>
      <c r="E18" s="20">
        <f>'Data-BS'!F17</f>
        <v>52478</v>
      </c>
      <c r="F18" s="22">
        <f>C18/C28</f>
        <v>0.3510673806725006</v>
      </c>
      <c r="G18" s="22">
        <f>D18/D28</f>
        <v>0.34790434040952833</v>
      </c>
      <c r="H18" s="22">
        <f>E18/E28</f>
        <v>0.33646861194996375</v>
      </c>
    </row>
    <row r="19" spans="2:8" x14ac:dyDescent="0.3">
      <c r="B19" s="6" t="s">
        <v>57</v>
      </c>
    </row>
    <row r="20" spans="2:8" x14ac:dyDescent="0.3">
      <c r="B20" s="4" t="s">
        <v>58</v>
      </c>
      <c r="C20" s="17">
        <f>'Data-BS'!D19</f>
        <v>12915</v>
      </c>
      <c r="D20" s="17">
        <f>'Data-BS'!E19</f>
        <v>12482</v>
      </c>
      <c r="E20" s="17">
        <f>'Data-BS'!F19</f>
        <v>12950</v>
      </c>
      <c r="F20" s="19">
        <f>C20/C28</f>
        <v>9.3713265705951496E-2</v>
      </c>
      <c r="G20" s="19">
        <f>D20/D28</f>
        <v>8.3826383618865977E-2</v>
      </c>
      <c r="H20" s="19">
        <f>E20/E28</f>
        <v>8.3030384632646656E-2</v>
      </c>
    </row>
    <row r="21" spans="2:8" x14ac:dyDescent="0.3">
      <c r="B21" s="4" t="s">
        <v>59</v>
      </c>
      <c r="C21" s="17">
        <f>'Data-BS'!D20</f>
        <v>30193</v>
      </c>
      <c r="D21" s="17">
        <f>'Data-BS'!E20</f>
        <v>31158</v>
      </c>
      <c r="E21" s="17">
        <f>'Data-BS'!F20</f>
        <v>35234</v>
      </c>
      <c r="F21" s="19">
        <f>C21/C28</f>
        <v>0.21908514374446719</v>
      </c>
      <c r="G21" s="19">
        <f>D21/D28</f>
        <v>0.20925031732067184</v>
      </c>
      <c r="H21" s="19">
        <f>E21/E28</f>
        <v>0.22590676232792833</v>
      </c>
    </row>
    <row r="22" spans="2:8" x14ac:dyDescent="0.3">
      <c r="B22" s="4" t="s">
        <v>60</v>
      </c>
      <c r="C22" s="17">
        <f>'Data-BS'!D21</f>
        <v>14786</v>
      </c>
      <c r="D22" s="17">
        <f>'Data-BS'!E21</f>
        <v>24455</v>
      </c>
      <c r="E22" s="17">
        <f>'Data-BS'!F21</f>
        <v>22201</v>
      </c>
      <c r="F22" s="19">
        <f>C22/C28</f>
        <v>0.10728953517059225</v>
      </c>
      <c r="G22" s="19">
        <f>D22/D28</f>
        <v>0.16423443449762598</v>
      </c>
      <c r="H22" s="19">
        <f>E22/E28</f>
        <v>0.1423442138401072</v>
      </c>
    </row>
    <row r="23" spans="2:8" x14ac:dyDescent="0.3">
      <c r="B23" s="4" t="s">
        <v>61</v>
      </c>
      <c r="C23" s="17">
        <f>'Data-BS'!D22</f>
        <v>248</v>
      </c>
      <c r="D23" s="17">
        <f>'Data-BS'!E22</f>
        <v>249</v>
      </c>
      <c r="E23" s="17">
        <f>'Data-BS'!F22</f>
        <v>234</v>
      </c>
      <c r="F23" s="19">
        <f>C23/C28</f>
        <v>1.7995268985734395E-3</v>
      </c>
      <c r="G23" s="19">
        <f>D23/D28</f>
        <v>1.6722295722718817E-3</v>
      </c>
      <c r="H23" s="19">
        <f>E23/E28</f>
        <v>1.5003173748292908E-3</v>
      </c>
    </row>
    <row r="24" spans="2:8" x14ac:dyDescent="0.3">
      <c r="B24" s="4" t="s">
        <v>62</v>
      </c>
      <c r="C24" s="17">
        <f>'Data-BS'!D23</f>
        <v>12085</v>
      </c>
      <c r="D24" s="17">
        <f>'Data-BS'!E23</f>
        <v>13840</v>
      </c>
      <c r="E24" s="17">
        <f>'Data-BS'!F23</f>
        <v>15890</v>
      </c>
      <c r="F24" s="19">
        <f>C24/C28</f>
        <v>8.7690655521209748E-2</v>
      </c>
      <c r="G24" s="19">
        <f>D24/D28</f>
        <v>9.2946414780091732E-2</v>
      </c>
      <c r="H24" s="19">
        <f>E24/E28</f>
        <v>0.10188052600870696</v>
      </c>
    </row>
    <row r="25" spans="2:8" x14ac:dyDescent="0.3">
      <c r="B25" s="4" t="s">
        <v>63</v>
      </c>
      <c r="C25" s="17">
        <f>'Data-BS'!D24</f>
        <v>6397</v>
      </c>
      <c r="D25" s="17">
        <f>'Data-BS'!E24</f>
        <v>2975</v>
      </c>
      <c r="E25" s="17">
        <f>'Data-BS'!F24</f>
        <v>1835</v>
      </c>
      <c r="F25" s="19">
        <f>C25/C28</f>
        <v>4.6417635363606019E-2</v>
      </c>
      <c r="G25" s="19">
        <f>D25/D28</f>
        <v>1.9979449708870875E-2</v>
      </c>
      <c r="H25" s="19">
        <f>E25/E28</f>
        <v>1.1765309328255336E-2</v>
      </c>
    </row>
    <row r="26" spans="2:8" x14ac:dyDescent="0.3">
      <c r="B26" s="4" t="s">
        <v>64</v>
      </c>
      <c r="C26" s="17">
        <f>'Data-BS'!D25</f>
        <v>12808</v>
      </c>
      <c r="D26" s="17">
        <f>'Data-BS'!E25</f>
        <v>11940</v>
      </c>
      <c r="E26" s="17">
        <f>'Data-BS'!F25</f>
        <v>15145</v>
      </c>
      <c r="F26" s="19">
        <f>C26/C28</f>
        <v>9.2936856923099248E-2</v>
      </c>
      <c r="G26" s="19">
        <f>D26/D28</f>
        <v>8.0186430092073366E-2</v>
      </c>
      <c r="H26" s="19">
        <f>E26/E28</f>
        <v>9.7103874537562432E-2</v>
      </c>
    </row>
    <row r="27" spans="2:8" x14ac:dyDescent="0.3">
      <c r="B27" s="2" t="s">
        <v>65</v>
      </c>
      <c r="C27" s="20">
        <f>'Data-BS'!D26</f>
        <v>89432</v>
      </c>
      <c r="D27" s="20">
        <f>'Data-BS'!E26</f>
        <v>97099</v>
      </c>
      <c r="E27" s="20">
        <f>'Data-BS'!F26</f>
        <v>103489</v>
      </c>
      <c r="F27" s="22">
        <f>C27/C28</f>
        <v>0.64893261932749935</v>
      </c>
      <c r="G27" s="22">
        <f>D27/D28</f>
        <v>0.65209565959047167</v>
      </c>
      <c r="H27" s="22">
        <f>E27/E28</f>
        <v>0.6635313880500362</v>
      </c>
    </row>
    <row r="28" spans="2:8" x14ac:dyDescent="0.3">
      <c r="B28" s="2" t="s">
        <v>66</v>
      </c>
      <c r="C28" s="23">
        <f>'Data-BS'!D27</f>
        <v>137814</v>
      </c>
      <c r="D28" s="23">
        <f>'Data-BS'!E27</f>
        <v>148903</v>
      </c>
      <c r="E28" s="23">
        <f>'Data-BS'!F27</f>
        <v>155967</v>
      </c>
      <c r="F28" s="24">
        <f>C28/C28</f>
        <v>1</v>
      </c>
      <c r="G28" s="24">
        <f>D28/D28</f>
        <v>1</v>
      </c>
      <c r="H28" s="24">
        <f>E28/E28</f>
        <v>1</v>
      </c>
    </row>
    <row r="29" spans="2:8" x14ac:dyDescent="0.3">
      <c r="B29" s="161" t="s">
        <v>67</v>
      </c>
      <c r="C29" s="161"/>
      <c r="D29" s="161"/>
      <c r="E29" s="161"/>
      <c r="F29" s="161"/>
      <c r="G29" s="161"/>
      <c r="H29" s="161"/>
    </row>
    <row r="30" spans="2:8" x14ac:dyDescent="0.3">
      <c r="B30" s="6" t="s">
        <v>68</v>
      </c>
    </row>
    <row r="31" spans="2:8" x14ac:dyDescent="0.3">
      <c r="B31" s="4" t="s">
        <v>69</v>
      </c>
      <c r="C31" s="17">
        <f>'Data-BS'!D30</f>
        <v>2071</v>
      </c>
      <c r="D31" s="17">
        <f>'Data-BS'!E30</f>
        <v>2073</v>
      </c>
      <c r="E31" s="17">
        <f>'Data-BS'!F30</f>
        <v>2024</v>
      </c>
      <c r="F31" s="19">
        <f>C31/C28</f>
        <v>1.5027500834458038E-2</v>
      </c>
      <c r="G31" s="19">
        <f>D31/D28</f>
        <v>1.3921814872769521E-2</v>
      </c>
      <c r="H31" s="19">
        <f>E31/E28</f>
        <v>1.2977104131002072E-2</v>
      </c>
    </row>
    <row r="32" spans="2:8" x14ac:dyDescent="0.3">
      <c r="B32" s="4" t="s">
        <v>70</v>
      </c>
      <c r="C32" s="17">
        <f>'Data-BS'!D31</f>
        <v>86045</v>
      </c>
      <c r="D32" s="17">
        <f>'Data-BS'!E31</f>
        <v>93745</v>
      </c>
      <c r="E32" s="17">
        <f>'Data-BS'!F31</f>
        <v>90828</v>
      </c>
      <c r="F32" s="19">
        <f>C32/C28</f>
        <v>0.62435601607964353</v>
      </c>
      <c r="G32" s="19">
        <f>D32/D28</f>
        <v>0.62957092872541187</v>
      </c>
      <c r="H32" s="19">
        <f>E32/E28</f>
        <v>0.58235395949143087</v>
      </c>
    </row>
    <row r="33" spans="2:8" x14ac:dyDescent="0.3">
      <c r="B33" s="2" t="s">
        <v>71</v>
      </c>
      <c r="C33" s="20">
        <f>'Data-BS'!D32</f>
        <v>88116</v>
      </c>
      <c r="D33" s="20">
        <f>'Data-BS'!E32</f>
        <v>95818</v>
      </c>
      <c r="E33" s="20">
        <f>'Data-BS'!F32</f>
        <v>92852</v>
      </c>
      <c r="F33" s="22">
        <f>C33/C28</f>
        <v>0.63938351691410167</v>
      </c>
      <c r="G33" s="22">
        <f>D33/D28</f>
        <v>0.64349274359818132</v>
      </c>
      <c r="H33" s="22">
        <f>E33/E28</f>
        <v>0.59533106362243293</v>
      </c>
    </row>
    <row r="34" spans="2:8" x14ac:dyDescent="0.3">
      <c r="B34" s="4" t="s">
        <v>72</v>
      </c>
      <c r="C34" s="17">
        <f>'Data-BS'!D33</f>
        <v>345</v>
      </c>
      <c r="D34" s="17">
        <f>'Data-BS'!E33</f>
        <v>385</v>
      </c>
      <c r="E34" s="17">
        <f>'Data-BS'!F33</f>
        <v>445</v>
      </c>
      <c r="F34" s="19">
        <f>C34/C28</f>
        <v>2.5033741129348252E-3</v>
      </c>
      <c r="G34" s="19">
        <f>D34/D28</f>
        <v>2.5855758446774076E-3</v>
      </c>
      <c r="H34" s="19">
        <f>E34/E28</f>
        <v>2.853167657260831E-3</v>
      </c>
    </row>
    <row r="35" spans="2:8" x14ac:dyDescent="0.3">
      <c r="B35" s="2" t="s">
        <v>73</v>
      </c>
      <c r="C35" s="20">
        <f>'Data-BS'!D34</f>
        <v>88461</v>
      </c>
      <c r="D35" s="20">
        <f>'Data-BS'!E34</f>
        <v>96203</v>
      </c>
      <c r="E35" s="20">
        <f>'Data-BS'!F34</f>
        <v>93297</v>
      </c>
      <c r="F35" s="22">
        <f>C35/C28</f>
        <v>0.64188689102703644</v>
      </c>
      <c r="G35" s="22">
        <f>D35/D28</f>
        <v>0.64607831944285876</v>
      </c>
      <c r="H35" s="22">
        <f>E35/E28</f>
        <v>0.59818423127969378</v>
      </c>
    </row>
    <row r="36" spans="2:8" x14ac:dyDescent="0.3">
      <c r="B36" s="6" t="s">
        <v>74</v>
      </c>
    </row>
    <row r="37" spans="2:8" x14ac:dyDescent="0.3">
      <c r="B37" s="4" t="s">
        <v>75</v>
      </c>
      <c r="C37" s="17">
        <f>'Data-BS'!D36</f>
        <v>6400</v>
      </c>
      <c r="D37" s="17">
        <f>'Data-BS'!E36</f>
        <v>5772</v>
      </c>
      <c r="E37" s="17">
        <f>'Data-BS'!F36</f>
        <v>6016</v>
      </c>
      <c r="F37" s="19">
        <f>C37/C28</f>
        <v>4.6439403834153278E-2</v>
      </c>
      <c r="G37" s="19">
        <f>D37/D28</f>
        <v>3.8763490325916874E-2</v>
      </c>
      <c r="H37" s="19">
        <f>E37/E28</f>
        <v>3.8572262081081256E-2</v>
      </c>
    </row>
    <row r="38" spans="2:8" x14ac:dyDescent="0.3">
      <c r="B38" s="4" t="s">
        <v>76</v>
      </c>
      <c r="C38" s="17">
        <f>'Data-BS'!D37</f>
        <v>2130</v>
      </c>
      <c r="D38" s="17">
        <f>'Data-BS'!E37</f>
        <v>2141</v>
      </c>
      <c r="E38" s="17">
        <f>'Data-BS'!F37</f>
        <v>2092</v>
      </c>
      <c r="F38" s="19">
        <f>C38/C28</f>
        <v>1.5455614088554137E-2</v>
      </c>
      <c r="G38" s="19">
        <f>D38/D28</f>
        <v>1.4378488008972285E-2</v>
      </c>
      <c r="H38" s="19">
        <f>E38/E28</f>
        <v>1.3413093795482377E-2</v>
      </c>
    </row>
    <row r="39" spans="2:8" x14ac:dyDescent="0.3">
      <c r="B39" s="4" t="s">
        <v>77</v>
      </c>
      <c r="C39" s="17">
        <f>'Data-BS'!D38</f>
        <v>1794</v>
      </c>
      <c r="D39" s="17">
        <f>'Data-BS'!E38</f>
        <v>1722</v>
      </c>
      <c r="E39" s="17">
        <f>'Data-BS'!F38</f>
        <v>1679</v>
      </c>
      <c r="F39" s="19">
        <f>C39/C28</f>
        <v>1.3017545387261091E-2</v>
      </c>
      <c r="G39" s="19">
        <f>D39/D28</f>
        <v>1.1564575596193494E-2</v>
      </c>
      <c r="H39" s="19">
        <f>E39/E28</f>
        <v>1.0765097745035809E-2</v>
      </c>
    </row>
    <row r="40" spans="2:8" x14ac:dyDescent="0.3">
      <c r="B40" s="4" t="s">
        <v>78</v>
      </c>
      <c r="C40" s="17">
        <f>'Data-BS'!D39</f>
        <v>235</v>
      </c>
      <c r="D40" s="17">
        <f>'Data-BS'!E39</f>
        <v>215</v>
      </c>
      <c r="E40" s="17">
        <f>'Data-BS'!F39</f>
        <v>561</v>
      </c>
      <c r="F40" s="19">
        <f>C40/C28</f>
        <v>1.7051968595353157E-3</v>
      </c>
      <c r="G40" s="19">
        <f>D40/D28</f>
        <v>1.4438930041705002E-3</v>
      </c>
      <c r="H40" s="19">
        <f>E40/E28</f>
        <v>3.5969147319625306E-3</v>
      </c>
    </row>
    <row r="41" spans="2:8" x14ac:dyDescent="0.3">
      <c r="B41" s="2" t="s">
        <v>79</v>
      </c>
      <c r="C41" s="20">
        <f>'Data-BS'!D40</f>
        <v>10559</v>
      </c>
      <c r="D41" s="20">
        <f>'Data-BS'!E40</f>
        <v>9850</v>
      </c>
      <c r="E41" s="20">
        <f>'Data-BS'!F40</f>
        <v>10348</v>
      </c>
      <c r="F41" s="22">
        <f>C41/C28</f>
        <v>7.6617760169503821E-2</v>
      </c>
      <c r="G41" s="22">
        <f>D41/D28</f>
        <v>6.6150446935253154E-2</v>
      </c>
      <c r="H41" s="22">
        <f>E41/E28</f>
        <v>6.6347368353561975E-2</v>
      </c>
    </row>
    <row r="42" spans="2:8" x14ac:dyDescent="0.3">
      <c r="B42" s="6" t="s">
        <v>80</v>
      </c>
    </row>
    <row r="43" spans="2:8" x14ac:dyDescent="0.3">
      <c r="B43" s="4" t="s">
        <v>81</v>
      </c>
      <c r="C43" s="17">
        <f>'Data-BS'!D42</f>
        <v>1959</v>
      </c>
      <c r="D43" s="17">
        <f>'Data-BS'!E42</f>
        <v>2455</v>
      </c>
      <c r="E43" s="17">
        <f>'Data-BS'!F42</f>
        <v>3160</v>
      </c>
      <c r="F43" s="19">
        <f>C43/C28</f>
        <v>1.4214811267360355E-2</v>
      </c>
      <c r="G43" s="19">
        <f>D43/D28</f>
        <v>1.648724337320269E-2</v>
      </c>
      <c r="H43" s="19">
        <f>E43/E28</f>
        <v>2.0260696172908373E-2</v>
      </c>
    </row>
    <row r="44" spans="2:8" x14ac:dyDescent="0.3">
      <c r="B44" s="4" t="s">
        <v>82</v>
      </c>
      <c r="C44" s="17">
        <f>'Data-BS'!D43</f>
        <v>3956</v>
      </c>
      <c r="D44" s="17">
        <f>'Data-BS'!E43</f>
        <v>4164</v>
      </c>
      <c r="E44" s="17">
        <f>'Data-BS'!F43</f>
        <v>4744</v>
      </c>
      <c r="F44" s="19">
        <f>C44/C28</f>
        <v>2.8705356494985994E-2</v>
      </c>
      <c r="G44" s="19">
        <f>D44/D28</f>
        <v>2.7964513811004479E-2</v>
      </c>
      <c r="H44" s="19">
        <f>E44/E28</f>
        <v>3.0416690710214342E-2</v>
      </c>
    </row>
    <row r="45" spans="2:8" x14ac:dyDescent="0.3">
      <c r="B45" s="4" t="s">
        <v>83</v>
      </c>
      <c r="C45" s="17">
        <f>'Data-BS'!D44</f>
        <v>16959</v>
      </c>
      <c r="D45" s="17">
        <f>'Data-BS'!E44</f>
        <v>18138</v>
      </c>
      <c r="E45" s="17">
        <f>'Data-BS'!F44</f>
        <v>21483</v>
      </c>
      <c r="F45" s="19">
        <f>C45/C28</f>
        <v>0.1230571640036571</v>
      </c>
      <c r="G45" s="19">
        <f>D45/D28</f>
        <v>0.12181084330067225</v>
      </c>
      <c r="H45" s="19">
        <f>E45/E28</f>
        <v>0.1377406759122122</v>
      </c>
    </row>
    <row r="46" spans="2:8" x14ac:dyDescent="0.3">
      <c r="B46" s="4" t="s">
        <v>84</v>
      </c>
      <c r="C46" s="17">
        <f>'Data-BS'!D45</f>
        <v>10539</v>
      </c>
      <c r="D46" s="17">
        <f>'Data-BS'!E45</f>
        <v>11765</v>
      </c>
      <c r="E46" s="17">
        <f>'Data-BS'!F45</f>
        <v>15779</v>
      </c>
      <c r="F46" s="19">
        <f>C46/C28</f>
        <v>7.6472637032522092E-2</v>
      </c>
      <c r="G46" s="19">
        <f>D46/D28</f>
        <v>7.9011168344492719E-2</v>
      </c>
      <c r="H46" s="19">
        <f>E46/E28</f>
        <v>0.10116883699757</v>
      </c>
    </row>
    <row r="47" spans="2:8" x14ac:dyDescent="0.3">
      <c r="B47" s="4" t="s">
        <v>85</v>
      </c>
      <c r="C47" s="17">
        <f>'Data-BS'!D46</f>
        <v>1796</v>
      </c>
      <c r="D47" s="17">
        <f>'Data-BS'!E46</f>
        <v>1475</v>
      </c>
      <c r="E47" s="17">
        <f>'Data-BS'!F46</f>
        <v>1512</v>
      </c>
      <c r="F47" s="19">
        <f>C47/C28</f>
        <v>1.3032057700959264E-2</v>
      </c>
      <c r="G47" s="19">
        <f>D47/D28</f>
        <v>9.9057775867511071E-3</v>
      </c>
      <c r="H47" s="19">
        <f>E47/E28</f>
        <v>9.6943584219738796E-3</v>
      </c>
    </row>
    <row r="48" spans="2:8" x14ac:dyDescent="0.3">
      <c r="B48" s="4" t="s">
        <v>86</v>
      </c>
      <c r="C48" s="17">
        <f>'Data-BS'!D47</f>
        <v>3585</v>
      </c>
      <c r="D48" s="17">
        <f>'Data-BS'!E47</f>
        <v>4853</v>
      </c>
      <c r="E48" s="17">
        <f>'Data-BS'!F47</f>
        <v>5644</v>
      </c>
      <c r="F48" s="19">
        <f>C48/C28</f>
        <v>2.6013322303974924E-2</v>
      </c>
      <c r="G48" s="19">
        <f>D48/D28</f>
        <v>3.259168720576483E-2</v>
      </c>
      <c r="H48" s="19">
        <f>E48/E28</f>
        <v>3.6187142151865456E-2</v>
      </c>
    </row>
    <row r="49" spans="2:8" x14ac:dyDescent="0.3">
      <c r="B49" s="2" t="s">
        <v>87</v>
      </c>
      <c r="C49" s="20">
        <f>'Data-BS'!D48</f>
        <v>38794</v>
      </c>
      <c r="D49" s="20">
        <f>'Data-BS'!E48</f>
        <v>42850</v>
      </c>
      <c r="E49" s="20">
        <f>'Data-BS'!F48</f>
        <v>52322</v>
      </c>
      <c r="F49" s="22">
        <f>C49/C28</f>
        <v>0.28149534880345972</v>
      </c>
      <c r="G49" s="22">
        <f>D49/D28</f>
        <v>0.28777123362188806</v>
      </c>
      <c r="H49" s="22">
        <f>E49/E28</f>
        <v>0.33546840036674425</v>
      </c>
    </row>
    <row r="50" spans="2:8" x14ac:dyDescent="0.3">
      <c r="B50" s="2" t="s">
        <v>88</v>
      </c>
      <c r="C50" s="23">
        <f>'Data-BS'!D49</f>
        <v>137814</v>
      </c>
      <c r="D50" s="23">
        <f>'Data-BS'!E49</f>
        <v>148903</v>
      </c>
      <c r="E50" s="23">
        <f>'Data-BS'!F49</f>
        <v>155967</v>
      </c>
      <c r="F50" s="24">
        <f>C50/C28</f>
        <v>1</v>
      </c>
      <c r="G50" s="24">
        <f>D50/D28</f>
        <v>1</v>
      </c>
      <c r="H50" s="24">
        <f>E50/E28</f>
        <v>1</v>
      </c>
    </row>
    <row r="52" spans="2:8" ht="15.75" customHeight="1" x14ac:dyDescent="0.3">
      <c r="B52" s="181" t="s">
        <v>138</v>
      </c>
      <c r="C52" s="181"/>
      <c r="D52" s="181"/>
      <c r="E52" s="181"/>
      <c r="F52" s="181"/>
      <c r="G52" s="181"/>
      <c r="H52" s="181"/>
    </row>
    <row r="53" spans="2:8" ht="27.75" customHeight="1" x14ac:dyDescent="0.3">
      <c r="B53" s="179" t="s">
        <v>156</v>
      </c>
      <c r="C53" s="179"/>
      <c r="D53" s="179"/>
      <c r="E53" s="179"/>
      <c r="F53" s="179"/>
      <c r="G53" s="179"/>
      <c r="H53" s="179"/>
    </row>
    <row r="54" spans="2:8" ht="27.75" customHeight="1" x14ac:dyDescent="0.3">
      <c r="B54" s="179" t="s">
        <v>157</v>
      </c>
      <c r="C54" s="179"/>
      <c r="D54" s="179"/>
      <c r="E54" s="179"/>
      <c r="F54" s="179"/>
      <c r="G54" s="179"/>
      <c r="H54" s="179"/>
    </row>
    <row r="55" spans="2:8" ht="27.75" customHeight="1" x14ac:dyDescent="0.3">
      <c r="B55" s="179" t="s">
        <v>158</v>
      </c>
      <c r="C55" s="179"/>
      <c r="D55" s="179"/>
      <c r="E55" s="179"/>
      <c r="F55" s="179"/>
      <c r="G55" s="179"/>
      <c r="H55" s="179"/>
    </row>
    <row r="56" spans="2:8" ht="27.75" customHeight="1" x14ac:dyDescent="0.3">
      <c r="B56" s="179" t="s">
        <v>159</v>
      </c>
      <c r="C56" s="179"/>
      <c r="D56" s="179"/>
      <c r="E56" s="179"/>
      <c r="F56" s="179"/>
      <c r="G56" s="179"/>
      <c r="H56" s="179"/>
    </row>
  </sheetData>
  <mergeCells count="9">
    <mergeCell ref="B53:H53"/>
    <mergeCell ref="B54:H54"/>
    <mergeCell ref="B55:H55"/>
    <mergeCell ref="B56:H56"/>
    <mergeCell ref="A1:G1"/>
    <mergeCell ref="B3:H3"/>
    <mergeCell ref="B5:H5"/>
    <mergeCell ref="B29:H29"/>
    <mergeCell ref="B52:H5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showGridLines="0" zoomScaleNormal="100" workbookViewId="0">
      <pane xSplit="2" ySplit="4" topLeftCell="C5" activePane="bottomRight" state="frozen"/>
      <selection pane="topRight" activeCell="C1" sqref="C1"/>
      <selection pane="bottomLeft" activeCell="A5" sqref="A5"/>
      <selection pane="bottomRight" sqref="A1:G1"/>
    </sheetView>
  </sheetViews>
  <sheetFormatPr defaultColWidth="8.6640625" defaultRowHeight="14.4" x14ac:dyDescent="0.3"/>
  <cols>
    <col min="1" max="1" width="2" customWidth="1"/>
    <col min="2" max="2" width="46" customWidth="1"/>
    <col min="3" max="5" width="13" customWidth="1"/>
    <col min="6" max="8" width="12" customWidth="1"/>
  </cols>
  <sheetData>
    <row r="1" spans="1:8" ht="30" customHeight="1" x14ac:dyDescent="0.3">
      <c r="A1" s="176" t="s">
        <v>160</v>
      </c>
      <c r="B1" s="176"/>
      <c r="C1" s="176"/>
      <c r="D1" s="176"/>
      <c r="E1" s="176"/>
      <c r="F1" s="176"/>
      <c r="G1" s="176"/>
    </row>
    <row r="3" spans="1:8" x14ac:dyDescent="0.3">
      <c r="B3" s="180" t="s">
        <v>161</v>
      </c>
      <c r="C3" s="180"/>
      <c r="D3" s="180"/>
      <c r="E3" s="180"/>
      <c r="F3" s="180"/>
      <c r="G3" s="180"/>
      <c r="H3" s="180"/>
    </row>
    <row r="4" spans="1:8" ht="25.5" customHeight="1" x14ac:dyDescent="0.3">
      <c r="B4" s="5" t="s">
        <v>39</v>
      </c>
      <c r="C4" s="5" t="s">
        <v>150</v>
      </c>
      <c r="D4" s="5" t="s">
        <v>151</v>
      </c>
      <c r="E4" s="5" t="s">
        <v>152</v>
      </c>
      <c r="F4" s="5" t="s">
        <v>153</v>
      </c>
      <c r="G4" s="5" t="s">
        <v>154</v>
      </c>
      <c r="H4" s="5" t="s">
        <v>155</v>
      </c>
    </row>
    <row r="5" spans="1:8" x14ac:dyDescent="0.3">
      <c r="B5" s="2" t="s">
        <v>91</v>
      </c>
      <c r="C5" s="20">
        <f>'Data-PL'!D4</f>
        <v>153670</v>
      </c>
      <c r="D5" s="20">
        <f>'Data-PL'!E4</f>
        <v>162990</v>
      </c>
      <c r="E5" s="20">
        <f>'Data-PL'!F4</f>
        <v>178650</v>
      </c>
      <c r="F5" s="22">
        <f>C5/C5</f>
        <v>1</v>
      </c>
      <c r="G5" s="22">
        <f>D5/D5</f>
        <v>1</v>
      </c>
      <c r="H5" s="22">
        <f>E5/E5</f>
        <v>1</v>
      </c>
    </row>
    <row r="6" spans="1:8" x14ac:dyDescent="0.3">
      <c r="B6" s="4" t="s">
        <v>92</v>
      </c>
      <c r="C6" s="17">
        <f>'Data-PL'!D5</f>
        <v>4711</v>
      </c>
      <c r="D6" s="17">
        <f>'Data-PL'!E5</f>
        <v>3600</v>
      </c>
      <c r="E6" s="17">
        <f>'Data-PL'!F5</f>
        <v>4322</v>
      </c>
      <c r="F6" s="19">
        <f>C6/C5</f>
        <v>3.0656601809071388E-2</v>
      </c>
      <c r="G6" s="19">
        <f>D6/D5</f>
        <v>2.2087244616234125E-2</v>
      </c>
      <c r="H6" s="19">
        <f>E6/E5</f>
        <v>2.4192555275678703E-2</v>
      </c>
    </row>
    <row r="7" spans="1:8" x14ac:dyDescent="0.3">
      <c r="B7" s="2" t="s">
        <v>93</v>
      </c>
      <c r="C7" s="20">
        <f>'Data-PL'!D6</f>
        <v>158381</v>
      </c>
      <c r="D7" s="20">
        <f>'Data-PL'!E6</f>
        <v>166590</v>
      </c>
      <c r="E7" s="20">
        <f>'Data-PL'!F6</f>
        <v>182972</v>
      </c>
      <c r="F7" s="22">
        <f>C7/C5</f>
        <v>1.0306566018090715</v>
      </c>
      <c r="G7" s="22">
        <f>D7/D5</f>
        <v>1.0220872446162341</v>
      </c>
      <c r="H7" s="22">
        <f>E7/E5</f>
        <v>1.0241925552756788</v>
      </c>
    </row>
    <row r="8" spans="1:8" x14ac:dyDescent="0.3">
      <c r="B8" s="6" t="s">
        <v>94</v>
      </c>
    </row>
    <row r="9" spans="1:8" x14ac:dyDescent="0.3">
      <c r="B9" s="4" t="s">
        <v>95</v>
      </c>
      <c r="C9" s="17">
        <f>'Data-PL'!D8</f>
        <v>82620</v>
      </c>
      <c r="D9" s="17">
        <f>'Data-PL'!E8</f>
        <v>85950</v>
      </c>
      <c r="E9" s="17">
        <f>'Data-PL'!F8</f>
        <v>95094</v>
      </c>
      <c r="F9" s="19">
        <f>C9/C5</f>
        <v>0.53764560421682828</v>
      </c>
      <c r="G9" s="19">
        <f>D9/D5</f>
        <v>0.52733296521258977</v>
      </c>
      <c r="H9" s="19">
        <f>E9/E5</f>
        <v>0.53229219143576822</v>
      </c>
    </row>
    <row r="10" spans="1:8" x14ac:dyDescent="0.3">
      <c r="B10" s="4" t="s">
        <v>96</v>
      </c>
      <c r="C10" s="17">
        <f>'Data-PL'!D9</f>
        <v>12232</v>
      </c>
      <c r="D10" s="17">
        <f>'Data-PL'!E9</f>
        <v>12937</v>
      </c>
      <c r="E10" s="17">
        <f>'Data-PL'!F9</f>
        <v>15421</v>
      </c>
      <c r="F10" s="19">
        <f>C10/C5</f>
        <v>7.9599141016463856E-2</v>
      </c>
      <c r="G10" s="19">
        <f>D10/D5</f>
        <v>7.9372967666728023E-2</v>
      </c>
      <c r="H10" s="19">
        <f>E10/E5</f>
        <v>8.6319619367478312E-2</v>
      </c>
    </row>
    <row r="11" spans="1:8" x14ac:dyDescent="0.3">
      <c r="B11" s="4" t="s">
        <v>97</v>
      </c>
      <c r="C11" s="17">
        <f>'Data-PL'!D10</f>
        <v>1759</v>
      </c>
      <c r="D11" s="17">
        <f>'Data-PL'!E10</f>
        <v>1894</v>
      </c>
      <c r="E11" s="17">
        <f>'Data-PL'!F10</f>
        <v>2097</v>
      </c>
      <c r="F11" s="19">
        <f>C11/C5</f>
        <v>1.1446606364287109E-2</v>
      </c>
      <c r="G11" s="19">
        <f>D11/D5</f>
        <v>1.1620344806429843E-2</v>
      </c>
      <c r="H11" s="19">
        <f>E11/E5</f>
        <v>1.1738035264483627E-2</v>
      </c>
    </row>
    <row r="12" spans="1:8" x14ac:dyDescent="0.3">
      <c r="B12" s="4" t="s">
        <v>98</v>
      </c>
      <c r="C12" s="17">
        <f>'Data-PL'!D11</f>
        <v>13515</v>
      </c>
      <c r="D12" s="17">
        <f>'Data-PL'!E11</f>
        <v>15911</v>
      </c>
      <c r="E12" s="17">
        <f>'Data-PL'!F11</f>
        <v>15722</v>
      </c>
      <c r="F12" s="19">
        <f>C12/C5</f>
        <v>8.7948200689789813E-2</v>
      </c>
      <c r="G12" s="19">
        <f>D12/D5</f>
        <v>9.7619485858028099E-2</v>
      </c>
      <c r="H12" s="19">
        <f>E12/E5</f>
        <v>8.8004478029666947E-2</v>
      </c>
    </row>
    <row r="13" spans="1:8" x14ac:dyDescent="0.3">
      <c r="B13" s="4" t="s">
        <v>99</v>
      </c>
      <c r="C13" s="17">
        <f>'Data-PL'!D12</f>
        <v>677</v>
      </c>
      <c r="D13" s="17">
        <f>'Data-PL'!E12</f>
        <v>620</v>
      </c>
      <c r="E13" s="17">
        <f>'Data-PL'!F12</f>
        <v>603</v>
      </c>
      <c r="F13" s="19">
        <f>C13/C5</f>
        <v>4.405544348278779E-3</v>
      </c>
      <c r="G13" s="19">
        <f>D13/D5</f>
        <v>3.803914350573655E-3</v>
      </c>
      <c r="H13" s="19">
        <f>E13/E5</f>
        <v>3.3753148614609572E-3</v>
      </c>
    </row>
    <row r="14" spans="1:8" x14ac:dyDescent="0.3">
      <c r="B14" s="4" t="s">
        <v>100</v>
      </c>
      <c r="C14" s="17">
        <f>'Data-PL'!D13</f>
        <v>1726</v>
      </c>
      <c r="D14" s="17">
        <f>'Data-PL'!E13</f>
        <v>1655</v>
      </c>
      <c r="E14" s="17">
        <f>'Data-PL'!F13</f>
        <v>2090</v>
      </c>
      <c r="F14" s="19">
        <f>C14/C5</f>
        <v>1.1231860480249886E-2</v>
      </c>
      <c r="G14" s="19">
        <f>D14/D5</f>
        <v>1.0153997177740966E-2</v>
      </c>
      <c r="H14" s="19">
        <f>E14/E5</f>
        <v>1.1698852504897845E-2</v>
      </c>
    </row>
    <row r="15" spans="1:8" x14ac:dyDescent="0.3">
      <c r="B15" s="4" t="s">
        <v>101</v>
      </c>
      <c r="C15" s="17">
        <f>'Data-PL'!D14</f>
        <v>4678</v>
      </c>
      <c r="D15" s="17">
        <f>'Data-PL'!E14</f>
        <v>4812</v>
      </c>
      <c r="E15" s="17">
        <f>'Data-PL'!F14</f>
        <v>4902</v>
      </c>
      <c r="F15" s="19">
        <f>C15/C5</f>
        <v>3.0441855925034164E-2</v>
      </c>
      <c r="G15" s="19">
        <f>D15/D5</f>
        <v>2.9523283637032948E-2</v>
      </c>
      <c r="H15" s="19">
        <f>E15/E5</f>
        <v>2.7439126784214944E-2</v>
      </c>
    </row>
    <row r="16" spans="1:8" x14ac:dyDescent="0.3">
      <c r="B16" s="4" t="s">
        <v>102</v>
      </c>
      <c r="C16" s="17">
        <f>'Data-PL'!D15</f>
        <v>470</v>
      </c>
      <c r="D16" s="17">
        <f>'Data-PL'!E15</f>
        <v>416</v>
      </c>
      <c r="E16" s="17">
        <f>'Data-PL'!F15</f>
        <v>416</v>
      </c>
      <c r="F16" s="19">
        <f>C16/C5</f>
        <v>3.0585019847725646E-3</v>
      </c>
      <c r="G16" s="19">
        <f>D16/D5</f>
        <v>2.5523038223203877E-3</v>
      </c>
      <c r="H16" s="19">
        <f>E16/E5</f>
        <v>2.3285754268122026E-3</v>
      </c>
    </row>
    <row r="17" spans="2:8" x14ac:dyDescent="0.3">
      <c r="B17" s="4" t="s">
        <v>103</v>
      </c>
      <c r="C17" s="17">
        <f>'Data-PL'!D16</f>
        <v>4716</v>
      </c>
      <c r="D17" s="17">
        <f>'Data-PL'!E16</f>
        <v>4787</v>
      </c>
      <c r="E17" s="17">
        <f>'Data-PL'!F16</f>
        <v>5343</v>
      </c>
      <c r="F17" s="19">
        <f>C17/C5</f>
        <v>3.0689139064228543E-2</v>
      </c>
      <c r="G17" s="19">
        <f>D17/D5</f>
        <v>2.9369899993864655E-2</v>
      </c>
      <c r="H17" s="19">
        <f>E17/E5</f>
        <v>2.9907640638119227E-2</v>
      </c>
    </row>
    <row r="18" spans="2:8" x14ac:dyDescent="0.3">
      <c r="B18" s="2" t="s">
        <v>104</v>
      </c>
      <c r="C18" s="20">
        <f>'Data-PL'!D17</f>
        <v>122393</v>
      </c>
      <c r="D18" s="20">
        <f>'Data-PL'!E17</f>
        <v>128982</v>
      </c>
      <c r="E18" s="20">
        <f>'Data-PL'!F17</f>
        <v>141688</v>
      </c>
      <c r="F18" s="22">
        <f>C18/C5</f>
        <v>0.796466454089933</v>
      </c>
      <c r="G18" s="22">
        <f>D18/D5</f>
        <v>0.79134916252530829</v>
      </c>
      <c r="H18" s="22">
        <f>E18/E5</f>
        <v>0.79310383431290232</v>
      </c>
    </row>
    <row r="19" spans="2:8" x14ac:dyDescent="0.3">
      <c r="B19" s="2" t="s">
        <v>105</v>
      </c>
      <c r="C19" s="20">
        <f>'Data-PL'!D18</f>
        <v>35988</v>
      </c>
      <c r="D19" s="20">
        <f>'Data-PL'!E18</f>
        <v>37608</v>
      </c>
      <c r="E19" s="20">
        <f>'Data-PL'!F18</f>
        <v>41284</v>
      </c>
      <c r="F19" s="22">
        <f>C19/C5</f>
        <v>0.2341901477191384</v>
      </c>
      <c r="G19" s="22">
        <f>D19/D5</f>
        <v>0.23073808209092583</v>
      </c>
      <c r="H19" s="22">
        <f>E19/E5</f>
        <v>0.23108872096277638</v>
      </c>
    </row>
    <row r="20" spans="2:8" x14ac:dyDescent="0.3">
      <c r="B20" s="4" t="s">
        <v>106</v>
      </c>
      <c r="C20" s="17">
        <f>'Data-PL'!D19</f>
        <v>0</v>
      </c>
      <c r="D20" s="17">
        <f>'Data-PL'!E19</f>
        <v>0</v>
      </c>
      <c r="E20" s="17">
        <f>'Data-PL'!F19</f>
        <v>1289</v>
      </c>
      <c r="F20" s="19">
        <f>C20/C5</f>
        <v>0</v>
      </c>
      <c r="G20" s="19">
        <f>D20/D5</f>
        <v>0</v>
      </c>
      <c r="H20" s="19">
        <f>E20/E5</f>
        <v>7.2152253008676186E-3</v>
      </c>
    </row>
    <row r="21" spans="2:8" x14ac:dyDescent="0.3">
      <c r="B21" s="2" t="s">
        <v>107</v>
      </c>
      <c r="C21" s="20">
        <f>'Data-PL'!D20</f>
        <v>35988</v>
      </c>
      <c r="D21" s="20">
        <f>'Data-PL'!E20</f>
        <v>37608</v>
      </c>
      <c r="E21" s="20">
        <f>'Data-PL'!F20</f>
        <v>39995</v>
      </c>
      <c r="F21" s="22">
        <f>C21/C5</f>
        <v>0.2341901477191384</v>
      </c>
      <c r="G21" s="22">
        <f>D21/D5</f>
        <v>0.23073808209092583</v>
      </c>
      <c r="H21" s="22">
        <f>E21/E5</f>
        <v>0.22387349566190876</v>
      </c>
    </row>
    <row r="22" spans="2:8" x14ac:dyDescent="0.3">
      <c r="B22" s="2" t="s">
        <v>110</v>
      </c>
      <c r="C22" s="20">
        <f>'Data-PL'!D23</f>
        <v>9740</v>
      </c>
      <c r="D22" s="20">
        <f>'Data-PL'!E23</f>
        <v>10858</v>
      </c>
      <c r="E22" s="20">
        <f>'Data-PL'!F23</f>
        <v>10521</v>
      </c>
      <c r="F22" s="22">
        <f>C22/C5</f>
        <v>6.3382573046137827E-2</v>
      </c>
      <c r="G22" s="22">
        <f>D22/D5</f>
        <v>6.6617583900852817E-2</v>
      </c>
      <c r="H22" s="22">
        <f>E22/E5</f>
        <v>5.8891687657430733E-2</v>
      </c>
    </row>
    <row r="23" spans="2:8" x14ac:dyDescent="0.3">
      <c r="B23" s="2" t="s">
        <v>111</v>
      </c>
      <c r="C23" s="23">
        <f>'Data-PL'!D24</f>
        <v>26248</v>
      </c>
      <c r="D23" s="23">
        <f>'Data-PL'!E24</f>
        <v>26750</v>
      </c>
      <c r="E23" s="23">
        <f>'Data-PL'!F24</f>
        <v>29474</v>
      </c>
      <c r="F23" s="24">
        <f>C23/C5</f>
        <v>0.17080757467300059</v>
      </c>
      <c r="G23" s="24">
        <f>D23/D5</f>
        <v>0.16412049819007302</v>
      </c>
      <c r="H23" s="24">
        <f>E23/E5</f>
        <v>0.16498180800447804</v>
      </c>
    </row>
    <row r="25" spans="2:8" ht="15.75" customHeight="1" x14ac:dyDescent="0.3">
      <c r="B25" s="181" t="s">
        <v>138</v>
      </c>
      <c r="C25" s="181"/>
      <c r="D25" s="181"/>
      <c r="E25" s="181"/>
      <c r="F25" s="181"/>
      <c r="G25" s="181"/>
      <c r="H25" s="181"/>
    </row>
    <row r="26" spans="2:8" ht="27.75" customHeight="1" x14ac:dyDescent="0.3">
      <c r="B26" s="179" t="s">
        <v>162</v>
      </c>
      <c r="C26" s="179"/>
      <c r="D26" s="179"/>
      <c r="E26" s="179"/>
      <c r="F26" s="179"/>
      <c r="G26" s="179"/>
      <c r="H26" s="179"/>
    </row>
    <row r="27" spans="2:8" ht="27.75" customHeight="1" x14ac:dyDescent="0.3">
      <c r="B27" s="179" t="s">
        <v>163</v>
      </c>
      <c r="C27" s="179"/>
      <c r="D27" s="179"/>
      <c r="E27" s="179"/>
      <c r="F27" s="179"/>
      <c r="G27" s="179"/>
      <c r="H27" s="179"/>
    </row>
    <row r="28" spans="2:8" ht="27.75" customHeight="1" x14ac:dyDescent="0.3">
      <c r="B28" s="179" t="s">
        <v>164</v>
      </c>
      <c r="C28" s="179"/>
      <c r="D28" s="179"/>
      <c r="E28" s="179"/>
      <c r="F28" s="179"/>
      <c r="G28" s="179"/>
      <c r="H28" s="179"/>
    </row>
    <row r="29" spans="2:8" ht="27.75" customHeight="1" x14ac:dyDescent="0.3">
      <c r="B29" s="179" t="s">
        <v>165</v>
      </c>
      <c r="C29" s="179"/>
      <c r="D29" s="179"/>
      <c r="E29" s="179"/>
      <c r="F29" s="179"/>
      <c r="G29" s="179"/>
      <c r="H29" s="179"/>
    </row>
  </sheetData>
  <mergeCells count="7">
    <mergeCell ref="B28:H28"/>
    <mergeCell ref="B29:H29"/>
    <mergeCell ref="A1:G1"/>
    <mergeCell ref="B3:H3"/>
    <mergeCell ref="B25:H25"/>
    <mergeCell ref="B26:H26"/>
    <mergeCell ref="B27:H27"/>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0"/>
  <sheetViews>
    <sheetView showGridLines="0" zoomScaleNormal="100" workbookViewId="0">
      <pane xSplit="2" ySplit="4" topLeftCell="C10" activePane="bottomRight" state="frozen"/>
      <selection pane="topRight" activeCell="C1" sqref="C1"/>
      <selection pane="bottomLeft" activeCell="A5" sqref="A5"/>
      <selection pane="bottomRight" sqref="A1:G1"/>
    </sheetView>
  </sheetViews>
  <sheetFormatPr defaultColWidth="8.6640625" defaultRowHeight="14.4" x14ac:dyDescent="0.3"/>
  <cols>
    <col min="1" max="1" width="2" customWidth="1"/>
    <col min="2" max="2" width="44" customWidth="1"/>
    <col min="3" max="8" width="13" customWidth="1"/>
  </cols>
  <sheetData>
    <row r="1" spans="1:8" ht="30" customHeight="1" x14ac:dyDescent="0.3">
      <c r="A1" s="176" t="s">
        <v>166</v>
      </c>
      <c r="B1" s="176"/>
      <c r="C1" s="176"/>
      <c r="D1" s="176"/>
      <c r="E1" s="176"/>
      <c r="F1" s="176"/>
      <c r="G1" s="176"/>
    </row>
    <row r="3" spans="1:8" x14ac:dyDescent="0.3">
      <c r="B3" s="180" t="s">
        <v>167</v>
      </c>
      <c r="C3" s="180"/>
      <c r="D3" s="180"/>
      <c r="E3" s="180"/>
      <c r="F3" s="180"/>
      <c r="G3" s="180"/>
      <c r="H3" s="180"/>
    </row>
    <row r="4" spans="1:8" ht="25.5" customHeight="1" x14ac:dyDescent="0.3">
      <c r="B4" s="5" t="s">
        <v>168</v>
      </c>
      <c r="C4" s="5" t="s">
        <v>150</v>
      </c>
      <c r="D4" s="5" t="s">
        <v>151</v>
      </c>
      <c r="E4" s="5" t="s">
        <v>152</v>
      </c>
      <c r="F4" s="5" t="s">
        <v>169</v>
      </c>
      <c r="G4" s="5" t="s">
        <v>170</v>
      </c>
      <c r="H4" s="5" t="s">
        <v>171</v>
      </c>
    </row>
    <row r="5" spans="1:8" x14ac:dyDescent="0.3">
      <c r="B5" s="4" t="s">
        <v>91</v>
      </c>
      <c r="C5" s="17">
        <f>'Data-PL'!D4</f>
        <v>153670</v>
      </c>
      <c r="D5" s="17">
        <f>'Data-PL'!E4</f>
        <v>162990</v>
      </c>
      <c r="E5" s="17">
        <f>'Data-PL'!F4</f>
        <v>178650</v>
      </c>
      <c r="F5" s="25">
        <f t="shared" ref="F5:F14" si="0">C5/C5*100</f>
        <v>100</v>
      </c>
      <c r="G5" s="26">
        <f t="shared" ref="G5:G14" si="1">D5/C5*100</f>
        <v>106.06494436129368</v>
      </c>
      <c r="H5" s="26">
        <f t="shared" ref="H5:H14" si="2">E5/C5*100</f>
        <v>116.2556126765146</v>
      </c>
    </row>
    <row r="6" spans="1:8" x14ac:dyDescent="0.3">
      <c r="B6" s="4" t="s">
        <v>93</v>
      </c>
      <c r="C6" s="17">
        <f>'Data-PL'!D6</f>
        <v>158381</v>
      </c>
      <c r="D6" s="17">
        <f>'Data-PL'!E6</f>
        <v>166590</v>
      </c>
      <c r="E6" s="17">
        <f>'Data-PL'!F6</f>
        <v>182972</v>
      </c>
      <c r="F6" s="25">
        <f t="shared" si="0"/>
        <v>100</v>
      </c>
      <c r="G6" s="26">
        <f t="shared" si="1"/>
        <v>105.18307120172243</v>
      </c>
      <c r="H6" s="26">
        <f t="shared" si="2"/>
        <v>115.52648360598809</v>
      </c>
    </row>
    <row r="7" spans="1:8" x14ac:dyDescent="0.3">
      <c r="B7" s="4" t="s">
        <v>107</v>
      </c>
      <c r="C7" s="17">
        <f>'Data-PL'!D20</f>
        <v>35988</v>
      </c>
      <c r="D7" s="17">
        <f>'Data-PL'!E20</f>
        <v>37608</v>
      </c>
      <c r="E7" s="17">
        <f>'Data-PL'!F20</f>
        <v>39995</v>
      </c>
      <c r="F7" s="25">
        <f t="shared" si="0"/>
        <v>100</v>
      </c>
      <c r="G7" s="26">
        <f t="shared" si="1"/>
        <v>104.50150050016673</v>
      </c>
      <c r="H7" s="26">
        <f t="shared" si="2"/>
        <v>111.13426697788151</v>
      </c>
    </row>
    <row r="8" spans="1:8" x14ac:dyDescent="0.3">
      <c r="B8" s="4" t="s">
        <v>111</v>
      </c>
      <c r="C8" s="17">
        <f>'Data-PL'!D24</f>
        <v>26248</v>
      </c>
      <c r="D8" s="17">
        <f>'Data-PL'!E24</f>
        <v>26750</v>
      </c>
      <c r="E8" s="17">
        <f>'Data-PL'!F24</f>
        <v>29474</v>
      </c>
      <c r="F8" s="25">
        <f t="shared" si="0"/>
        <v>100</v>
      </c>
      <c r="G8" s="26">
        <f t="shared" si="1"/>
        <v>101.91252666869856</v>
      </c>
      <c r="H8" s="26">
        <f t="shared" si="2"/>
        <v>112.29046022554098</v>
      </c>
    </row>
    <row r="9" spans="1:8" x14ac:dyDescent="0.3">
      <c r="B9" s="4" t="s">
        <v>172</v>
      </c>
      <c r="C9" s="17">
        <f>'Data-BS'!D27</f>
        <v>137814</v>
      </c>
      <c r="D9" s="17">
        <f>'Data-BS'!E27</f>
        <v>148903</v>
      </c>
      <c r="E9" s="17">
        <f>'Data-BS'!F27</f>
        <v>155967</v>
      </c>
      <c r="F9" s="25">
        <f t="shared" si="0"/>
        <v>100</v>
      </c>
      <c r="G9" s="26">
        <f t="shared" si="1"/>
        <v>108.04635232995197</v>
      </c>
      <c r="H9" s="26">
        <f t="shared" si="2"/>
        <v>113.17210152814663</v>
      </c>
    </row>
    <row r="10" spans="1:8" x14ac:dyDescent="0.3">
      <c r="B10" s="4" t="s">
        <v>73</v>
      </c>
      <c r="C10" s="17">
        <f>'Data-BS'!D34</f>
        <v>88461</v>
      </c>
      <c r="D10" s="17">
        <f>'Data-BS'!E34</f>
        <v>96203</v>
      </c>
      <c r="E10" s="17">
        <f>'Data-BS'!F34</f>
        <v>93297</v>
      </c>
      <c r="F10" s="25">
        <f t="shared" si="0"/>
        <v>100</v>
      </c>
      <c r="G10" s="26">
        <f t="shared" si="1"/>
        <v>108.75187935926567</v>
      </c>
      <c r="H10" s="26">
        <f t="shared" si="2"/>
        <v>105.46681588496625</v>
      </c>
    </row>
    <row r="11" spans="1:8" x14ac:dyDescent="0.3">
      <c r="B11" s="4" t="s">
        <v>59</v>
      </c>
      <c r="C11" s="17">
        <f>'Data-BS'!D20</f>
        <v>30193</v>
      </c>
      <c r="D11" s="17">
        <f>'Data-BS'!E20</f>
        <v>31158</v>
      </c>
      <c r="E11" s="17">
        <f>'Data-BS'!F20</f>
        <v>35234</v>
      </c>
      <c r="F11" s="25">
        <f t="shared" si="0"/>
        <v>100</v>
      </c>
      <c r="G11" s="26">
        <f t="shared" si="1"/>
        <v>103.19610505746365</v>
      </c>
      <c r="H11" s="26">
        <f t="shared" si="2"/>
        <v>116.6959228960355</v>
      </c>
    </row>
    <row r="12" spans="1:8" x14ac:dyDescent="0.3">
      <c r="B12" s="4" t="s">
        <v>60</v>
      </c>
      <c r="C12" s="17">
        <f>'Data-BS'!D21</f>
        <v>14786</v>
      </c>
      <c r="D12" s="17">
        <f>'Data-BS'!E21</f>
        <v>24455</v>
      </c>
      <c r="E12" s="17">
        <f>'Data-BS'!F21</f>
        <v>22201</v>
      </c>
      <c r="F12" s="25">
        <f t="shared" si="0"/>
        <v>100</v>
      </c>
      <c r="G12" s="26">
        <f t="shared" si="1"/>
        <v>165.39293926687407</v>
      </c>
      <c r="H12" s="26">
        <f t="shared" si="2"/>
        <v>150.148789395374</v>
      </c>
    </row>
    <row r="13" spans="1:8" x14ac:dyDescent="0.3">
      <c r="B13" s="4" t="s">
        <v>173</v>
      </c>
      <c r="C13" s="17">
        <f>'Data-CF'!C4</f>
        <v>25210</v>
      </c>
      <c r="D13" s="17">
        <f>'Data-CF'!D4</f>
        <v>35694</v>
      </c>
      <c r="E13" s="17">
        <f>'Data-CF'!E4</f>
        <v>33986</v>
      </c>
      <c r="F13" s="25">
        <f t="shared" si="0"/>
        <v>100</v>
      </c>
      <c r="G13" s="26">
        <f t="shared" si="1"/>
        <v>141.58667195557319</v>
      </c>
      <c r="H13" s="26">
        <f t="shared" si="2"/>
        <v>134.8115827052757</v>
      </c>
    </row>
    <row r="14" spans="1:8" x14ac:dyDescent="0.3">
      <c r="B14" s="4" t="s">
        <v>114</v>
      </c>
      <c r="C14" s="27">
        <f>'Data-PL'!D27</f>
        <v>63.39</v>
      </c>
      <c r="D14" s="27">
        <f>'Data-PL'!E27</f>
        <v>64.5</v>
      </c>
      <c r="E14" s="27">
        <f>'Data-PL'!F27</f>
        <v>71.58</v>
      </c>
      <c r="F14" s="25">
        <f t="shared" si="0"/>
        <v>100</v>
      </c>
      <c r="G14" s="26">
        <f t="shared" si="1"/>
        <v>101.75106483672502</v>
      </c>
      <c r="H14" s="26">
        <f t="shared" si="2"/>
        <v>112.92001893043067</v>
      </c>
    </row>
    <row r="16" spans="1:8" ht="15.75" customHeight="1" x14ac:dyDescent="0.3">
      <c r="B16" s="181" t="s">
        <v>138</v>
      </c>
      <c r="C16" s="181"/>
      <c r="D16" s="181"/>
      <c r="E16" s="181"/>
      <c r="F16" s="181"/>
      <c r="G16" s="181"/>
      <c r="H16" s="181"/>
    </row>
    <row r="17" spans="2:8" ht="27.75" customHeight="1" x14ac:dyDescent="0.3">
      <c r="B17" s="179" t="s">
        <v>174</v>
      </c>
      <c r="C17" s="179"/>
      <c r="D17" s="179"/>
      <c r="E17" s="179"/>
      <c r="F17" s="179"/>
      <c r="G17" s="179"/>
      <c r="H17" s="179"/>
    </row>
    <row r="18" spans="2:8" ht="27.75" customHeight="1" x14ac:dyDescent="0.3">
      <c r="B18" s="179" t="s">
        <v>175</v>
      </c>
      <c r="C18" s="179"/>
      <c r="D18" s="179"/>
      <c r="E18" s="179"/>
      <c r="F18" s="179"/>
      <c r="G18" s="179"/>
      <c r="H18" s="179"/>
    </row>
    <row r="19" spans="2:8" ht="27.75" customHeight="1" x14ac:dyDescent="0.3">
      <c r="B19" s="179" t="s">
        <v>176</v>
      </c>
      <c r="C19" s="179"/>
      <c r="D19" s="179"/>
      <c r="E19" s="179"/>
      <c r="F19" s="179"/>
      <c r="G19" s="179"/>
      <c r="H19" s="179"/>
    </row>
    <row r="20" spans="2:8" ht="27.75" customHeight="1" x14ac:dyDescent="0.3">
      <c r="B20" s="179" t="s">
        <v>177</v>
      </c>
      <c r="C20" s="179"/>
      <c r="D20" s="179"/>
      <c r="E20" s="179"/>
      <c r="F20" s="179"/>
      <c r="G20" s="179"/>
      <c r="H20" s="179"/>
    </row>
  </sheetData>
  <mergeCells count="7">
    <mergeCell ref="B19:H19"/>
    <mergeCell ref="B20:H20"/>
    <mergeCell ref="A1:G1"/>
    <mergeCell ref="B3:H3"/>
    <mergeCell ref="B16:H16"/>
    <mergeCell ref="B17:H17"/>
    <mergeCell ref="B18:H1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7"/>
  <sheetViews>
    <sheetView showGridLines="0" zoomScaleNormal="100" workbookViewId="0">
      <pane xSplit="3" ySplit="3" topLeftCell="D4" activePane="bottomRight" state="frozen"/>
      <selection pane="topRight" activeCell="D1" sqref="D1"/>
      <selection pane="bottomLeft" activeCell="A4" sqref="A4"/>
      <selection pane="bottomRight" sqref="A1:E1"/>
    </sheetView>
  </sheetViews>
  <sheetFormatPr defaultColWidth="8.6640625" defaultRowHeight="14.4" x14ac:dyDescent="0.3"/>
  <cols>
    <col min="1" max="1" width="2" customWidth="1"/>
    <col min="2" max="2" width="40" customWidth="1"/>
    <col min="3" max="5" width="13" customWidth="1"/>
    <col min="6" max="6" width="50" customWidth="1"/>
  </cols>
  <sheetData>
    <row r="1" spans="1:7" ht="30" customHeight="1" x14ac:dyDescent="0.3">
      <c r="A1" s="176" t="s">
        <v>178</v>
      </c>
      <c r="B1" s="176"/>
      <c r="C1" s="176"/>
      <c r="D1" s="176"/>
      <c r="E1" s="176"/>
    </row>
    <row r="3" spans="1:7" x14ac:dyDescent="0.3">
      <c r="B3" s="180" t="s">
        <v>179</v>
      </c>
      <c r="C3" s="180"/>
      <c r="D3" s="180"/>
      <c r="E3" s="180"/>
      <c r="F3" s="180"/>
    </row>
    <row r="5" spans="1:7" ht="18" customHeight="1" x14ac:dyDescent="0.3">
      <c r="B5" s="161" t="s">
        <v>180</v>
      </c>
      <c r="C5" s="161"/>
      <c r="D5" s="161"/>
      <c r="E5" s="161"/>
      <c r="F5" s="161"/>
    </row>
    <row r="6" spans="1:7" ht="25.5" customHeight="1" x14ac:dyDescent="0.3">
      <c r="B6" s="5" t="s">
        <v>181</v>
      </c>
      <c r="C6" s="5"/>
      <c r="D6" s="5" t="s">
        <v>40</v>
      </c>
      <c r="E6" s="5" t="s">
        <v>41</v>
      </c>
      <c r="F6" s="5" t="s">
        <v>42</v>
      </c>
      <c r="G6" s="5" t="s">
        <v>182</v>
      </c>
    </row>
    <row r="7" spans="1:7" ht="39.75" customHeight="1" x14ac:dyDescent="0.3">
      <c r="B7" s="2" t="s">
        <v>183</v>
      </c>
      <c r="D7" s="20">
        <f>Assumptions!$D$48</f>
        <v>481712</v>
      </c>
      <c r="E7" s="20">
        <f>Assumptions!$D$48</f>
        <v>481712</v>
      </c>
      <c r="F7" s="20">
        <f>Assumptions!$D$48</f>
        <v>481712</v>
      </c>
      <c r="G7" s="28" t="s">
        <v>184</v>
      </c>
    </row>
    <row r="8" spans="1:7" ht="31.5" customHeight="1" x14ac:dyDescent="0.3">
      <c r="B8" s="4" t="s">
        <v>185</v>
      </c>
      <c r="D8" s="29">
        <f>('Data-BS'!D26-'Data-BS'!D48)/'Data-BS'!D27</f>
        <v>0.36743727052403963</v>
      </c>
      <c r="E8" s="29">
        <f>('Data-BS'!E26-'Data-BS'!E48)/'Data-BS'!E27</f>
        <v>0.36432442596858355</v>
      </c>
      <c r="F8" s="29">
        <f>('Data-BS'!F26-'Data-BS'!F48)/'Data-BS'!F27</f>
        <v>0.32806298768329195</v>
      </c>
      <c r="G8" s="30" t="s">
        <v>186</v>
      </c>
    </row>
    <row r="9" spans="1:7" ht="31.5" customHeight="1" x14ac:dyDescent="0.3">
      <c r="B9" s="4" t="s">
        <v>187</v>
      </c>
      <c r="D9" s="29">
        <f>'Data-BS'!D31/'Data-BS'!D27</f>
        <v>0.62435601607964353</v>
      </c>
      <c r="E9" s="29">
        <f>'Data-BS'!E31/'Data-BS'!E27</f>
        <v>0.62957092872541187</v>
      </c>
      <c r="F9" s="29">
        <f>'Data-BS'!F31/'Data-BS'!F27</f>
        <v>0.58235395949143087</v>
      </c>
      <c r="G9" s="30" t="s">
        <v>188</v>
      </c>
    </row>
    <row r="10" spans="1:7" ht="31.5" customHeight="1" x14ac:dyDescent="0.3">
      <c r="B10" s="4" t="s">
        <v>189</v>
      </c>
      <c r="D10" s="29">
        <f>('Data-PL'!D18+'Data-PL'!D15-'Data-PL'!D5)/'Data-BS'!D27</f>
        <v>0.23036121148794753</v>
      </c>
      <c r="E10" s="29">
        <f>('Data-PL'!E18+'Data-PL'!E15-'Data-PL'!E5)/'Data-BS'!E27</f>
        <v>0.23118405942123396</v>
      </c>
      <c r="F10" s="29">
        <f>('Data-PL'!F18+'Data-PL'!F15-'Data-PL'!F5)/'Data-BS'!F27</f>
        <v>0.23965325998448389</v>
      </c>
      <c r="G10" s="30" t="s">
        <v>190</v>
      </c>
    </row>
    <row r="11" spans="1:7" ht="31.5" customHeight="1" x14ac:dyDescent="0.3">
      <c r="B11" s="4" t="s">
        <v>191</v>
      </c>
      <c r="D11" s="29">
        <f>D7/('Data-BS'!D40+'Data-BS'!D48)</f>
        <v>9.760541405790935</v>
      </c>
      <c r="E11" s="29">
        <f>D7/('Data-BS'!E40+'Data-BS'!E48)</f>
        <v>9.1406451612903226</v>
      </c>
      <c r="F11" s="29">
        <f>D7/('Data-BS'!F40+'Data-BS'!F48)</f>
        <v>7.6864847614488587</v>
      </c>
      <c r="G11" s="30" t="s">
        <v>192</v>
      </c>
    </row>
    <row r="12" spans="1:7" ht="31.5" customHeight="1" x14ac:dyDescent="0.3">
      <c r="B12" s="4" t="s">
        <v>193</v>
      </c>
      <c r="D12" s="29">
        <f>'Data-PL'!D4/'Data-BS'!D27</f>
        <v>1.1150536229991148</v>
      </c>
      <c r="E12" s="29">
        <f>'Data-PL'!E4/'Data-BS'!E27</f>
        <v>1.094605212789534</v>
      </c>
      <c r="F12" s="29">
        <f>'Data-PL'!F4/'Data-BS'!F27</f>
        <v>1.1454346111677469</v>
      </c>
      <c r="G12" s="30" t="s">
        <v>194</v>
      </c>
    </row>
    <row r="13" spans="1:7" ht="31.5" customHeight="1" x14ac:dyDescent="0.3">
      <c r="B13" s="2" t="s">
        <v>195</v>
      </c>
      <c r="D13" s="31">
        <f>1.2*D8+1.4*D9+3.3*D10+0.6*D11+1*D12</f>
        <v>9.0465936115242513</v>
      </c>
      <c r="E13" s="31">
        <f>1.2*E8+1.4*E9+3.3*E10+0.6*E11+1*E12</f>
        <v>8.6604883170316747</v>
      </c>
      <c r="F13" s="31">
        <f>1.2*F8+1.4*F9+3.3*F10+0.6*F11+1*F12</f>
        <v>7.7571523544938117</v>
      </c>
      <c r="G13" s="28" t="s">
        <v>196</v>
      </c>
    </row>
    <row r="14" spans="1:7" x14ac:dyDescent="0.3">
      <c r="B14" s="2" t="s">
        <v>197</v>
      </c>
      <c r="D14" s="32" t="str">
        <f>IF(D13&gt;2.99,"SAFE ZONE",IF(D13&gt;=1.81,"GREY ZONE","DISTRESS ZONE"))</f>
        <v>SAFE ZONE</v>
      </c>
      <c r="E14" s="32" t="str">
        <f>IF(E13&gt;2.99,"SAFE ZONE",IF(E13&gt;=1.81,"GREY ZONE","DISTRESS ZONE"))</f>
        <v>SAFE ZONE</v>
      </c>
      <c r="F14" s="32" t="str">
        <f>IF(F13&gt;2.99,"SAFE ZONE",IF(F13&gt;=1.81,"GREY ZONE","DISTRESS ZONE"))</f>
        <v>SAFE ZONE</v>
      </c>
    </row>
    <row r="16" spans="1:7" ht="15" customHeight="1" x14ac:dyDescent="0.3">
      <c r="B16" s="182" t="s">
        <v>198</v>
      </c>
      <c r="C16" s="182"/>
      <c r="D16" s="182"/>
      <c r="E16" s="182"/>
      <c r="F16" s="182"/>
    </row>
    <row r="17" spans="2:7" x14ac:dyDescent="0.3">
      <c r="B17" s="182"/>
      <c r="C17" s="182"/>
      <c r="D17" s="182"/>
      <c r="E17" s="182"/>
      <c r="F17" s="182"/>
    </row>
    <row r="18" spans="2:7" x14ac:dyDescent="0.3">
      <c r="B18" s="182"/>
      <c r="C18" s="182"/>
      <c r="D18" s="182"/>
      <c r="E18" s="182"/>
      <c r="F18" s="182"/>
    </row>
    <row r="19" spans="2:7" x14ac:dyDescent="0.3">
      <c r="B19" s="182"/>
      <c r="C19" s="182"/>
      <c r="D19" s="182"/>
      <c r="E19" s="182"/>
      <c r="F19" s="182"/>
    </row>
    <row r="21" spans="2:7" ht="18" customHeight="1" x14ac:dyDescent="0.3">
      <c r="B21" s="161" t="s">
        <v>199</v>
      </c>
      <c r="C21" s="161"/>
      <c r="D21" s="161"/>
      <c r="E21" s="161"/>
      <c r="F21" s="161"/>
    </row>
    <row r="22" spans="2:7" ht="25.5" customHeight="1" x14ac:dyDescent="0.3">
      <c r="B22" s="5" t="s">
        <v>181</v>
      </c>
      <c r="C22" s="5"/>
      <c r="D22" s="5"/>
      <c r="E22" s="5"/>
      <c r="F22" s="5" t="s">
        <v>200</v>
      </c>
      <c r="G22" s="5" t="s">
        <v>201</v>
      </c>
    </row>
    <row r="23" spans="2:7" ht="31.5" customHeight="1" x14ac:dyDescent="0.3">
      <c r="B23" s="2" t="s">
        <v>202</v>
      </c>
      <c r="C23" s="33"/>
      <c r="F23" s="29">
        <f>('Data-BS'!F20/'Data-PL'!F4)/('Data-BS'!E20/'Data-PL'!E4)</f>
        <v>1.031692601760136</v>
      </c>
      <c r="G23" s="30" t="s">
        <v>203</v>
      </c>
    </row>
    <row r="24" spans="2:7" ht="31.5" customHeight="1" x14ac:dyDescent="0.3">
      <c r="B24" s="2" t="s">
        <v>204</v>
      </c>
      <c r="C24" s="33"/>
      <c r="F24" s="29">
        <f>(('Data-PL'!E4-'Data-PL'!E8-'Data-PL'!E9-'Data-PL'!E11)/'Data-PL'!E4)/(('Data-PL'!F4-'Data-PL'!F8-'Data-PL'!F9-'Data-PL'!F11)/'Data-PL'!F4)</f>
        <v>1.0078084433742232</v>
      </c>
      <c r="G24" s="30" t="s">
        <v>205</v>
      </c>
    </row>
    <row r="25" spans="2:7" ht="31.5" customHeight="1" x14ac:dyDescent="0.3">
      <c r="B25" s="2" t="s">
        <v>206</v>
      </c>
      <c r="C25" s="33"/>
      <c r="F25" s="29">
        <f>(1-('Data-BS'!E26+'Data-BS'!E6)/'Data-BS'!E27)/(1-('Data-BS'!F26+'Data-BS'!F6)/'Data-BS'!F27)</f>
        <v>1.0526739308466246</v>
      </c>
      <c r="G25" s="30" t="s">
        <v>207</v>
      </c>
    </row>
    <row r="26" spans="2:7" ht="31.5" customHeight="1" x14ac:dyDescent="0.3">
      <c r="B26" s="2" t="s">
        <v>208</v>
      </c>
      <c r="C26" s="33"/>
      <c r="F26" s="29">
        <f>'Data-PL'!F4/'Data-PL'!E4</f>
        <v>1.0960795140806185</v>
      </c>
      <c r="G26" s="30" t="s">
        <v>209</v>
      </c>
    </row>
    <row r="27" spans="2:7" ht="31.5" customHeight="1" x14ac:dyDescent="0.3">
      <c r="B27" s="2" t="s">
        <v>210</v>
      </c>
      <c r="C27" s="33"/>
      <c r="F27" s="29">
        <f>('Data-PL'!E14/('Data-PL'!E14+'Data-BS'!E6))/('Data-PL'!F14/('Data-PL'!F14+'Data-BS'!F6))</f>
        <v>1.0386214284607602</v>
      </c>
      <c r="G27" s="30" t="s">
        <v>211</v>
      </c>
    </row>
    <row r="28" spans="2:7" ht="31.5" customHeight="1" x14ac:dyDescent="0.3">
      <c r="B28" s="2" t="s">
        <v>212</v>
      </c>
      <c r="C28" s="33"/>
      <c r="F28" s="29">
        <f>(('Data-PL'!F12+'Data-PL'!F13+'Data-PL'!F16)/'Data-PL'!F4)/(('Data-PL'!E12+'Data-PL'!E13+'Data-PL'!E16)/'Data-PL'!E4)</f>
        <v>1.0381740139691127</v>
      </c>
      <c r="G28" s="30" t="s">
        <v>213</v>
      </c>
    </row>
    <row r="29" spans="2:7" ht="31.5" customHeight="1" x14ac:dyDescent="0.3">
      <c r="B29" s="2" t="s">
        <v>214</v>
      </c>
      <c r="C29" s="33"/>
      <c r="F29" s="29">
        <f>('Data-PL'!F24-'Data-CF'!D4)/'Data-BS'!F27</f>
        <v>-3.9880231074522175E-2</v>
      </c>
      <c r="G29" s="30" t="s">
        <v>215</v>
      </c>
    </row>
    <row r="30" spans="2:7" ht="31.5" customHeight="1" x14ac:dyDescent="0.3">
      <c r="B30" s="2" t="s">
        <v>216</v>
      </c>
      <c r="C30" s="33"/>
      <c r="F30" s="29">
        <f>(('Data-BS'!F40+'Data-BS'!F48)/'Data-BS'!F27)/(('Data-BS'!E40+'Data-BS'!E48)/'Data-BS'!E27)</f>
        <v>1.1353239736197298</v>
      </c>
      <c r="G30" s="30" t="s">
        <v>217</v>
      </c>
    </row>
    <row r="31" spans="2:7" ht="39.75" customHeight="1" x14ac:dyDescent="0.3">
      <c r="B31" s="2" t="s">
        <v>218</v>
      </c>
      <c r="F31" s="31">
        <f>-4.84+0.92*F23+0.528*F24+0.404*F25+0.892*F26+0.115*F27-0.172*F28+4.679*F29-0.327*F30</f>
        <v>-2.5727117603581773</v>
      </c>
      <c r="G31" s="28" t="s">
        <v>219</v>
      </c>
    </row>
    <row r="32" spans="2:7" x14ac:dyDescent="0.3">
      <c r="B32" s="2" t="s">
        <v>220</v>
      </c>
      <c r="F32" s="32" t="str">
        <f>IF(F31&gt;-1.78,"ELEVATED RISK — FLAGGED","LOW RISK — NOT FLAGGED")</f>
        <v>LOW RISK — NOT FLAGGED</v>
      </c>
    </row>
    <row r="34" spans="2:6" ht="15" customHeight="1" x14ac:dyDescent="0.3">
      <c r="B34" s="182" t="s">
        <v>221</v>
      </c>
      <c r="C34" s="182"/>
      <c r="D34" s="182"/>
      <c r="E34" s="182"/>
      <c r="F34" s="182"/>
    </row>
    <row r="35" spans="2:6" x14ac:dyDescent="0.3">
      <c r="B35" s="182"/>
      <c r="C35" s="182"/>
      <c r="D35" s="182"/>
      <c r="E35" s="182"/>
      <c r="F35" s="182"/>
    </row>
    <row r="36" spans="2:6" x14ac:dyDescent="0.3">
      <c r="B36" s="182"/>
      <c r="C36" s="182"/>
      <c r="D36" s="182"/>
      <c r="E36" s="182"/>
      <c r="F36" s="182"/>
    </row>
    <row r="37" spans="2:6" x14ac:dyDescent="0.3">
      <c r="B37" s="182"/>
      <c r="C37" s="182"/>
      <c r="D37" s="182"/>
      <c r="E37" s="182"/>
      <c r="F37" s="182"/>
    </row>
  </sheetData>
  <mergeCells count="6">
    <mergeCell ref="B34:F37"/>
    <mergeCell ref="A1:E1"/>
    <mergeCell ref="B3:F3"/>
    <mergeCell ref="B5:F5"/>
    <mergeCell ref="B16:F19"/>
    <mergeCell ref="B21:F2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6"/>
  <sheetViews>
    <sheetView showGridLines="0" tabSelected="1" zoomScaleNormal="100" workbookViewId="0">
      <pane xSplit="2" ySplit="3" topLeftCell="C35" activePane="bottomRight" state="frozen"/>
      <selection pane="topRight" activeCell="C1" sqref="C1"/>
      <selection pane="bottomLeft" activeCell="A4" sqref="A4"/>
      <selection pane="bottomRight" activeCell="H10" sqref="H10"/>
    </sheetView>
  </sheetViews>
  <sheetFormatPr defaultColWidth="8.6640625" defaultRowHeight="14.4" x14ac:dyDescent="0.3"/>
  <cols>
    <col min="1" max="1" width="2" customWidth="1"/>
    <col min="2" max="2" width="35.88671875" customWidth="1"/>
    <col min="3" max="7" width="15" customWidth="1"/>
    <col min="8" max="8" width="40" customWidth="1"/>
  </cols>
  <sheetData>
    <row r="1" spans="1:8" ht="30" customHeight="1" x14ac:dyDescent="0.3">
      <c r="A1" s="176" t="s">
        <v>222</v>
      </c>
      <c r="B1" s="176"/>
      <c r="C1" s="176"/>
      <c r="D1" s="176"/>
      <c r="E1" s="176"/>
      <c r="F1" s="176"/>
      <c r="G1" s="176"/>
    </row>
    <row r="3" spans="1:8" x14ac:dyDescent="0.3">
      <c r="B3" s="180" t="s">
        <v>223</v>
      </c>
      <c r="C3" s="180"/>
      <c r="D3" s="180"/>
      <c r="E3" s="180"/>
      <c r="F3" s="180"/>
      <c r="G3" s="180"/>
      <c r="H3" s="180"/>
    </row>
    <row r="5" spans="1:8" ht="18" customHeight="1" x14ac:dyDescent="0.3">
      <c r="B5" s="161" t="s">
        <v>224</v>
      </c>
      <c r="C5" s="161"/>
      <c r="D5" s="161"/>
      <c r="E5" s="161"/>
      <c r="F5" s="161"/>
      <c r="G5" s="161"/>
      <c r="H5" s="161"/>
    </row>
    <row r="6" spans="1:8" ht="25.5" customHeight="1" x14ac:dyDescent="0.3">
      <c r="B6" s="5" t="s">
        <v>225</v>
      </c>
      <c r="C6" s="5" t="s">
        <v>226</v>
      </c>
      <c r="D6" s="5" t="s">
        <v>227</v>
      </c>
      <c r="E6" s="5" t="s">
        <v>228</v>
      </c>
      <c r="F6" s="5" t="s">
        <v>229</v>
      </c>
      <c r="G6" s="5" t="s">
        <v>230</v>
      </c>
      <c r="H6" s="5" t="s">
        <v>231</v>
      </c>
    </row>
    <row r="7" spans="1:8" ht="25.5" customHeight="1" x14ac:dyDescent="0.3">
      <c r="B7" s="4" t="s">
        <v>232</v>
      </c>
      <c r="C7" s="17">
        <f>'Data-PL'!F4</f>
        <v>178650</v>
      </c>
      <c r="D7" s="11">
        <v>267021</v>
      </c>
      <c r="E7" s="11">
        <v>130144</v>
      </c>
      <c r="F7" s="11">
        <v>92624</v>
      </c>
      <c r="G7" s="11">
        <v>56815</v>
      </c>
      <c r="H7" s="28" t="s">
        <v>233</v>
      </c>
    </row>
    <row r="8" spans="1:8" ht="25.5" customHeight="1" x14ac:dyDescent="0.3">
      <c r="B8" s="4" t="s">
        <v>234</v>
      </c>
      <c r="C8" s="18">
        <f>'Data-PL'!F18+'Data-PL'!F15-'Data-PL'!F5</f>
        <v>37378</v>
      </c>
      <c r="D8" s="11">
        <v>72398</v>
      </c>
      <c r="E8" s="11">
        <v>26752</v>
      </c>
      <c r="F8" s="11">
        <v>17811</v>
      </c>
      <c r="G8" s="11">
        <v>9033</v>
      </c>
      <c r="H8" s="28" t="s">
        <v>235</v>
      </c>
    </row>
    <row r="9" spans="1:8" ht="25.5" customHeight="1" x14ac:dyDescent="0.3">
      <c r="B9" s="4" t="s">
        <v>236</v>
      </c>
      <c r="C9" s="17">
        <f>'Data-PL'!F14</f>
        <v>4902</v>
      </c>
      <c r="D9" s="11">
        <v>5560</v>
      </c>
      <c r="E9" s="11">
        <v>4355</v>
      </c>
      <c r="F9" s="11">
        <v>2911</v>
      </c>
      <c r="G9" s="11">
        <v>1882</v>
      </c>
      <c r="H9" s="28" t="s">
        <v>237</v>
      </c>
    </row>
    <row r="10" spans="1:8" ht="25.5" customHeight="1" x14ac:dyDescent="0.3">
      <c r="B10" s="2" t="s">
        <v>238</v>
      </c>
      <c r="C10" s="21">
        <f>C8+C9</f>
        <v>42280</v>
      </c>
      <c r="D10" s="21">
        <f>D8+D9</f>
        <v>77958</v>
      </c>
      <c r="E10" s="21">
        <f>E8+E9</f>
        <v>31107</v>
      </c>
      <c r="F10" s="21">
        <f>F8+F9</f>
        <v>20722</v>
      </c>
      <c r="G10" s="21">
        <f>G8+G9</f>
        <v>10915</v>
      </c>
      <c r="H10" s="28" t="s">
        <v>239</v>
      </c>
    </row>
    <row r="11" spans="1:8" ht="25.5" customHeight="1" x14ac:dyDescent="0.3">
      <c r="B11" s="4" t="s">
        <v>240</v>
      </c>
      <c r="C11" s="17">
        <f>'Data-PL'!F24</f>
        <v>29474</v>
      </c>
      <c r="D11" s="11">
        <v>49454</v>
      </c>
      <c r="E11" s="11">
        <v>16652</v>
      </c>
      <c r="F11" s="11">
        <v>13266</v>
      </c>
      <c r="G11" s="11">
        <v>4806</v>
      </c>
      <c r="H11" s="28" t="s">
        <v>241</v>
      </c>
    </row>
    <row r="12" spans="1:8" ht="25.5" customHeight="1" x14ac:dyDescent="0.3">
      <c r="B12" s="4" t="s">
        <v>242</v>
      </c>
      <c r="C12" s="17">
        <f>Assumptions!D48</f>
        <v>481712</v>
      </c>
      <c r="D12" s="11">
        <v>882433</v>
      </c>
      <c r="E12" s="11">
        <v>367702</v>
      </c>
      <c r="F12" s="11">
        <v>182142</v>
      </c>
      <c r="G12" s="11">
        <v>161146</v>
      </c>
      <c r="H12" s="28" t="s">
        <v>243</v>
      </c>
    </row>
    <row r="13" spans="1:8" ht="25.5" customHeight="1" x14ac:dyDescent="0.3">
      <c r="B13" s="4" t="s">
        <v>244</v>
      </c>
      <c r="C13" s="17">
        <f>'Data-BS'!F36+'Data-BS'!F42</f>
        <v>9176</v>
      </c>
      <c r="D13" s="11">
        <v>11283</v>
      </c>
      <c r="E13" s="11">
        <v>5215</v>
      </c>
      <c r="F13" s="11">
        <v>20291</v>
      </c>
      <c r="G13" s="11">
        <v>2186</v>
      </c>
      <c r="H13" s="28" t="s">
        <v>245</v>
      </c>
    </row>
    <row r="14" spans="1:8" ht="25.5" customHeight="1" x14ac:dyDescent="0.3">
      <c r="B14" s="4" t="s">
        <v>246</v>
      </c>
      <c r="C14" s="17">
        <f>'Data-BS'!F21+'Data-BS'!F19+'Data-BS'!F11</f>
        <v>44081</v>
      </c>
      <c r="D14" s="11">
        <v>33988</v>
      </c>
      <c r="E14" s="11">
        <v>7090</v>
      </c>
      <c r="F14" s="11">
        <v>46786</v>
      </c>
      <c r="G14" s="11">
        <v>3426</v>
      </c>
      <c r="H14" s="28" t="s">
        <v>247</v>
      </c>
    </row>
    <row r="15" spans="1:8" ht="25.5" customHeight="1" x14ac:dyDescent="0.3">
      <c r="B15" s="2" t="s">
        <v>790</v>
      </c>
      <c r="C15" s="13">
        <f>C12+C13-C14</f>
        <v>446807</v>
      </c>
      <c r="D15" s="13">
        <f>D12+D13-D14</f>
        <v>859728</v>
      </c>
      <c r="E15" s="13">
        <f>E12+E13-E14</f>
        <v>365827</v>
      </c>
      <c r="F15" s="13">
        <f>F12+F13-F14</f>
        <v>155647</v>
      </c>
      <c r="G15" s="13">
        <f>G12+G13-G14</f>
        <v>159906</v>
      </c>
      <c r="H15" s="28" t="s">
        <v>239</v>
      </c>
    </row>
    <row r="17" spans="2:8" ht="42" customHeight="1" x14ac:dyDescent="0.3">
      <c r="B17" s="183" t="s">
        <v>248</v>
      </c>
      <c r="C17" s="183"/>
      <c r="D17" s="183"/>
      <c r="E17" s="183"/>
      <c r="F17" s="183"/>
      <c r="G17" s="183"/>
      <c r="H17" s="183"/>
    </row>
    <row r="19" spans="2:8" ht="18" customHeight="1" x14ac:dyDescent="0.3">
      <c r="B19" s="161" t="s">
        <v>249</v>
      </c>
      <c r="C19" s="161"/>
      <c r="D19" s="161"/>
      <c r="E19" s="161"/>
      <c r="F19" s="161"/>
      <c r="G19" s="161"/>
      <c r="H19" s="161"/>
    </row>
    <row r="20" spans="2:8" ht="25.5" customHeight="1" x14ac:dyDescent="0.3">
      <c r="B20" s="5" t="s">
        <v>250</v>
      </c>
      <c r="C20" s="5" t="s">
        <v>226</v>
      </c>
      <c r="D20" s="5" t="s">
        <v>227</v>
      </c>
      <c r="E20" s="5" t="s">
        <v>228</v>
      </c>
      <c r="F20" s="5" t="s">
        <v>229</v>
      </c>
      <c r="G20" s="5" t="s">
        <v>230</v>
      </c>
    </row>
    <row r="21" spans="2:8" ht="19.5" customHeight="1" x14ac:dyDescent="0.3">
      <c r="B21" s="2" t="s">
        <v>251</v>
      </c>
      <c r="C21" s="34">
        <f>IFERROR(C15/C10,"n.m.")</f>
        <v>10.567809839167454</v>
      </c>
      <c r="D21" s="34">
        <f>IFERROR(D15/D10,"n.m.")</f>
        <v>11.028092049565151</v>
      </c>
      <c r="E21" s="34">
        <f>IFERROR(E15/E10,"n.m.")</f>
        <v>11.760279036872729</v>
      </c>
      <c r="F21" s="34">
        <f>IFERROR(F15/F10,"n.m.")</f>
        <v>7.5111958305182895</v>
      </c>
      <c r="G21" s="34">
        <f>IFERROR(G15/G10,"n.m.")</f>
        <v>14.650114521300962</v>
      </c>
    </row>
    <row r="22" spans="2:8" ht="19.5" customHeight="1" x14ac:dyDescent="0.3">
      <c r="B22" s="2" t="s">
        <v>252</v>
      </c>
      <c r="C22" s="34">
        <f>IFERROR(C15/C8,"n.m.")</f>
        <v>11.953742843383809</v>
      </c>
      <c r="D22" s="34">
        <f>IFERROR(D15/D8,"n.m.")</f>
        <v>11.875024171938451</v>
      </c>
      <c r="E22" s="34">
        <f>IFERROR(E15/E8,"n.m.")</f>
        <v>13.674753289473685</v>
      </c>
      <c r="F22" s="34">
        <f>IFERROR(F15/F8,"n.m.")</f>
        <v>8.7388130930323964</v>
      </c>
      <c r="G22" s="34">
        <f>IFERROR(G15/G8,"n.m.")</f>
        <v>17.702424443706409</v>
      </c>
    </row>
    <row r="23" spans="2:8" ht="19.5" customHeight="1" x14ac:dyDescent="0.3">
      <c r="B23" s="2" t="s">
        <v>253</v>
      </c>
      <c r="C23" s="34">
        <f>IFERROR(C15/C7,"n.m.")</f>
        <v>2.5010187517492302</v>
      </c>
      <c r="D23" s="34">
        <f>IFERROR(D15/D7,"n.m.")</f>
        <v>3.2197018212050739</v>
      </c>
      <c r="E23" s="34">
        <f>IFERROR(E15/E7,"n.m.")</f>
        <v>2.8109401893287433</v>
      </c>
      <c r="F23" s="34">
        <f>IFERROR(F15/F7,"n.m.")</f>
        <v>1.6804176023492832</v>
      </c>
      <c r="G23" s="34">
        <f>IFERROR(G15/G7,"n.m.")</f>
        <v>2.8145032121798819</v>
      </c>
    </row>
    <row r="24" spans="2:8" ht="19.5" customHeight="1" x14ac:dyDescent="0.3">
      <c r="B24" s="2" t="s">
        <v>254</v>
      </c>
      <c r="C24" s="34">
        <f>IFERROR(C12/C11,"n.m.")</f>
        <v>16.343624889733324</v>
      </c>
      <c r="D24" s="34">
        <f>IFERROR(D12/D11,"n.m.")</f>
        <v>17.843511141667005</v>
      </c>
      <c r="E24" s="34">
        <f>IFERROR(E12/E11,"n.m.")</f>
        <v>22.081551765553687</v>
      </c>
      <c r="F24" s="34">
        <f>IFERROR(F12/F11,"n.m.")</f>
        <v>13.729986431478968</v>
      </c>
      <c r="G24" s="34">
        <f>IFERROR(G12/G11,"n.m.")</f>
        <v>33.530170620058257</v>
      </c>
    </row>
    <row r="26" spans="2:8" ht="18" customHeight="1" x14ac:dyDescent="0.3">
      <c r="B26" s="161" t="s">
        <v>255</v>
      </c>
      <c r="C26" s="161"/>
      <c r="D26" s="161"/>
      <c r="E26" s="161"/>
      <c r="F26" s="161"/>
      <c r="G26" s="161"/>
      <c r="H26" s="161"/>
    </row>
    <row r="27" spans="2:8" ht="25.5" customHeight="1" x14ac:dyDescent="0.3">
      <c r="B27" s="5" t="s">
        <v>250</v>
      </c>
      <c r="C27" s="5" t="s">
        <v>256</v>
      </c>
      <c r="D27" s="5" t="s">
        <v>257</v>
      </c>
      <c r="E27" s="5" t="s">
        <v>258</v>
      </c>
      <c r="F27" s="5" t="s">
        <v>259</v>
      </c>
      <c r="G27" s="5" t="s">
        <v>260</v>
      </c>
    </row>
    <row r="28" spans="2:8" x14ac:dyDescent="0.3">
      <c r="B28" s="2" t="s">
        <v>251</v>
      </c>
      <c r="C28" s="34">
        <f>AVERAGE(D21:G21)</f>
        <v>11.237420359564283</v>
      </c>
      <c r="D28" s="34">
        <f>MEDIAN(D21:G21)</f>
        <v>11.39418554321894</v>
      </c>
      <c r="E28" s="34">
        <f>MIN(D21:G21)</f>
        <v>7.5111958305182895</v>
      </c>
      <c r="F28" s="34">
        <f>MAX(D21:G21)</f>
        <v>14.650114521300962</v>
      </c>
      <c r="G28" s="34">
        <f>C21</f>
        <v>10.567809839167454</v>
      </c>
    </row>
    <row r="29" spans="2:8" x14ac:dyDescent="0.3">
      <c r="B29" s="2" t="s">
        <v>252</v>
      </c>
      <c r="C29" s="34">
        <f>AVERAGE(D22:G22)</f>
        <v>12.997753749537736</v>
      </c>
      <c r="D29" s="34">
        <f>MEDIAN(D22:G22)</f>
        <v>12.774888730706067</v>
      </c>
      <c r="E29" s="34">
        <f>MIN(D22:G22)</f>
        <v>8.7388130930323964</v>
      </c>
      <c r="F29" s="34">
        <f>MAX(D22:G22)</f>
        <v>17.702424443706409</v>
      </c>
      <c r="G29" s="34">
        <f>C22</f>
        <v>11.953742843383809</v>
      </c>
    </row>
    <row r="30" spans="2:8" x14ac:dyDescent="0.3">
      <c r="B30" s="2" t="s">
        <v>253</v>
      </c>
      <c r="C30" s="34">
        <f>AVERAGE(D23:G23)</f>
        <v>2.631390706265746</v>
      </c>
      <c r="D30" s="34">
        <f>MEDIAN(D23:G23)</f>
        <v>2.8127217007543126</v>
      </c>
      <c r="E30" s="34">
        <f>MIN(D23:G23)</f>
        <v>1.6804176023492832</v>
      </c>
      <c r="F30" s="34">
        <f>MAX(D23:G23)</f>
        <v>3.2197018212050739</v>
      </c>
      <c r="G30" s="34">
        <f>C23</f>
        <v>2.5010187517492302</v>
      </c>
    </row>
    <row r="31" spans="2:8" x14ac:dyDescent="0.3">
      <c r="B31" s="2" t="s">
        <v>254</v>
      </c>
      <c r="C31" s="34">
        <f>AVERAGE(D24:G24)</f>
        <v>21.796304989689482</v>
      </c>
      <c r="D31" s="34">
        <f>MEDIAN(D24:G24)</f>
        <v>19.962531453610346</v>
      </c>
      <c r="E31" s="34">
        <f>MIN(D24:G24)</f>
        <v>13.729986431478968</v>
      </c>
      <c r="F31" s="34">
        <f>MAX(D24:G24)</f>
        <v>33.530170620058257</v>
      </c>
      <c r="G31" s="34">
        <f>C24</f>
        <v>16.343624889733324</v>
      </c>
    </row>
    <row r="33" spans="2:8" ht="18" customHeight="1" x14ac:dyDescent="0.3">
      <c r="B33" s="161" t="s">
        <v>261</v>
      </c>
      <c r="C33" s="161"/>
      <c r="D33" s="161"/>
      <c r="E33" s="161"/>
      <c r="F33" s="161"/>
      <c r="G33" s="161"/>
      <c r="H33" s="161"/>
    </row>
    <row r="34" spans="2:8" ht="25.5" customHeight="1" x14ac:dyDescent="0.3">
      <c r="B34" s="5" t="s">
        <v>262</v>
      </c>
      <c r="C34" s="5" t="s">
        <v>263</v>
      </c>
      <c r="D34" s="5" t="s">
        <v>264</v>
      </c>
      <c r="E34" s="5" t="s">
        <v>265</v>
      </c>
      <c r="F34" s="5" t="s">
        <v>266</v>
      </c>
      <c r="G34" s="5" t="s">
        <v>267</v>
      </c>
      <c r="H34" s="5" t="s">
        <v>268</v>
      </c>
    </row>
    <row r="35" spans="2:8" ht="19.5" customHeight="1" x14ac:dyDescent="0.3">
      <c r="B35" s="4" t="s">
        <v>269</v>
      </c>
      <c r="C35" s="18">
        <f>C10</f>
        <v>42280</v>
      </c>
      <c r="D35" s="34">
        <f>C28</f>
        <v>11.237420359564283</v>
      </c>
      <c r="E35" s="21">
        <f>C35*D35</f>
        <v>475118.13280237786</v>
      </c>
      <c r="F35" s="34">
        <f>D28</f>
        <v>11.39418554321894</v>
      </c>
      <c r="G35" s="21">
        <f>C35*F35</f>
        <v>481746.16476729681</v>
      </c>
      <c r="H35" s="35">
        <f>(E35-C13+C14)/Assumptions!$D$47</f>
        <v>1259.9385691758346</v>
      </c>
    </row>
    <row r="36" spans="2:8" ht="19.5" customHeight="1" x14ac:dyDescent="0.3">
      <c r="B36" s="4" t="s">
        <v>270</v>
      </c>
      <c r="C36" s="18">
        <f>C8</f>
        <v>37378</v>
      </c>
      <c r="D36" s="34">
        <f>C29</f>
        <v>12.997753749537736</v>
      </c>
      <c r="E36" s="21">
        <f>C36*D36</f>
        <v>485830.03965022153</v>
      </c>
      <c r="F36" s="34">
        <f>D29</f>
        <v>12.774888730706067</v>
      </c>
      <c r="G36" s="21">
        <f>C36*F36</f>
        <v>477499.79097633139</v>
      </c>
      <c r="H36" s="35">
        <f>(E36-C13+C14)/Assumptions!$D$47</f>
        <v>1286.4007896497567</v>
      </c>
    </row>
    <row r="37" spans="2:8" ht="19.5" customHeight="1" x14ac:dyDescent="0.3">
      <c r="B37" s="4" t="s">
        <v>271</v>
      </c>
      <c r="C37" s="18">
        <f>C7</f>
        <v>178650</v>
      </c>
      <c r="D37" s="34">
        <f>C30</f>
        <v>2.631390706265746</v>
      </c>
      <c r="E37" s="21">
        <f>C37*D37</f>
        <v>470097.94967437553</v>
      </c>
      <c r="F37" s="34">
        <f>D30</f>
        <v>2.8127217007543126</v>
      </c>
      <c r="G37" s="21">
        <f>C37*F37</f>
        <v>502492.73183975794</v>
      </c>
      <c r="H37" s="35">
        <f>(E37-C13+C14)/Assumptions!$D$47</f>
        <v>1247.5369310137735</v>
      </c>
    </row>
    <row r="38" spans="2:8" ht="19.5" customHeight="1" x14ac:dyDescent="0.3">
      <c r="B38" s="4" t="s">
        <v>272</v>
      </c>
      <c r="C38" s="18">
        <f>C11</f>
        <v>29474</v>
      </c>
      <c r="D38" s="34">
        <f>C31</f>
        <v>21.796304989689482</v>
      </c>
      <c r="E38" s="21">
        <f>C38*D38</f>
        <v>642424.29326610779</v>
      </c>
      <c r="F38" s="34">
        <f>D31</f>
        <v>19.962531453610346</v>
      </c>
      <c r="G38" s="21">
        <f>C38*F38</f>
        <v>588375.65206371131</v>
      </c>
      <c r="H38" s="35">
        <f>E38/Assumptions!$D$47</f>
        <v>1587.01653474829</v>
      </c>
    </row>
    <row r="40" spans="2:8" x14ac:dyDescent="0.3">
      <c r="B40" s="2" t="s">
        <v>273</v>
      </c>
      <c r="H40" s="36">
        <f>AVERAGE(H36:H39)</f>
        <v>1373.6514184706066</v>
      </c>
    </row>
    <row r="41" spans="2:8" x14ac:dyDescent="0.3">
      <c r="B41" s="2" t="s">
        <v>274</v>
      </c>
      <c r="G41" s="37">
        <f>Assumptions!$D$46</f>
        <v>1190</v>
      </c>
      <c r="H41" s="22">
        <f>H40/G41-1</f>
        <v>0.15432892308454327</v>
      </c>
    </row>
    <row r="43" spans="2:8" ht="15.75" customHeight="1" x14ac:dyDescent="0.3">
      <c r="B43" s="181" t="s">
        <v>138</v>
      </c>
      <c r="C43" s="181"/>
      <c r="D43" s="181"/>
      <c r="E43" s="181"/>
      <c r="F43" s="181"/>
      <c r="G43" s="181"/>
      <c r="H43" s="181"/>
    </row>
    <row r="44" spans="2:8" ht="30" customHeight="1" x14ac:dyDescent="0.3">
      <c r="B44" s="179" t="s">
        <v>275</v>
      </c>
      <c r="C44" s="179"/>
      <c r="D44" s="179"/>
      <c r="E44" s="179"/>
      <c r="F44" s="179"/>
      <c r="G44" s="179"/>
      <c r="H44" s="179"/>
    </row>
    <row r="45" spans="2:8" ht="30" customHeight="1" x14ac:dyDescent="0.3">
      <c r="B45" s="179" t="s">
        <v>276</v>
      </c>
      <c r="C45" s="179"/>
      <c r="D45" s="179"/>
      <c r="E45" s="179"/>
      <c r="F45" s="179"/>
      <c r="G45" s="179"/>
      <c r="H45" s="179"/>
    </row>
    <row r="46" spans="2:8" ht="30" customHeight="1" x14ac:dyDescent="0.3">
      <c r="B46" s="179" t="s">
        <v>277</v>
      </c>
      <c r="C46" s="179"/>
      <c r="D46" s="179"/>
      <c r="E46" s="179"/>
      <c r="F46" s="179"/>
      <c r="G46" s="179"/>
      <c r="H46" s="179"/>
    </row>
  </sheetData>
  <mergeCells count="11">
    <mergeCell ref="A1:G1"/>
    <mergeCell ref="B3:H3"/>
    <mergeCell ref="B5:H5"/>
    <mergeCell ref="B17:H17"/>
    <mergeCell ref="B19:H19"/>
    <mergeCell ref="B46:H46"/>
    <mergeCell ref="B26:H26"/>
    <mergeCell ref="B33:H33"/>
    <mergeCell ref="B43:H43"/>
    <mergeCell ref="B44:H44"/>
    <mergeCell ref="B45:H45"/>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H19"/>
  <sheetViews>
    <sheetView showGridLines="0" zoomScaleNormal="100" workbookViewId="0">
      <selection activeCell="B11" sqref="B11"/>
    </sheetView>
  </sheetViews>
  <sheetFormatPr defaultColWidth="8.6640625" defaultRowHeight="14.4" x14ac:dyDescent="0.3"/>
  <cols>
    <col min="1" max="1" width="2" customWidth="1"/>
    <col min="2" max="2" width="20" customWidth="1"/>
    <col min="3" max="3" width="13" customWidth="1"/>
    <col min="8" max="8" width="34.109375" customWidth="1"/>
  </cols>
  <sheetData>
    <row r="2" spans="2:8" ht="21.75" customHeight="1" x14ac:dyDescent="0.4">
      <c r="B2" s="38" t="s">
        <v>769</v>
      </c>
    </row>
    <row r="3" spans="2:8" ht="15" customHeight="1" x14ac:dyDescent="0.3">
      <c r="B3" s="39" t="s">
        <v>770</v>
      </c>
    </row>
    <row r="5" spans="2:8" ht="27.75" customHeight="1" x14ac:dyDescent="0.3">
      <c r="B5" s="40" t="s">
        <v>3</v>
      </c>
      <c r="C5" s="184" t="s">
        <v>771</v>
      </c>
      <c r="D5" s="184"/>
      <c r="E5" s="184"/>
      <c r="F5" s="184"/>
      <c r="G5" s="184"/>
      <c r="H5" s="184"/>
    </row>
    <row r="7" spans="2:8" ht="42" customHeight="1" x14ac:dyDescent="0.3">
      <c r="B7" s="40" t="s">
        <v>278</v>
      </c>
      <c r="C7" s="184" t="s">
        <v>279</v>
      </c>
      <c r="D7" s="184"/>
      <c r="E7" s="184"/>
      <c r="F7" s="184"/>
      <c r="G7" s="184"/>
      <c r="H7" s="184"/>
    </row>
    <row r="9" spans="2:8" ht="27.75" customHeight="1" x14ac:dyDescent="0.3">
      <c r="B9" s="40" t="s">
        <v>280</v>
      </c>
      <c r="C9" s="184" t="s">
        <v>281</v>
      </c>
      <c r="D9" s="184"/>
      <c r="E9" s="184"/>
      <c r="F9" s="184"/>
      <c r="G9" s="184"/>
      <c r="H9" s="184"/>
    </row>
    <row r="11" spans="2:8" ht="42" customHeight="1" x14ac:dyDescent="0.3">
      <c r="B11" s="40" t="s">
        <v>778</v>
      </c>
      <c r="C11" s="184" t="s">
        <v>772</v>
      </c>
      <c r="D11" s="184"/>
      <c r="E11" s="184"/>
      <c r="F11" s="184"/>
      <c r="G11" s="184"/>
      <c r="H11" s="184"/>
    </row>
    <row r="13" spans="2:8" ht="27.75" customHeight="1" x14ac:dyDescent="0.3">
      <c r="B13" s="40" t="s">
        <v>777</v>
      </c>
      <c r="C13" s="184" t="s">
        <v>773</v>
      </c>
      <c r="D13" s="184"/>
      <c r="E13" s="184"/>
      <c r="F13" s="184"/>
      <c r="G13" s="184"/>
      <c r="H13" s="184"/>
    </row>
    <row r="15" spans="2:8" ht="27.75" customHeight="1" x14ac:dyDescent="0.3">
      <c r="B15" s="40" t="s">
        <v>776</v>
      </c>
      <c r="C15" s="184" t="s">
        <v>774</v>
      </c>
      <c r="D15" s="184"/>
      <c r="E15" s="184"/>
      <c r="F15" s="184"/>
      <c r="G15" s="184"/>
      <c r="H15" s="184"/>
    </row>
    <row r="17" spans="2:8" ht="329.4" customHeight="1" x14ac:dyDescent="0.3">
      <c r="B17" s="40" t="s">
        <v>282</v>
      </c>
      <c r="C17" s="184" t="s">
        <v>775</v>
      </c>
      <c r="D17" s="184"/>
      <c r="E17" s="184"/>
      <c r="F17" s="184"/>
      <c r="G17" s="184"/>
      <c r="H17" s="184"/>
    </row>
    <row r="18" spans="2:8" ht="32.4" customHeight="1" x14ac:dyDescent="0.3"/>
    <row r="19" spans="2:8" ht="42" customHeight="1" x14ac:dyDescent="0.3">
      <c r="B19" s="40" t="s">
        <v>283</v>
      </c>
      <c r="C19" s="184" t="s">
        <v>284</v>
      </c>
      <c r="D19" s="184"/>
      <c r="E19" s="184"/>
      <c r="F19" s="184"/>
      <c r="G19" s="184"/>
      <c r="H19" s="184"/>
    </row>
  </sheetData>
  <mergeCells count="8">
    <mergeCell ref="C15:H15"/>
    <mergeCell ref="C17:H17"/>
    <mergeCell ref="C19:H19"/>
    <mergeCell ref="C5:H5"/>
    <mergeCell ref="C7:H7"/>
    <mergeCell ref="C9:H9"/>
    <mergeCell ref="C11:H11"/>
    <mergeCell ref="C13:H13"/>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8"/>
  <sheetViews>
    <sheetView showGridLines="0" zoomScaleNormal="100" workbookViewId="0">
      <pane ySplit="3" topLeftCell="A28" activePane="bottomLeft" state="frozen"/>
      <selection pane="bottomLeft" activeCell="E41" sqref="E41"/>
    </sheetView>
  </sheetViews>
  <sheetFormatPr defaultColWidth="8.6640625" defaultRowHeight="14.4" x14ac:dyDescent="0.3"/>
  <cols>
    <col min="1" max="1" width="52" customWidth="1"/>
    <col min="2" max="2" width="12" customWidth="1"/>
    <col min="3" max="3" width="23.6640625" customWidth="1"/>
    <col min="4" max="4" width="20.44140625" customWidth="1"/>
    <col min="5" max="5" width="55" customWidth="1"/>
  </cols>
  <sheetData>
    <row r="1" spans="1:6" ht="17.25" customHeight="1" x14ac:dyDescent="0.3">
      <c r="A1" s="185" t="s">
        <v>285</v>
      </c>
      <c r="B1" s="185"/>
      <c r="C1" s="185"/>
      <c r="D1" s="185"/>
      <c r="E1" s="185"/>
      <c r="F1" s="185"/>
    </row>
    <row r="3" spans="1:6" ht="46.8" customHeight="1" x14ac:dyDescent="0.3">
      <c r="A3" s="41" t="s">
        <v>286</v>
      </c>
      <c r="B3" s="41" t="s">
        <v>287</v>
      </c>
      <c r="C3" s="41" t="s">
        <v>288</v>
      </c>
      <c r="D3" s="41" t="s">
        <v>289</v>
      </c>
      <c r="E3" s="41" t="s">
        <v>231</v>
      </c>
    </row>
    <row r="4" spans="1:6" ht="15" customHeight="1" x14ac:dyDescent="0.3">
      <c r="A4" s="186" t="s">
        <v>290</v>
      </c>
      <c r="B4" s="186"/>
      <c r="C4" s="186"/>
      <c r="D4" s="186"/>
      <c r="E4" s="186"/>
    </row>
    <row r="5" spans="1:6" ht="25.5" customHeight="1" x14ac:dyDescent="0.3">
      <c r="A5" s="42" t="s">
        <v>291</v>
      </c>
      <c r="B5" s="43" t="s">
        <v>292</v>
      </c>
      <c r="C5" s="44">
        <v>178650</v>
      </c>
      <c r="D5" s="44">
        <v>162990</v>
      </c>
      <c r="E5" s="45" t="s">
        <v>779</v>
      </c>
    </row>
    <row r="6" spans="1:6" ht="25.5" customHeight="1" x14ac:dyDescent="0.3">
      <c r="A6" s="42" t="s">
        <v>293</v>
      </c>
      <c r="B6" s="43" t="s">
        <v>292</v>
      </c>
      <c r="C6" s="44">
        <v>124735</v>
      </c>
      <c r="D6" s="44">
        <v>113347</v>
      </c>
      <c r="E6" s="45" t="s">
        <v>780</v>
      </c>
    </row>
    <row r="7" spans="1:6" ht="25.5" customHeight="1" x14ac:dyDescent="0.3">
      <c r="A7" s="42" t="s">
        <v>294</v>
      </c>
      <c r="B7" s="43" t="s">
        <v>292</v>
      </c>
      <c r="C7" s="46">
        <f>C5-C6</f>
        <v>53915</v>
      </c>
      <c r="D7" s="46">
        <f>D5-D6</f>
        <v>49643</v>
      </c>
      <c r="E7" s="45" t="s">
        <v>295</v>
      </c>
    </row>
    <row r="8" spans="1:6" ht="25.5" customHeight="1" x14ac:dyDescent="0.3">
      <c r="A8" s="42" t="s">
        <v>296</v>
      </c>
      <c r="B8" s="43" t="s">
        <v>292</v>
      </c>
      <c r="C8" s="44">
        <v>17661</v>
      </c>
      <c r="D8" s="44">
        <v>15219</v>
      </c>
      <c r="E8" s="45" t="s">
        <v>780</v>
      </c>
    </row>
    <row r="9" spans="1:6" ht="25.5" customHeight="1" x14ac:dyDescent="0.3">
      <c r="A9" s="42" t="s">
        <v>297</v>
      </c>
      <c r="B9" s="43" t="s">
        <v>292</v>
      </c>
      <c r="C9" s="44">
        <v>36254</v>
      </c>
      <c r="D9" s="44">
        <v>34424</v>
      </c>
      <c r="E9" s="45" t="s">
        <v>780</v>
      </c>
    </row>
    <row r="10" spans="1:6" ht="25.5" customHeight="1" x14ac:dyDescent="0.3">
      <c r="A10" s="42" t="s">
        <v>298</v>
      </c>
      <c r="B10" s="43" t="s">
        <v>292</v>
      </c>
      <c r="C10" s="44">
        <v>4157</v>
      </c>
      <c r="D10" s="44">
        <v>3600</v>
      </c>
      <c r="E10" s="45" t="s">
        <v>780</v>
      </c>
    </row>
    <row r="11" spans="1:6" ht="25.5" customHeight="1" x14ac:dyDescent="0.3">
      <c r="A11" s="42" t="s">
        <v>299</v>
      </c>
      <c r="B11" s="43" t="s">
        <v>292</v>
      </c>
      <c r="C11" s="44">
        <v>416</v>
      </c>
      <c r="D11" s="44">
        <v>416</v>
      </c>
      <c r="E11" s="45" t="s">
        <v>780</v>
      </c>
    </row>
    <row r="12" spans="1:6" ht="25.5" customHeight="1" x14ac:dyDescent="0.3">
      <c r="A12" s="42" t="s">
        <v>300</v>
      </c>
      <c r="B12" s="43" t="s">
        <v>292</v>
      </c>
      <c r="C12" s="44">
        <v>39995</v>
      </c>
      <c r="D12" s="44">
        <v>37608</v>
      </c>
      <c r="E12" s="45" t="s">
        <v>780</v>
      </c>
    </row>
    <row r="13" spans="1:6" ht="25.5" customHeight="1" x14ac:dyDescent="0.3">
      <c r="A13" s="42" t="s">
        <v>301</v>
      </c>
      <c r="B13" s="43" t="s">
        <v>292</v>
      </c>
      <c r="C13" s="44">
        <v>10521</v>
      </c>
      <c r="D13" s="44">
        <v>10858</v>
      </c>
      <c r="E13" s="45" t="s">
        <v>780</v>
      </c>
    </row>
    <row r="14" spans="1:6" ht="25.5" customHeight="1" x14ac:dyDescent="0.3">
      <c r="A14" s="42" t="s">
        <v>302</v>
      </c>
      <c r="B14" s="43" t="s">
        <v>292</v>
      </c>
      <c r="C14" s="44">
        <v>29474</v>
      </c>
      <c r="D14" s="44">
        <v>26750</v>
      </c>
      <c r="E14" s="45" t="s">
        <v>780</v>
      </c>
    </row>
    <row r="15" spans="1:6" ht="25.5" customHeight="1" x14ac:dyDescent="0.3">
      <c r="A15" s="42" t="s">
        <v>303</v>
      </c>
      <c r="B15" s="43" t="s">
        <v>292</v>
      </c>
      <c r="C15" s="44">
        <v>29440</v>
      </c>
      <c r="D15" s="44">
        <v>26713</v>
      </c>
      <c r="E15" s="45" t="s">
        <v>780</v>
      </c>
    </row>
    <row r="17" spans="1:5" ht="15" customHeight="1" x14ac:dyDescent="0.3">
      <c r="A17" s="186" t="s">
        <v>304</v>
      </c>
      <c r="B17" s="186"/>
      <c r="C17" s="186"/>
      <c r="D17" s="186"/>
      <c r="E17" s="186"/>
    </row>
    <row r="18" spans="1:5" ht="25.5" customHeight="1" x14ac:dyDescent="0.3">
      <c r="A18" s="42" t="s">
        <v>305</v>
      </c>
      <c r="B18" s="43" t="s">
        <v>292</v>
      </c>
      <c r="C18" s="44">
        <v>155967</v>
      </c>
      <c r="D18" s="44">
        <v>148903</v>
      </c>
      <c r="E18" s="45" t="s">
        <v>781</v>
      </c>
    </row>
    <row r="19" spans="1:5" ht="25.5" customHeight="1" x14ac:dyDescent="0.3">
      <c r="A19" s="42" t="s">
        <v>306</v>
      </c>
      <c r="B19" s="43" t="s">
        <v>292</v>
      </c>
      <c r="C19" s="44">
        <v>52478</v>
      </c>
      <c r="D19" s="44">
        <v>51804</v>
      </c>
      <c r="E19" s="45" t="s">
        <v>781</v>
      </c>
    </row>
    <row r="20" spans="1:5" ht="25.5" customHeight="1" x14ac:dyDescent="0.3">
      <c r="A20" s="42" t="s">
        <v>307</v>
      </c>
      <c r="B20" s="43" t="s">
        <v>292</v>
      </c>
      <c r="C20" s="46">
        <f>C18-C19</f>
        <v>103489</v>
      </c>
      <c r="D20" s="46">
        <f>D18-D19</f>
        <v>97099</v>
      </c>
      <c r="E20" s="45" t="s">
        <v>295</v>
      </c>
    </row>
    <row r="21" spans="1:5" ht="25.5" customHeight="1" x14ac:dyDescent="0.3">
      <c r="A21" s="42" t="s">
        <v>308</v>
      </c>
      <c r="B21" s="43" t="s">
        <v>292</v>
      </c>
      <c r="C21" s="44">
        <v>51167</v>
      </c>
      <c r="D21" s="44">
        <v>54249</v>
      </c>
      <c r="E21" s="45" t="s">
        <v>781</v>
      </c>
    </row>
    <row r="22" spans="1:5" ht="25.5" customHeight="1" x14ac:dyDescent="0.3">
      <c r="A22" s="42" t="s">
        <v>309</v>
      </c>
      <c r="B22" s="43" t="s">
        <v>292</v>
      </c>
      <c r="C22" s="46">
        <f>C20-C21</f>
        <v>52322</v>
      </c>
      <c r="D22" s="46">
        <f>D20-D21</f>
        <v>42850</v>
      </c>
      <c r="E22" s="45" t="s">
        <v>295</v>
      </c>
    </row>
    <row r="23" spans="1:5" ht="25.5" customHeight="1" x14ac:dyDescent="0.3">
      <c r="A23" s="42" t="s">
        <v>310</v>
      </c>
      <c r="B23" s="43" t="s">
        <v>292</v>
      </c>
      <c r="C23" s="44">
        <v>10348</v>
      </c>
      <c r="D23" s="44">
        <v>9850</v>
      </c>
      <c r="E23" s="45" t="s">
        <v>781</v>
      </c>
    </row>
    <row r="24" spans="1:5" ht="25.5" customHeight="1" x14ac:dyDescent="0.3">
      <c r="A24" s="42" t="s">
        <v>311</v>
      </c>
      <c r="B24" s="43" t="s">
        <v>292</v>
      </c>
      <c r="C24" s="46">
        <f>C22+C23</f>
        <v>62670</v>
      </c>
      <c r="D24" s="46">
        <f>D22+D23</f>
        <v>52700</v>
      </c>
      <c r="E24" s="45" t="s">
        <v>295</v>
      </c>
    </row>
    <row r="25" spans="1:5" ht="25.5" customHeight="1" x14ac:dyDescent="0.3">
      <c r="A25" s="42" t="s">
        <v>312</v>
      </c>
      <c r="B25" s="43" t="s">
        <v>292</v>
      </c>
      <c r="C25" s="44">
        <v>93297</v>
      </c>
      <c r="D25" s="44">
        <v>96203</v>
      </c>
      <c r="E25" s="45" t="s">
        <v>781</v>
      </c>
    </row>
    <row r="26" spans="1:5" ht="25.5" customHeight="1" x14ac:dyDescent="0.3">
      <c r="A26" s="42" t="s">
        <v>313</v>
      </c>
      <c r="B26" s="43" t="s">
        <v>292</v>
      </c>
      <c r="C26" s="46">
        <f>C18-C22</f>
        <v>103645</v>
      </c>
      <c r="D26" s="46">
        <f>D18-D22</f>
        <v>106053</v>
      </c>
      <c r="E26" s="45" t="s">
        <v>295</v>
      </c>
    </row>
    <row r="27" spans="1:5" ht="25.5" customHeight="1" x14ac:dyDescent="0.3">
      <c r="A27" s="42" t="s">
        <v>314</v>
      </c>
      <c r="B27" s="43" t="s">
        <v>292</v>
      </c>
      <c r="C27" s="44">
        <v>35234</v>
      </c>
      <c r="D27" s="44">
        <v>31158</v>
      </c>
      <c r="E27" s="45" t="s">
        <v>315</v>
      </c>
    </row>
    <row r="28" spans="1:5" ht="25.5" customHeight="1" x14ac:dyDescent="0.3">
      <c r="A28" s="42" t="s">
        <v>316</v>
      </c>
      <c r="B28" s="43" t="s">
        <v>292</v>
      </c>
      <c r="C28" s="44">
        <v>0</v>
      </c>
      <c r="D28" s="44">
        <v>0</v>
      </c>
      <c r="E28" s="45" t="s">
        <v>782</v>
      </c>
    </row>
    <row r="29" spans="1:5" ht="25.5" customHeight="1" x14ac:dyDescent="0.3">
      <c r="A29" s="42" t="s">
        <v>317</v>
      </c>
      <c r="B29" s="43" t="s">
        <v>292</v>
      </c>
      <c r="C29" s="44">
        <v>9176</v>
      </c>
      <c r="D29" s="44">
        <v>8222</v>
      </c>
      <c r="E29" s="45" t="s">
        <v>783</v>
      </c>
    </row>
    <row r="31" spans="1:5" ht="15" customHeight="1" x14ac:dyDescent="0.3">
      <c r="A31" s="186" t="s">
        <v>318</v>
      </c>
      <c r="B31" s="186"/>
      <c r="C31" s="186"/>
      <c r="D31" s="186"/>
      <c r="E31" s="186"/>
    </row>
    <row r="32" spans="1:5" ht="25.5" customHeight="1" x14ac:dyDescent="0.3">
      <c r="A32" s="42" t="s">
        <v>319</v>
      </c>
      <c r="B32" s="43" t="s">
        <v>320</v>
      </c>
      <c r="C32" s="47">
        <v>71.58</v>
      </c>
      <c r="D32" s="47">
        <v>64.5</v>
      </c>
      <c r="E32" s="45" t="s">
        <v>780</v>
      </c>
    </row>
    <row r="33" spans="1:5" ht="25.5" customHeight="1" x14ac:dyDescent="0.3">
      <c r="A33" s="42" t="s">
        <v>321</v>
      </c>
      <c r="B33" s="43" t="s">
        <v>322</v>
      </c>
      <c r="C33" s="47">
        <v>411.28</v>
      </c>
      <c r="D33" s="47">
        <v>414.16</v>
      </c>
      <c r="E33" s="45" t="s">
        <v>780</v>
      </c>
    </row>
    <row r="34" spans="1:5" ht="25.5" customHeight="1" x14ac:dyDescent="0.3">
      <c r="A34" s="42" t="s">
        <v>323</v>
      </c>
      <c r="B34" s="43" t="s">
        <v>320</v>
      </c>
      <c r="C34" s="47">
        <v>48</v>
      </c>
      <c r="D34" s="47">
        <v>43</v>
      </c>
      <c r="E34" s="45" t="s">
        <v>324</v>
      </c>
    </row>
    <row r="35" spans="1:5" ht="25.5" customHeight="1" x14ac:dyDescent="0.3">
      <c r="A35" s="42" t="s">
        <v>325</v>
      </c>
      <c r="B35" s="43" t="s">
        <v>320</v>
      </c>
      <c r="C35" s="47">
        <v>1165</v>
      </c>
      <c r="D35" s="47">
        <v>1165</v>
      </c>
      <c r="E35" s="45" t="s">
        <v>326</v>
      </c>
    </row>
    <row r="36" spans="1:5" ht="25.5" customHeight="1" x14ac:dyDescent="0.3">
      <c r="A36" s="42" t="s">
        <v>327</v>
      </c>
      <c r="B36" s="43" t="s">
        <v>320</v>
      </c>
      <c r="C36" s="48">
        <f>C25/C33</f>
        <v>226.8454580820852</v>
      </c>
      <c r="D36" s="48">
        <f>D25/D33</f>
        <v>232.28462429978751</v>
      </c>
      <c r="E36" s="45" t="s">
        <v>295</v>
      </c>
    </row>
    <row r="38" spans="1:5" ht="15" customHeight="1" x14ac:dyDescent="0.3">
      <c r="A38" s="49" t="s">
        <v>328</v>
      </c>
    </row>
  </sheetData>
  <mergeCells count="4">
    <mergeCell ref="A1:F1"/>
    <mergeCell ref="A4:E4"/>
    <mergeCell ref="A17:E17"/>
    <mergeCell ref="A31:E3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7"/>
  <sheetViews>
    <sheetView showGridLines="0" zoomScaleNormal="100" workbookViewId="0">
      <pane ySplit="3" topLeftCell="A4" activePane="bottomLeft" state="frozen"/>
      <selection pane="bottomLeft" activeCell="G9" sqref="G9"/>
    </sheetView>
  </sheetViews>
  <sheetFormatPr defaultColWidth="8.6640625" defaultRowHeight="14.4" x14ac:dyDescent="0.3"/>
  <cols>
    <col min="1" max="1" width="4" customWidth="1"/>
    <col min="2" max="2" width="24" customWidth="1"/>
    <col min="3" max="3" width="30" customWidth="1"/>
    <col min="4" max="4" width="40" customWidth="1"/>
    <col min="5" max="5" width="16.5546875" customWidth="1"/>
    <col min="6" max="6" width="14.109375" customWidth="1"/>
    <col min="7" max="7" width="58" customWidth="1"/>
  </cols>
  <sheetData>
    <row r="1" spans="1:8" ht="17.25" customHeight="1" x14ac:dyDescent="0.3">
      <c r="A1" s="185" t="s">
        <v>329</v>
      </c>
      <c r="B1" s="185"/>
      <c r="C1" s="185"/>
      <c r="D1" s="185"/>
      <c r="E1" s="185"/>
      <c r="F1" s="185"/>
      <c r="G1" s="185"/>
      <c r="H1" s="185"/>
    </row>
    <row r="3" spans="1:8" ht="33.75" customHeight="1" x14ac:dyDescent="0.3">
      <c r="A3" s="41" t="s">
        <v>330</v>
      </c>
      <c r="B3" s="41" t="s">
        <v>331</v>
      </c>
      <c r="C3" s="41" t="s">
        <v>332</v>
      </c>
      <c r="D3" s="41" t="s">
        <v>333</v>
      </c>
      <c r="E3" s="41" t="s">
        <v>334</v>
      </c>
      <c r="F3" s="41" t="s">
        <v>335</v>
      </c>
      <c r="G3" s="41" t="s">
        <v>201</v>
      </c>
    </row>
    <row r="4" spans="1:8" ht="19.5" customHeight="1" x14ac:dyDescent="0.3">
      <c r="A4" s="186" t="s">
        <v>336</v>
      </c>
      <c r="B4" s="186"/>
      <c r="C4" s="186"/>
      <c r="D4" s="186"/>
      <c r="E4" s="186"/>
      <c r="F4" s="186"/>
      <c r="G4" s="186"/>
    </row>
    <row r="5" spans="1:8" ht="84" customHeight="1" x14ac:dyDescent="0.3">
      <c r="A5" s="50">
        <v>1</v>
      </c>
      <c r="B5" s="51" t="s">
        <v>337</v>
      </c>
      <c r="C5" s="42" t="s">
        <v>338</v>
      </c>
      <c r="D5" s="42" t="s">
        <v>339</v>
      </c>
      <c r="E5" s="52">
        <f>'Input Data'!C20/'Input Data'!C22</f>
        <v>1.977925155766217</v>
      </c>
      <c r="F5" s="52">
        <f>'Input Data'!D20/'Input Data'!D22</f>
        <v>2.2660210035005832</v>
      </c>
      <c r="G5" s="151" t="s">
        <v>784</v>
      </c>
    </row>
    <row r="6" spans="1:8" ht="69.75" customHeight="1" x14ac:dyDescent="0.3">
      <c r="A6" s="50">
        <v>2</v>
      </c>
      <c r="B6" s="51" t="s">
        <v>340</v>
      </c>
      <c r="C6" s="42" t="s">
        <v>341</v>
      </c>
      <c r="D6" s="42" t="s">
        <v>342</v>
      </c>
      <c r="E6" s="52">
        <f>('Input Data'!C20-'Input Data'!C28)/'Input Data'!C22</f>
        <v>1.977925155766217</v>
      </c>
      <c r="F6" s="52">
        <f>('Input Data'!D20-'Input Data'!D28)/'Input Data'!D22</f>
        <v>2.2660210035005832</v>
      </c>
      <c r="G6" s="42" t="s">
        <v>343</v>
      </c>
    </row>
    <row r="7" spans="1:8" ht="19.5" customHeight="1" x14ac:dyDescent="0.3">
      <c r="A7" s="186" t="s">
        <v>344</v>
      </c>
      <c r="B7" s="186"/>
      <c r="C7" s="186"/>
      <c r="D7" s="186"/>
      <c r="E7" s="186"/>
      <c r="F7" s="186"/>
      <c r="G7" s="186"/>
    </row>
    <row r="8" spans="1:8" ht="69.75" customHeight="1" x14ac:dyDescent="0.3">
      <c r="A8" s="50">
        <v>3</v>
      </c>
      <c r="B8" s="51" t="s">
        <v>345</v>
      </c>
      <c r="C8" s="42" t="s">
        <v>346</v>
      </c>
      <c r="D8" s="42" t="s">
        <v>347</v>
      </c>
      <c r="E8" s="53">
        <f>'Input Data'!C7/'Input Data'!C5</f>
        <v>0.3017912118667786</v>
      </c>
      <c r="F8" s="53">
        <f>'Input Data'!D7/'Input Data'!D5</f>
        <v>0.30457696791214184</v>
      </c>
      <c r="G8" s="42" t="s">
        <v>348</v>
      </c>
    </row>
    <row r="9" spans="1:8" ht="69.75" customHeight="1" x14ac:dyDescent="0.3">
      <c r="A9" s="50">
        <v>4</v>
      </c>
      <c r="B9" s="51" t="s">
        <v>349</v>
      </c>
      <c r="C9" s="42" t="s">
        <v>350</v>
      </c>
      <c r="D9" s="42" t="s">
        <v>351</v>
      </c>
      <c r="E9" s="53">
        <f>'Input Data'!C9/'Input Data'!C5</f>
        <v>0.20293310943184997</v>
      </c>
      <c r="F9" s="53">
        <f>'Input Data'!D9/'Input Data'!D5</f>
        <v>0.21120314129701209</v>
      </c>
      <c r="G9" s="42" t="s">
        <v>352</v>
      </c>
    </row>
    <row r="10" spans="1:8" ht="42" customHeight="1" x14ac:dyDescent="0.3">
      <c r="A10" s="50">
        <v>5</v>
      </c>
      <c r="B10" s="51" t="s">
        <v>353</v>
      </c>
      <c r="C10" s="42" t="s">
        <v>354</v>
      </c>
      <c r="D10" s="42" t="s">
        <v>355</v>
      </c>
      <c r="E10" s="53">
        <f>'Input Data'!C14/'Input Data'!C5</f>
        <v>0.16498180800447804</v>
      </c>
      <c r="F10" s="53">
        <f>'Input Data'!D14/'Input Data'!D5</f>
        <v>0.16412049819007302</v>
      </c>
      <c r="G10" s="42" t="s">
        <v>356</v>
      </c>
    </row>
    <row r="11" spans="1:8" ht="55.5" customHeight="1" x14ac:dyDescent="0.3">
      <c r="A11" s="50">
        <v>6</v>
      </c>
      <c r="B11" s="51" t="s">
        <v>357</v>
      </c>
      <c r="C11" s="42" t="s">
        <v>358</v>
      </c>
      <c r="D11" s="42" t="s">
        <v>359</v>
      </c>
      <c r="E11" s="53">
        <f>'Input Data'!C14/'Input Data'!C18</f>
        <v>0.18897587310136119</v>
      </c>
      <c r="F11" s="53">
        <f>'Input Data'!D14/'Input Data'!D18</f>
        <v>0.17964715284446922</v>
      </c>
      <c r="G11" s="42" t="s">
        <v>360</v>
      </c>
    </row>
    <row r="12" spans="1:8" ht="55.5" customHeight="1" x14ac:dyDescent="0.3">
      <c r="A12" s="50">
        <v>7</v>
      </c>
      <c r="B12" s="51" t="s">
        <v>361</v>
      </c>
      <c r="C12" s="42" t="s">
        <v>362</v>
      </c>
      <c r="D12" s="42" t="s">
        <v>363</v>
      </c>
      <c r="E12" s="53">
        <f>'Input Data'!C14/'Input Data'!C25</f>
        <v>0.31591583866576634</v>
      </c>
      <c r="F12" s="53">
        <f>'Input Data'!D14/'Input Data'!D25</f>
        <v>0.2780578568235918</v>
      </c>
      <c r="G12" s="42" t="s">
        <v>364</v>
      </c>
    </row>
    <row r="13" spans="1:8" ht="42" customHeight="1" x14ac:dyDescent="0.3">
      <c r="A13" s="50">
        <v>8</v>
      </c>
      <c r="B13" s="51" t="s">
        <v>365</v>
      </c>
      <c r="C13" s="42" t="s">
        <v>366</v>
      </c>
      <c r="D13" s="42" t="s">
        <v>367</v>
      </c>
      <c r="E13" s="53">
        <f>'Input Data'!C9/'Input Data'!C26</f>
        <v>0.34979014906652517</v>
      </c>
      <c r="F13" s="53">
        <f>'Input Data'!D9/'Input Data'!D26</f>
        <v>0.32459242077074668</v>
      </c>
      <c r="G13" s="42" t="s">
        <v>368</v>
      </c>
    </row>
    <row r="14" spans="1:8" ht="19.5" customHeight="1" x14ac:dyDescent="0.3">
      <c r="A14" s="186" t="s">
        <v>369</v>
      </c>
      <c r="B14" s="186"/>
      <c r="C14" s="186"/>
      <c r="D14" s="186"/>
      <c r="E14" s="186"/>
      <c r="F14" s="186"/>
      <c r="G14" s="186"/>
    </row>
    <row r="15" spans="1:8" ht="69.75" customHeight="1" x14ac:dyDescent="0.3">
      <c r="A15" s="50">
        <v>9</v>
      </c>
      <c r="B15" s="51" t="s">
        <v>370</v>
      </c>
      <c r="C15" s="42" t="s">
        <v>371</v>
      </c>
      <c r="D15" s="42" t="s">
        <v>372</v>
      </c>
      <c r="E15" s="54" t="s">
        <v>373</v>
      </c>
      <c r="F15" s="54" t="s">
        <v>373</v>
      </c>
      <c r="G15" s="42" t="s">
        <v>374</v>
      </c>
    </row>
    <row r="16" spans="1:8" ht="55.5" customHeight="1" x14ac:dyDescent="0.3">
      <c r="A16" s="50">
        <v>10</v>
      </c>
      <c r="B16" s="51" t="s">
        <v>375</v>
      </c>
      <c r="C16" s="42" t="s">
        <v>376</v>
      </c>
      <c r="D16" s="42" t="s">
        <v>377</v>
      </c>
      <c r="E16" s="55">
        <f>'Input Data'!C5/'Input Data'!C27</f>
        <v>5.0703865584378729</v>
      </c>
      <c r="F16" s="55">
        <f>'Input Data'!D5/'Input Data'!D27</f>
        <v>5.2310803004043906</v>
      </c>
      <c r="G16" s="42" t="s">
        <v>378</v>
      </c>
    </row>
    <row r="17" spans="1:7" ht="42" customHeight="1" x14ac:dyDescent="0.3">
      <c r="A17" s="50">
        <v>11</v>
      </c>
      <c r="B17" s="51" t="s">
        <v>379</v>
      </c>
      <c r="C17" s="42" t="s">
        <v>380</v>
      </c>
      <c r="D17" s="42" t="s">
        <v>380</v>
      </c>
      <c r="E17" s="55">
        <f>'Input Data'!C5/'Input Data'!C18</f>
        <v>1.1454346111677469</v>
      </c>
      <c r="F17" s="55">
        <f>'Input Data'!D5/'Input Data'!D18</f>
        <v>1.094605212789534</v>
      </c>
      <c r="G17" s="42" t="s">
        <v>381</v>
      </c>
    </row>
    <row r="18" spans="1:7" ht="69.75" customHeight="1" x14ac:dyDescent="0.3">
      <c r="A18" s="50">
        <v>12</v>
      </c>
      <c r="B18" s="51" t="s">
        <v>382</v>
      </c>
      <c r="C18" s="42" t="s">
        <v>383</v>
      </c>
      <c r="D18" s="42" t="s">
        <v>384</v>
      </c>
      <c r="E18" s="55">
        <f>'Input Data'!C5/'Input Data'!C21</f>
        <v>3.4915081986436571</v>
      </c>
      <c r="F18" s="55">
        <f>'Input Data'!D5/'Input Data'!D21</f>
        <v>3.0044793452413869</v>
      </c>
      <c r="G18" s="42" t="s">
        <v>385</v>
      </c>
    </row>
    <row r="19" spans="1:7" ht="19.5" customHeight="1" x14ac:dyDescent="0.3">
      <c r="A19" s="186" t="s">
        <v>386</v>
      </c>
      <c r="B19" s="186"/>
      <c r="C19" s="186"/>
      <c r="D19" s="186"/>
      <c r="E19" s="186"/>
      <c r="F19" s="186"/>
      <c r="G19" s="186"/>
    </row>
    <row r="20" spans="1:7" ht="55.5" customHeight="1" x14ac:dyDescent="0.3">
      <c r="A20" s="50">
        <v>13</v>
      </c>
      <c r="B20" s="51" t="s">
        <v>387</v>
      </c>
      <c r="C20" s="42" t="s">
        <v>388</v>
      </c>
      <c r="D20" s="42" t="s">
        <v>389</v>
      </c>
      <c r="E20" s="55">
        <f>'Input Data'!C29/'Input Data'!C25</f>
        <v>9.8352572965904578E-2</v>
      </c>
      <c r="F20" s="55">
        <f>'Input Data'!D29/'Input Data'!D25</f>
        <v>8.546511023564754E-2</v>
      </c>
      <c r="G20" s="42" t="s">
        <v>390</v>
      </c>
    </row>
    <row r="21" spans="1:7" ht="55.5" customHeight="1" x14ac:dyDescent="0.3">
      <c r="A21" s="50">
        <v>14</v>
      </c>
      <c r="B21" s="51" t="s">
        <v>391</v>
      </c>
      <c r="C21" s="42" t="s">
        <v>392</v>
      </c>
      <c r="D21" s="42" t="s">
        <v>393</v>
      </c>
      <c r="E21" s="55">
        <f>'Input Data'!C9/'Input Data'!C11</f>
        <v>87.149038461538467</v>
      </c>
      <c r="F21" s="55">
        <f>'Input Data'!D9/'Input Data'!D11</f>
        <v>82.75</v>
      </c>
      <c r="G21" s="42" t="s">
        <v>394</v>
      </c>
    </row>
    <row r="22" spans="1:7" ht="84" customHeight="1" x14ac:dyDescent="0.3">
      <c r="A22" s="50">
        <v>15</v>
      </c>
      <c r="B22" s="51" t="s">
        <v>395</v>
      </c>
      <c r="C22" s="42" t="s">
        <v>396</v>
      </c>
      <c r="D22" s="42" t="s">
        <v>397</v>
      </c>
      <c r="E22" s="54" t="s">
        <v>373</v>
      </c>
      <c r="F22" s="54" t="s">
        <v>373</v>
      </c>
      <c r="G22" s="42" t="s">
        <v>398</v>
      </c>
    </row>
    <row r="23" spans="1:7" ht="19.5" customHeight="1" x14ac:dyDescent="0.3">
      <c r="A23" s="186" t="s">
        <v>399</v>
      </c>
      <c r="B23" s="186"/>
      <c r="C23" s="186"/>
      <c r="D23" s="186"/>
      <c r="E23" s="186"/>
      <c r="F23" s="186"/>
      <c r="G23" s="186"/>
    </row>
    <row r="24" spans="1:7" ht="42" customHeight="1" x14ac:dyDescent="0.3">
      <c r="A24" s="50">
        <v>16</v>
      </c>
      <c r="B24" s="51" t="s">
        <v>400</v>
      </c>
      <c r="C24" s="42" t="s">
        <v>401</v>
      </c>
      <c r="D24" s="42" t="s">
        <v>402</v>
      </c>
      <c r="E24" s="56">
        <f>'Input Data'!C32</f>
        <v>71.58</v>
      </c>
      <c r="F24" s="56">
        <f>'Input Data'!D32</f>
        <v>64.5</v>
      </c>
      <c r="G24" s="42" t="s">
        <v>403</v>
      </c>
    </row>
    <row r="25" spans="1:7" ht="111.75" customHeight="1" x14ac:dyDescent="0.3">
      <c r="A25" s="50">
        <v>17</v>
      </c>
      <c r="B25" s="51" t="s">
        <v>404</v>
      </c>
      <c r="C25" s="42" t="s">
        <v>405</v>
      </c>
      <c r="D25" s="42" t="s">
        <v>406</v>
      </c>
      <c r="E25" s="55">
        <f>'Input Data'!C35/'Input Data'!C32</f>
        <v>16.275495948588993</v>
      </c>
      <c r="F25" s="55">
        <f>'Input Data'!D35/'Input Data'!D32</f>
        <v>18.062015503875969</v>
      </c>
      <c r="G25" s="42" t="s">
        <v>407</v>
      </c>
    </row>
    <row r="26" spans="1:7" ht="69.75" customHeight="1" x14ac:dyDescent="0.3">
      <c r="A26" s="50">
        <v>18</v>
      </c>
      <c r="B26" s="51" t="s">
        <v>408</v>
      </c>
      <c r="C26" s="42" t="s">
        <v>409</v>
      </c>
      <c r="D26" s="42" t="s">
        <v>410</v>
      </c>
      <c r="E26" s="53">
        <f>'Input Data'!C34/'Input Data'!C32</f>
        <v>0.67057837384744345</v>
      </c>
      <c r="F26" s="53">
        <f>'Input Data'!D34/'Input Data'!D32</f>
        <v>0.66666666666666663</v>
      </c>
      <c r="G26" s="42" t="s">
        <v>411</v>
      </c>
    </row>
    <row r="27" spans="1:7" ht="69.75" customHeight="1" x14ac:dyDescent="0.3">
      <c r="A27" s="50">
        <v>19</v>
      </c>
      <c r="B27" s="51" t="s">
        <v>327</v>
      </c>
      <c r="C27" s="42" t="s">
        <v>412</v>
      </c>
      <c r="D27" s="42" t="s">
        <v>413</v>
      </c>
      <c r="E27" s="56">
        <f>'Input Data'!C36</f>
        <v>226.8454580820852</v>
      </c>
      <c r="F27" s="56">
        <f>'Input Data'!D36</f>
        <v>232.28462429978751</v>
      </c>
      <c r="G27" s="42" t="s">
        <v>414</v>
      </c>
    </row>
  </sheetData>
  <mergeCells count="6">
    <mergeCell ref="A23:G23"/>
    <mergeCell ref="A1:H1"/>
    <mergeCell ref="A4:G4"/>
    <mergeCell ref="A7:G7"/>
    <mergeCell ref="A14:G14"/>
    <mergeCell ref="A19:G19"/>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2"/>
  <sheetViews>
    <sheetView showGridLines="0" zoomScaleNormal="100" workbookViewId="0">
      <pane ySplit="3" topLeftCell="A4" activePane="bottomLeft" state="frozen"/>
      <selection pane="bottomLeft" sqref="A1:F1"/>
    </sheetView>
  </sheetViews>
  <sheetFormatPr defaultColWidth="8.6640625" defaultRowHeight="14.4" x14ac:dyDescent="0.3"/>
  <cols>
    <col min="1" max="1" width="58" customWidth="1"/>
    <col min="2" max="2" width="12" customWidth="1"/>
    <col min="3" max="3" width="17.109375" customWidth="1"/>
    <col min="4" max="4" width="19.77734375" customWidth="1"/>
    <col min="5" max="5" width="55" customWidth="1"/>
  </cols>
  <sheetData>
    <row r="1" spans="1:6" ht="15.75" customHeight="1" x14ac:dyDescent="0.3">
      <c r="A1" s="187" t="s">
        <v>415</v>
      </c>
      <c r="B1" s="187"/>
      <c r="C1" s="187"/>
      <c r="D1" s="187"/>
      <c r="E1" s="187"/>
      <c r="F1" s="187"/>
    </row>
    <row r="3" spans="1:6" ht="30" customHeight="1" x14ac:dyDescent="0.3">
      <c r="A3" s="41" t="s">
        <v>286</v>
      </c>
      <c r="B3" s="41" t="s">
        <v>287</v>
      </c>
      <c r="C3" s="41" t="s">
        <v>416</v>
      </c>
      <c r="D3" s="41" t="s">
        <v>417</v>
      </c>
      <c r="E3" s="41" t="s">
        <v>231</v>
      </c>
    </row>
    <row r="4" spans="1:6" ht="15" customHeight="1" x14ac:dyDescent="0.3">
      <c r="A4" s="186" t="s">
        <v>290</v>
      </c>
      <c r="B4" s="186"/>
      <c r="C4" s="186"/>
      <c r="D4" s="186"/>
      <c r="E4" s="186"/>
    </row>
    <row r="5" spans="1:6" ht="25.5" customHeight="1" x14ac:dyDescent="0.3">
      <c r="A5" s="42" t="s">
        <v>291</v>
      </c>
      <c r="B5" s="43" t="s">
        <v>292</v>
      </c>
      <c r="C5" s="44">
        <v>267021</v>
      </c>
      <c r="D5" s="44">
        <v>130144</v>
      </c>
      <c r="E5" s="45" t="s">
        <v>418</v>
      </c>
    </row>
    <row r="6" spans="1:6" ht="25.5" customHeight="1" x14ac:dyDescent="0.3">
      <c r="A6" s="42" t="s">
        <v>419</v>
      </c>
      <c r="B6" s="43" t="s">
        <v>292</v>
      </c>
      <c r="C6" s="44">
        <v>200183</v>
      </c>
      <c r="D6" s="44">
        <v>107747</v>
      </c>
      <c r="E6" s="45" t="s">
        <v>420</v>
      </c>
    </row>
    <row r="7" spans="1:6" ht="25.5" customHeight="1" x14ac:dyDescent="0.3">
      <c r="A7" s="42" t="s">
        <v>297</v>
      </c>
      <c r="B7" s="43" t="s">
        <v>292</v>
      </c>
      <c r="C7" s="46">
        <f>C5-C6</f>
        <v>66838</v>
      </c>
      <c r="D7" s="46">
        <f>D5-D6</f>
        <v>22397</v>
      </c>
      <c r="E7" s="45" t="s">
        <v>421</v>
      </c>
    </row>
    <row r="8" spans="1:6" ht="25.5" customHeight="1" x14ac:dyDescent="0.3">
      <c r="A8" s="42" t="s">
        <v>299</v>
      </c>
      <c r="B8" s="43" t="s">
        <v>292</v>
      </c>
      <c r="C8" s="44">
        <v>1227</v>
      </c>
      <c r="D8" s="44">
        <v>869</v>
      </c>
      <c r="E8" s="45" t="s">
        <v>418</v>
      </c>
    </row>
    <row r="9" spans="1:6" ht="25.5" customHeight="1" x14ac:dyDescent="0.3">
      <c r="A9" s="42" t="s">
        <v>422</v>
      </c>
      <c r="B9" s="43" t="s">
        <v>292</v>
      </c>
      <c r="C9" s="44">
        <v>5560</v>
      </c>
      <c r="D9" s="44">
        <v>4355</v>
      </c>
      <c r="E9" s="45" t="s">
        <v>418</v>
      </c>
    </row>
    <row r="10" spans="1:6" ht="25.5" customHeight="1" x14ac:dyDescent="0.3">
      <c r="A10" s="42" t="s">
        <v>423</v>
      </c>
      <c r="B10" s="43" t="s">
        <v>292</v>
      </c>
      <c r="C10" s="44">
        <v>49454</v>
      </c>
      <c r="D10" s="44">
        <v>16652</v>
      </c>
      <c r="E10" s="45" t="s">
        <v>418</v>
      </c>
    </row>
    <row r="12" spans="1:6" ht="15" customHeight="1" x14ac:dyDescent="0.3">
      <c r="A12" s="186" t="s">
        <v>304</v>
      </c>
      <c r="B12" s="186"/>
      <c r="C12" s="186"/>
      <c r="D12" s="186"/>
      <c r="E12" s="186"/>
    </row>
    <row r="13" spans="1:6" ht="25.5" customHeight="1" x14ac:dyDescent="0.3">
      <c r="A13" s="42" t="s">
        <v>305</v>
      </c>
      <c r="B13" s="43" t="s">
        <v>292</v>
      </c>
      <c r="C13" s="44">
        <v>182372</v>
      </c>
      <c r="D13" s="44">
        <v>116258</v>
      </c>
      <c r="E13" s="45" t="s">
        <v>424</v>
      </c>
    </row>
    <row r="14" spans="1:6" ht="25.5" customHeight="1" x14ac:dyDescent="0.3">
      <c r="A14" s="42" t="s">
        <v>307</v>
      </c>
      <c r="B14" s="43" t="s">
        <v>292</v>
      </c>
      <c r="C14" s="44">
        <v>135705</v>
      </c>
      <c r="D14" s="44">
        <v>70542</v>
      </c>
      <c r="E14" s="45" t="s">
        <v>424</v>
      </c>
    </row>
    <row r="15" spans="1:6" ht="25.5" customHeight="1" x14ac:dyDescent="0.3">
      <c r="A15" s="42" t="s">
        <v>309</v>
      </c>
      <c r="B15" s="43" t="s">
        <v>292</v>
      </c>
      <c r="C15" s="44">
        <v>60914</v>
      </c>
      <c r="D15" s="44">
        <v>31826</v>
      </c>
      <c r="E15" s="45" t="s">
        <v>424</v>
      </c>
    </row>
    <row r="16" spans="1:6" ht="25.5" customHeight="1" x14ac:dyDescent="0.3">
      <c r="A16" s="42" t="s">
        <v>308</v>
      </c>
      <c r="B16" s="43" t="s">
        <v>292</v>
      </c>
      <c r="C16" s="46">
        <f>C14-C15</f>
        <v>74791</v>
      </c>
      <c r="D16" s="46">
        <f>D14-D15</f>
        <v>38716</v>
      </c>
      <c r="E16" s="45" t="s">
        <v>421</v>
      </c>
    </row>
    <row r="17" spans="1:5" ht="25.5" customHeight="1" x14ac:dyDescent="0.3">
      <c r="A17" s="42" t="s">
        <v>312</v>
      </c>
      <c r="B17" s="43" t="s">
        <v>292</v>
      </c>
      <c r="C17" s="44">
        <v>108478</v>
      </c>
      <c r="D17" s="44">
        <v>75197</v>
      </c>
      <c r="E17" s="45" t="s">
        <v>424</v>
      </c>
    </row>
    <row r="18" spans="1:5" ht="25.5" customHeight="1" x14ac:dyDescent="0.3">
      <c r="A18" s="42" t="s">
        <v>425</v>
      </c>
      <c r="B18" s="43" t="s">
        <v>292</v>
      </c>
      <c r="C18" s="44">
        <v>107240</v>
      </c>
      <c r="D18" s="44">
        <v>75165</v>
      </c>
      <c r="E18" s="45" t="s">
        <v>424</v>
      </c>
    </row>
    <row r="19" spans="1:5" ht="25.5" customHeight="1" x14ac:dyDescent="0.3">
      <c r="A19" s="42" t="s">
        <v>313</v>
      </c>
      <c r="B19" s="43" t="s">
        <v>292</v>
      </c>
      <c r="C19" s="46">
        <f>C13-C15</f>
        <v>121458</v>
      </c>
      <c r="D19" s="46">
        <f>D13-D15</f>
        <v>84432</v>
      </c>
      <c r="E19" s="45" t="s">
        <v>421</v>
      </c>
    </row>
    <row r="20" spans="1:5" ht="25.5" customHeight="1" x14ac:dyDescent="0.3">
      <c r="A20" s="42" t="s">
        <v>426</v>
      </c>
      <c r="B20" s="43" t="s">
        <v>292</v>
      </c>
      <c r="C20" s="44">
        <v>57630</v>
      </c>
      <c r="D20" s="44">
        <v>23585</v>
      </c>
      <c r="E20" s="45" t="s">
        <v>424</v>
      </c>
    </row>
    <row r="21" spans="1:5" ht="25.5" customHeight="1" x14ac:dyDescent="0.3">
      <c r="A21" s="42" t="s">
        <v>316</v>
      </c>
      <c r="B21" s="43" t="s">
        <v>292</v>
      </c>
      <c r="C21" s="44">
        <v>29</v>
      </c>
      <c r="D21" s="44">
        <v>239</v>
      </c>
      <c r="E21" s="45" t="s">
        <v>424</v>
      </c>
    </row>
    <row r="22" spans="1:5" ht="25.5" customHeight="1" x14ac:dyDescent="0.3">
      <c r="A22" s="42" t="s">
        <v>427</v>
      </c>
      <c r="B22" s="43" t="s">
        <v>292</v>
      </c>
      <c r="C22" s="44">
        <v>11283</v>
      </c>
      <c r="D22" s="44">
        <v>5215</v>
      </c>
      <c r="E22" s="45" t="s">
        <v>428</v>
      </c>
    </row>
    <row r="23" spans="1:5" ht="25.5" customHeight="1" x14ac:dyDescent="0.3">
      <c r="A23" s="42" t="s">
        <v>429</v>
      </c>
      <c r="B23" s="43" t="s">
        <v>292</v>
      </c>
      <c r="C23" s="44">
        <v>3057</v>
      </c>
      <c r="D23" s="44">
        <v>1998</v>
      </c>
      <c r="E23" s="45" t="s">
        <v>430</v>
      </c>
    </row>
    <row r="25" spans="1:5" ht="15" customHeight="1" x14ac:dyDescent="0.3">
      <c r="A25" s="186" t="s">
        <v>318</v>
      </c>
      <c r="B25" s="186"/>
      <c r="C25" s="186"/>
      <c r="D25" s="186"/>
      <c r="E25" s="186"/>
    </row>
    <row r="26" spans="1:5" ht="25.5" customHeight="1" x14ac:dyDescent="0.3">
      <c r="A26" s="42" t="s">
        <v>319</v>
      </c>
      <c r="B26" s="43" t="s">
        <v>320</v>
      </c>
      <c r="C26" s="47">
        <v>136.01</v>
      </c>
      <c r="D26" s="47">
        <v>61.46</v>
      </c>
      <c r="E26" s="45" t="s">
        <v>418</v>
      </c>
    </row>
    <row r="27" spans="1:5" ht="25.5" customHeight="1" x14ac:dyDescent="0.3">
      <c r="A27" s="42" t="s">
        <v>321</v>
      </c>
      <c r="B27" s="43" t="s">
        <v>322</v>
      </c>
      <c r="C27" s="47">
        <v>361.81</v>
      </c>
      <c r="D27" s="47">
        <v>270.76</v>
      </c>
      <c r="E27" s="45" t="s">
        <v>418</v>
      </c>
    </row>
    <row r="28" spans="1:5" ht="25.5" customHeight="1" x14ac:dyDescent="0.3">
      <c r="A28" s="42" t="s">
        <v>431</v>
      </c>
      <c r="B28" s="43" t="s">
        <v>320</v>
      </c>
      <c r="C28" s="47">
        <v>64</v>
      </c>
      <c r="D28" s="47">
        <v>54</v>
      </c>
      <c r="E28" s="45" t="s">
        <v>432</v>
      </c>
    </row>
    <row r="29" spans="1:5" ht="25.5" customHeight="1" x14ac:dyDescent="0.3">
      <c r="A29" s="42" t="s">
        <v>325</v>
      </c>
      <c r="B29" s="43" t="s">
        <v>320</v>
      </c>
      <c r="C29" s="47">
        <v>2373</v>
      </c>
      <c r="D29" s="47">
        <v>1335</v>
      </c>
      <c r="E29" s="45" t="s">
        <v>433</v>
      </c>
    </row>
    <row r="30" spans="1:5" ht="25.5" customHeight="1" x14ac:dyDescent="0.3">
      <c r="A30" s="42" t="s">
        <v>434</v>
      </c>
      <c r="B30" s="43" t="s">
        <v>320</v>
      </c>
      <c r="C30" s="48">
        <f>C18/C27</f>
        <v>296.39866228130785</v>
      </c>
      <c r="D30" s="48">
        <f>D18/D27</f>
        <v>277.60747525483822</v>
      </c>
      <c r="E30" s="45" t="s">
        <v>421</v>
      </c>
    </row>
    <row r="32" spans="1:5" ht="15" customHeight="1" x14ac:dyDescent="0.3">
      <c r="A32" s="49" t="s">
        <v>435</v>
      </c>
    </row>
  </sheetData>
  <mergeCells count="4">
    <mergeCell ref="A1:F1"/>
    <mergeCell ref="A4:E4"/>
    <mergeCell ref="A12:E12"/>
    <mergeCell ref="A25:E25"/>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7"/>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1" width="4" customWidth="1"/>
    <col min="2" max="2" width="26" customWidth="1"/>
    <col min="3" max="3" width="13" customWidth="1"/>
    <col min="4" max="4" width="15.109375" customWidth="1"/>
    <col min="5" max="5" width="13.33203125" customWidth="1"/>
    <col min="6" max="6" width="18" customWidth="1"/>
  </cols>
  <sheetData>
    <row r="1" spans="1:6" ht="17.25" customHeight="1" x14ac:dyDescent="0.3">
      <c r="A1" s="185" t="s">
        <v>436</v>
      </c>
      <c r="B1" s="185"/>
      <c r="C1" s="185"/>
      <c r="D1" s="185"/>
      <c r="E1" s="185"/>
      <c r="F1" s="185"/>
    </row>
    <row r="2" spans="1:6" ht="15" customHeight="1" x14ac:dyDescent="0.3">
      <c r="A2" s="189" t="s">
        <v>437</v>
      </c>
      <c r="B2" s="189"/>
      <c r="C2" s="189"/>
      <c r="D2" s="189"/>
      <c r="E2" s="189"/>
      <c r="F2" s="189"/>
    </row>
    <row r="4" spans="1:6" ht="19.5" customHeight="1" x14ac:dyDescent="0.3">
      <c r="A4" s="41" t="s">
        <v>330</v>
      </c>
      <c r="B4" s="41" t="s">
        <v>331</v>
      </c>
      <c r="C4" s="41" t="s">
        <v>226</v>
      </c>
      <c r="D4" s="41" t="s">
        <v>227</v>
      </c>
      <c r="E4" s="41" t="s">
        <v>438</v>
      </c>
      <c r="F4" s="41" t="s">
        <v>439</v>
      </c>
    </row>
    <row r="5" spans="1:6" ht="18" customHeight="1" x14ac:dyDescent="0.3">
      <c r="A5" s="50">
        <v>1</v>
      </c>
      <c r="B5" s="57" t="s">
        <v>337</v>
      </c>
      <c r="C5" s="58">
        <f>'Input Data'!C20/'Input Data'!C22</f>
        <v>1.977925155766217</v>
      </c>
      <c r="D5" s="58">
        <f>'Peer Input Data'!C14/'Peer Input Data'!C15</f>
        <v>2.2278129822372525</v>
      </c>
      <c r="E5" s="58">
        <f>'Peer Input Data'!D14/'Peer Input Data'!D15</f>
        <v>2.2164896625400616</v>
      </c>
      <c r="F5" s="59" t="str">
        <f t="shared" ref="F5:F14" si="0">IF(AND(C5&gt;=D5,C5&gt;=E5),"Infosys",IF(AND(D5&gt;=C5,D5&gt;=E5),"TCS","HCLTech"))</f>
        <v>TCS</v>
      </c>
    </row>
    <row r="6" spans="1:6" ht="18" customHeight="1" x14ac:dyDescent="0.3">
      <c r="A6" s="50">
        <v>2</v>
      </c>
      <c r="B6" s="57" t="s">
        <v>340</v>
      </c>
      <c r="C6" s="58">
        <f>('Input Data'!C20-'Input Data'!C28)/'Input Data'!C22</f>
        <v>1.977925155766217</v>
      </c>
      <c r="D6" s="58">
        <f>('Peer Input Data'!C14-'Peer Input Data'!C21)/'Peer Input Data'!C15</f>
        <v>2.2273369012049775</v>
      </c>
      <c r="E6" s="58">
        <f>('Peer Input Data'!D14-'Peer Input Data'!D21)/'Peer Input Data'!D15</f>
        <v>2.2089800791805443</v>
      </c>
      <c r="F6" s="59" t="str">
        <f t="shared" si="0"/>
        <v>TCS</v>
      </c>
    </row>
    <row r="7" spans="1:6" ht="18" customHeight="1" x14ac:dyDescent="0.3">
      <c r="A7" s="50">
        <v>3</v>
      </c>
      <c r="B7" s="57" t="s">
        <v>349</v>
      </c>
      <c r="C7" s="60">
        <f>'Input Data'!C9/'Input Data'!C5</f>
        <v>0.20293310943184997</v>
      </c>
      <c r="D7" s="60">
        <f>'Peer Input Data'!C7/'Peer Input Data'!C5</f>
        <v>0.25030990071941905</v>
      </c>
      <c r="E7" s="60">
        <f>'Peer Input Data'!D7/'Peer Input Data'!D5</f>
        <v>0.1720939881976887</v>
      </c>
      <c r="F7" s="59" t="str">
        <f t="shared" si="0"/>
        <v>TCS</v>
      </c>
    </row>
    <row r="8" spans="1:6" ht="18" customHeight="1" x14ac:dyDescent="0.3">
      <c r="A8" s="50">
        <v>4</v>
      </c>
      <c r="B8" s="57" t="s">
        <v>353</v>
      </c>
      <c r="C8" s="60">
        <f>'Input Data'!C14/'Input Data'!C5</f>
        <v>0.16498180800447804</v>
      </c>
      <c r="D8" s="60">
        <f>'Peer Input Data'!C10/'Peer Input Data'!C5</f>
        <v>0.18520640698671639</v>
      </c>
      <c r="E8" s="60">
        <f>'Peer Input Data'!D10/'Peer Input Data'!D5</f>
        <v>0.12795057782149005</v>
      </c>
      <c r="F8" s="59" t="str">
        <f t="shared" si="0"/>
        <v>TCS</v>
      </c>
    </row>
    <row r="9" spans="1:6" ht="18" customHeight="1" x14ac:dyDescent="0.3">
      <c r="A9" s="50">
        <v>5</v>
      </c>
      <c r="B9" s="57" t="s">
        <v>440</v>
      </c>
      <c r="C9" s="60">
        <f>'Input Data'!C14/'Input Data'!C18</f>
        <v>0.18897587310136119</v>
      </c>
      <c r="D9" s="60">
        <f>'Peer Input Data'!C10/'Peer Input Data'!C13</f>
        <v>0.27117101309411534</v>
      </c>
      <c r="E9" s="60">
        <f>'Peer Input Data'!D10/'Peer Input Data'!D13</f>
        <v>0.14323315384747717</v>
      </c>
      <c r="F9" s="59" t="str">
        <f t="shared" si="0"/>
        <v>TCS</v>
      </c>
    </row>
    <row r="10" spans="1:6" ht="18" customHeight="1" x14ac:dyDescent="0.3">
      <c r="A10" s="50">
        <v>6</v>
      </c>
      <c r="B10" s="57" t="s">
        <v>441</v>
      </c>
      <c r="C10" s="60">
        <f>'Input Data'!C14/'Input Data'!C25</f>
        <v>0.31591583866576634</v>
      </c>
      <c r="D10" s="60">
        <f>'Peer Input Data'!C10/'Peer Input Data'!C17</f>
        <v>0.45588967348218074</v>
      </c>
      <c r="E10" s="60">
        <f>'Peer Input Data'!D10/'Peer Input Data'!D17</f>
        <v>0.22144500445496496</v>
      </c>
      <c r="F10" s="59" t="str">
        <f t="shared" si="0"/>
        <v>TCS</v>
      </c>
    </row>
    <row r="11" spans="1:6" ht="18" customHeight="1" x14ac:dyDescent="0.3">
      <c r="A11" s="50">
        <v>7</v>
      </c>
      <c r="B11" s="57" t="s">
        <v>442</v>
      </c>
      <c r="C11" s="60">
        <f>'Input Data'!C9/'Input Data'!C26</f>
        <v>0.34979014906652517</v>
      </c>
      <c r="D11" s="60">
        <f>'Peer Input Data'!C7/'Peer Input Data'!C19</f>
        <v>0.55029722208500054</v>
      </c>
      <c r="E11" s="60">
        <f>'Peer Input Data'!D7/'Peer Input Data'!D19</f>
        <v>0.26526672351714992</v>
      </c>
      <c r="F11" s="59" t="str">
        <f t="shared" si="0"/>
        <v>TCS</v>
      </c>
    </row>
    <row r="12" spans="1:6" ht="18" customHeight="1" x14ac:dyDescent="0.3">
      <c r="A12" s="50">
        <v>8</v>
      </c>
      <c r="B12" s="57" t="s">
        <v>375</v>
      </c>
      <c r="C12" s="61">
        <f>'Input Data'!C5/'Input Data'!C27</f>
        <v>5.0703865584378729</v>
      </c>
      <c r="D12" s="61">
        <f>'Peer Input Data'!C5/'Peer Input Data'!C20</f>
        <v>4.6333680374804791</v>
      </c>
      <c r="E12" s="61">
        <f>'Peer Input Data'!D5/'Peer Input Data'!D20</f>
        <v>5.5180835276658895</v>
      </c>
      <c r="F12" s="59" t="str">
        <f t="shared" si="0"/>
        <v>HCLTech</v>
      </c>
    </row>
    <row r="13" spans="1:6" ht="18" customHeight="1" x14ac:dyDescent="0.3">
      <c r="A13" s="50">
        <v>9</v>
      </c>
      <c r="B13" s="57" t="s">
        <v>379</v>
      </c>
      <c r="C13" s="61">
        <f>'Input Data'!C5/'Input Data'!C18</f>
        <v>1.1454346111677469</v>
      </c>
      <c r="D13" s="61">
        <f>'Peer Input Data'!C5/'Peer Input Data'!C13</f>
        <v>1.4641556817932577</v>
      </c>
      <c r="E13" s="61">
        <f>'Peer Input Data'!D5/'Peer Input Data'!D13</f>
        <v>1.1194412427531868</v>
      </c>
      <c r="F13" s="59" t="str">
        <f t="shared" si="0"/>
        <v>TCS</v>
      </c>
    </row>
    <row r="14" spans="1:6" ht="18" customHeight="1" x14ac:dyDescent="0.3">
      <c r="A14" s="50">
        <v>10</v>
      </c>
      <c r="B14" s="57" t="s">
        <v>382</v>
      </c>
      <c r="C14" s="61">
        <f>'Input Data'!C5/'Input Data'!C21</f>
        <v>3.4915081986436571</v>
      </c>
      <c r="D14" s="61">
        <f>'Peer Input Data'!C5/'Peer Input Data'!C16</f>
        <v>3.5702290382532658</v>
      </c>
      <c r="E14" s="61">
        <f>'Peer Input Data'!D5/'Peer Input Data'!D16</f>
        <v>3.3615042876330201</v>
      </c>
      <c r="F14" s="59" t="str">
        <f t="shared" si="0"/>
        <v>TCS</v>
      </c>
    </row>
    <row r="15" spans="1:6" ht="18" customHeight="1" x14ac:dyDescent="0.3">
      <c r="A15" s="50">
        <v>11</v>
      </c>
      <c r="B15" s="57" t="s">
        <v>443</v>
      </c>
      <c r="C15" s="61">
        <f>'Input Data'!C29/'Input Data'!C25</f>
        <v>9.8352572965904578E-2</v>
      </c>
      <c r="D15" s="61">
        <f>'Peer Input Data'!C22/'Peer Input Data'!C17</f>
        <v>0.10401187337524659</v>
      </c>
      <c r="E15" s="61">
        <f>'Peer Input Data'!D22/'Peer Input Data'!D17</f>
        <v>6.9351170924371985E-2</v>
      </c>
      <c r="F15" s="59" t="str">
        <f>IF(AND(C15&lt;=D15,C15&lt;=E15),"Infosys",IF(AND(D15&lt;=C15,D15&lt;=E15),"TCS","HCLTech"))</f>
        <v>HCLTech</v>
      </c>
    </row>
    <row r="16" spans="1:6" ht="18" customHeight="1" x14ac:dyDescent="0.3">
      <c r="A16" s="50">
        <v>12</v>
      </c>
      <c r="B16" s="57" t="s">
        <v>444</v>
      </c>
      <c r="C16" s="61">
        <f>'Input Data'!C9/'Input Data'!C11</f>
        <v>87.149038461538467</v>
      </c>
      <c r="D16" s="61">
        <f>'Peer Input Data'!C7/'Peer Input Data'!C8</f>
        <v>54.472697636511818</v>
      </c>
      <c r="E16" s="61">
        <f>'Peer Input Data'!D7/'Peer Input Data'!D8</f>
        <v>25.773302646720367</v>
      </c>
      <c r="F16" s="59" t="str">
        <f>IF(AND(C16&gt;=D16,C16&gt;=E16),"Infosys",IF(AND(D16&gt;=C16,D16&gt;=E16),"TCS","HCLTech"))</f>
        <v>Infosys</v>
      </c>
    </row>
    <row r="17" spans="1:6" ht="18" customHeight="1" x14ac:dyDescent="0.3">
      <c r="A17" s="50">
        <v>13</v>
      </c>
      <c r="B17" s="57" t="s">
        <v>445</v>
      </c>
      <c r="C17" s="61" t="str">
        <f>"N/A"</f>
        <v>N/A</v>
      </c>
      <c r="D17" s="61">
        <f>('Peer Input Data'!C10+'Peer Input Data'!C8+'Peer Input Data'!C9)/'Peer Input Data'!C23</f>
        <v>18.397448478900884</v>
      </c>
      <c r="E17" s="61">
        <f>('Peer Input Data'!D10+'Peer Input Data'!D8+'Peer Input Data'!D9)/'Peer Input Data'!D23</f>
        <v>10.948948948948949</v>
      </c>
      <c r="F17" s="62" t="s">
        <v>446</v>
      </c>
    </row>
    <row r="18" spans="1:6" ht="18" customHeight="1" x14ac:dyDescent="0.3">
      <c r="A18" s="50">
        <v>14</v>
      </c>
      <c r="B18" s="57" t="s">
        <v>447</v>
      </c>
      <c r="C18" s="63">
        <f>'Input Data'!C32</f>
        <v>71.58</v>
      </c>
      <c r="D18" s="63">
        <f>'Peer Input Data'!C26</f>
        <v>136.01</v>
      </c>
      <c r="E18" s="63">
        <f>'Peer Input Data'!D26</f>
        <v>61.46</v>
      </c>
      <c r="F18" s="62" t="s">
        <v>446</v>
      </c>
    </row>
    <row r="19" spans="1:6" ht="18" customHeight="1" x14ac:dyDescent="0.3">
      <c r="A19" s="50">
        <v>15</v>
      </c>
      <c r="B19" s="57" t="s">
        <v>448</v>
      </c>
      <c r="C19" s="61">
        <f>'Input Data'!C35/'Input Data'!C32</f>
        <v>16.275495948588993</v>
      </c>
      <c r="D19" s="61">
        <f>'Peer Input Data'!C29/'Peer Input Data'!C26</f>
        <v>17.447246525990739</v>
      </c>
      <c r="E19" s="61">
        <f>'Peer Input Data'!D29/'Peer Input Data'!D26</f>
        <v>21.721444842173771</v>
      </c>
      <c r="F19" s="62" t="s">
        <v>446</v>
      </c>
    </row>
    <row r="20" spans="1:6" ht="18" customHeight="1" x14ac:dyDescent="0.3">
      <c r="A20" s="50">
        <v>16</v>
      </c>
      <c r="B20" s="57" t="s">
        <v>449</v>
      </c>
      <c r="C20" s="60">
        <f>'Input Data'!C34/'Input Data'!C32</f>
        <v>0.67057837384744345</v>
      </c>
      <c r="D20" s="60">
        <f>'Peer Input Data'!C28/'Peer Input Data'!C26</f>
        <v>0.47055363576207637</v>
      </c>
      <c r="E20" s="60">
        <f>'Peer Input Data'!D28/'Peer Input Data'!D26</f>
        <v>0.87862024080702894</v>
      </c>
      <c r="F20" s="62" t="s">
        <v>446</v>
      </c>
    </row>
    <row r="21" spans="1:6" ht="18" customHeight="1" x14ac:dyDescent="0.3">
      <c r="A21" s="50">
        <v>17</v>
      </c>
      <c r="B21" s="57" t="s">
        <v>450</v>
      </c>
      <c r="C21" s="63">
        <f>'Input Data'!C36</f>
        <v>226.8454580820852</v>
      </c>
      <c r="D21" s="63">
        <f>'Peer Input Data'!C30</f>
        <v>296.39866228130785</v>
      </c>
      <c r="E21" s="63">
        <f>'Peer Input Data'!D30</f>
        <v>277.60747525483822</v>
      </c>
      <c r="F21" s="62" t="s">
        <v>446</v>
      </c>
    </row>
    <row r="23" spans="1:6" ht="25.5" customHeight="1" x14ac:dyDescent="0.3">
      <c r="A23" s="190" t="s">
        <v>451</v>
      </c>
      <c r="B23" s="190"/>
      <c r="C23" s="190"/>
      <c r="D23" s="190"/>
      <c r="E23" s="190"/>
      <c r="F23" s="190"/>
    </row>
    <row r="24" spans="1:6" ht="25.5" customHeight="1" x14ac:dyDescent="0.3">
      <c r="A24" s="188" t="s">
        <v>452</v>
      </c>
      <c r="B24" s="188"/>
      <c r="C24" s="188"/>
      <c r="D24" s="188"/>
      <c r="E24" s="188"/>
      <c r="F24" s="188"/>
    </row>
    <row r="25" spans="1:6" ht="25.5" customHeight="1" x14ac:dyDescent="0.3">
      <c r="A25" s="188" t="s">
        <v>453</v>
      </c>
      <c r="B25" s="188"/>
      <c r="C25" s="188"/>
      <c r="D25" s="188"/>
      <c r="E25" s="188"/>
      <c r="F25" s="188"/>
    </row>
    <row r="26" spans="1:6" ht="25.5" customHeight="1" x14ac:dyDescent="0.3">
      <c r="A26" s="188" t="s">
        <v>454</v>
      </c>
      <c r="B26" s="188"/>
      <c r="C26" s="188"/>
      <c r="D26" s="188"/>
      <c r="E26" s="188"/>
      <c r="F26" s="188"/>
    </row>
    <row r="27" spans="1:6" ht="25.5" customHeight="1" x14ac:dyDescent="0.3">
      <c r="A27" s="188" t="s">
        <v>455</v>
      </c>
      <c r="B27" s="188"/>
      <c r="C27" s="188"/>
      <c r="D27" s="188"/>
      <c r="E27" s="188"/>
      <c r="F27" s="188"/>
    </row>
  </sheetData>
  <mergeCells count="7">
    <mergeCell ref="A26:F26"/>
    <mergeCell ref="A27:F27"/>
    <mergeCell ref="A1:F1"/>
    <mergeCell ref="A2:F2"/>
    <mergeCell ref="A23:F23"/>
    <mergeCell ref="A24:F24"/>
    <mergeCell ref="A25:F25"/>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32"/>
  <sheetViews>
    <sheetView showGridLines="0" topLeftCell="A16" zoomScaleNormal="100" workbookViewId="0">
      <selection activeCell="E18" sqref="E18"/>
    </sheetView>
  </sheetViews>
  <sheetFormatPr defaultColWidth="8.6640625" defaultRowHeight="14.4" x14ac:dyDescent="0.3"/>
  <cols>
    <col min="1" max="1" width="4" customWidth="1"/>
    <col min="2" max="2" width="46" customWidth="1"/>
    <col min="3" max="3" width="48" customWidth="1"/>
    <col min="4" max="4" width="4" customWidth="1"/>
  </cols>
  <sheetData>
    <row r="1" spans="1:4" ht="19.5" customHeight="1" x14ac:dyDescent="0.3">
      <c r="A1" s="193"/>
      <c r="B1" s="193"/>
      <c r="C1" s="193"/>
      <c r="D1" s="193"/>
    </row>
    <row r="3" spans="1:4" ht="28.5" customHeight="1" x14ac:dyDescent="0.5">
      <c r="B3" s="194" t="s">
        <v>0</v>
      </c>
      <c r="C3" s="194"/>
    </row>
    <row r="4" spans="1:4" ht="17.25" customHeight="1" x14ac:dyDescent="0.3">
      <c r="B4" s="195" t="s">
        <v>456</v>
      </c>
      <c r="C4" s="195"/>
    </row>
    <row r="5" spans="1:4" ht="15" customHeight="1" x14ac:dyDescent="0.3">
      <c r="B5" s="196" t="s">
        <v>457</v>
      </c>
      <c r="C5" s="196"/>
    </row>
    <row r="7" spans="1:4" ht="15" customHeight="1" x14ac:dyDescent="0.3">
      <c r="B7" s="197" t="s">
        <v>458</v>
      </c>
      <c r="C7" s="197"/>
    </row>
    <row r="10" spans="1:4" ht="21.75" customHeight="1" x14ac:dyDescent="0.3">
      <c r="B10" s="191" t="s">
        <v>12</v>
      </c>
      <c r="C10" s="191"/>
    </row>
    <row r="11" spans="1:4" ht="27.75" customHeight="1" x14ac:dyDescent="0.3">
      <c r="B11" s="155" t="s">
        <v>459</v>
      </c>
      <c r="C11" s="152" t="s">
        <v>785</v>
      </c>
    </row>
    <row r="12" spans="1:4" ht="27.75" customHeight="1" x14ac:dyDescent="0.3">
      <c r="B12" s="156" t="s">
        <v>460</v>
      </c>
      <c r="C12" s="153" t="s">
        <v>786</v>
      </c>
    </row>
    <row r="13" spans="1:4" ht="27.75" customHeight="1" x14ac:dyDescent="0.3">
      <c r="B13" s="157" t="s">
        <v>461</v>
      </c>
      <c r="C13" s="154" t="s">
        <v>787</v>
      </c>
    </row>
    <row r="14" spans="1:4" ht="27.75" customHeight="1" x14ac:dyDescent="0.3">
      <c r="B14" s="156" t="s">
        <v>462</v>
      </c>
      <c r="C14" s="153" t="s">
        <v>788</v>
      </c>
    </row>
    <row r="15" spans="1:4" ht="27.75" customHeight="1" x14ac:dyDescent="0.3">
      <c r="B15" s="157" t="s">
        <v>463</v>
      </c>
      <c r="C15" s="154" t="s">
        <v>464</v>
      </c>
    </row>
    <row r="16" spans="1:4" ht="27.75" customHeight="1" x14ac:dyDescent="0.3">
      <c r="B16" s="156" t="s">
        <v>465</v>
      </c>
      <c r="C16" s="153" t="s">
        <v>466</v>
      </c>
    </row>
    <row r="17" spans="2:3" ht="27.75" customHeight="1" x14ac:dyDescent="0.3">
      <c r="B17" s="157" t="s">
        <v>467</v>
      </c>
      <c r="C17" s="154" t="s">
        <v>468</v>
      </c>
    </row>
    <row r="18" spans="2:3" ht="27.75" customHeight="1" x14ac:dyDescent="0.3">
      <c r="B18" s="156" t="s">
        <v>469</v>
      </c>
      <c r="C18" s="153" t="s">
        <v>470</v>
      </c>
    </row>
    <row r="19" spans="2:3" ht="24.6" customHeight="1" x14ac:dyDescent="0.3">
      <c r="B19" s="157" t="s">
        <v>471</v>
      </c>
      <c r="C19" s="154" t="s">
        <v>472</v>
      </c>
    </row>
    <row r="21" spans="2:3" ht="21.75" customHeight="1" x14ac:dyDescent="0.3">
      <c r="B21" s="192"/>
      <c r="C21" s="192"/>
    </row>
    <row r="22" spans="2:3" ht="15" customHeight="1" x14ac:dyDescent="0.3">
      <c r="B22" s="64" t="s">
        <v>473</v>
      </c>
    </row>
    <row r="23" spans="2:3" ht="15" customHeight="1" x14ac:dyDescent="0.3">
      <c r="B23" s="65" t="s">
        <v>474</v>
      </c>
      <c r="C23" s="66">
        <f>'DCF Valuation'!D37</f>
        <v>1220.0566788428214</v>
      </c>
    </row>
    <row r="24" spans="2:3" ht="15" customHeight="1" x14ac:dyDescent="0.3">
      <c r="B24" s="65" t="s">
        <v>475</v>
      </c>
      <c r="C24" s="66">
        <f>'DCF Valuation'!D40</f>
        <v>1190</v>
      </c>
    </row>
    <row r="25" spans="2:3" ht="15" customHeight="1" x14ac:dyDescent="0.3">
      <c r="B25" s="65" t="s">
        <v>476</v>
      </c>
      <c r="C25" s="67">
        <f>'DCF Valuation'!D41</f>
        <v>2.5257713313295183E-2</v>
      </c>
    </row>
    <row r="26" spans="2:3" ht="15" customHeight="1" x14ac:dyDescent="0.3">
      <c r="B26" s="65" t="s">
        <v>477</v>
      </c>
      <c r="C26" s="68">
        <f>Assumptions!D39</f>
        <v>0.13031066556933557</v>
      </c>
    </row>
    <row r="27" spans="2:3" ht="15" customHeight="1" x14ac:dyDescent="0.3">
      <c r="B27" s="65" t="s">
        <v>478</v>
      </c>
      <c r="C27" s="68">
        <f>Assumptions!D42</f>
        <v>0.05</v>
      </c>
    </row>
    <row r="29" spans="2:3" ht="15" customHeight="1" x14ac:dyDescent="0.3">
      <c r="B29" s="192"/>
      <c r="C29" s="192"/>
    </row>
    <row r="30" spans="2:3" ht="15" customHeight="1" x14ac:dyDescent="0.3">
      <c r="B30" s="192"/>
      <c r="C30" s="192"/>
    </row>
    <row r="31" spans="2:3" ht="15" customHeight="1" x14ac:dyDescent="0.3">
      <c r="B31" s="192"/>
      <c r="C31" s="192"/>
    </row>
    <row r="32" spans="2:3" ht="15" customHeight="1" x14ac:dyDescent="0.3">
      <c r="B32" s="192"/>
      <c r="C32" s="192"/>
    </row>
  </sheetData>
  <mergeCells count="8">
    <mergeCell ref="B10:C10"/>
    <mergeCell ref="B21:C21"/>
    <mergeCell ref="B29:C32"/>
    <mergeCell ref="A1:D1"/>
    <mergeCell ref="B3:C3"/>
    <mergeCell ref="B4:C4"/>
    <mergeCell ref="B5:C5"/>
    <mergeCell ref="B7:C7"/>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55"/>
  <sheetViews>
    <sheetView showGridLines="0" zoomScaleNormal="100" workbookViewId="0">
      <pane xSplit="2" ySplit="8" topLeftCell="C9" activePane="bottomRight" state="frozen"/>
      <selection pane="topRight" activeCell="C1" sqref="C1"/>
      <selection pane="bottomLeft" activeCell="A9" sqref="A9"/>
      <selection pane="bottomRight" sqref="A1:J1"/>
    </sheetView>
  </sheetViews>
  <sheetFormatPr defaultColWidth="8.6640625" defaultRowHeight="14.4" x14ac:dyDescent="0.3"/>
  <cols>
    <col min="1" max="1" width="44" customWidth="1"/>
    <col min="2" max="2" width="11" customWidth="1"/>
    <col min="3" max="3" width="16.5546875" customWidth="1"/>
    <col min="4" max="4" width="11.5546875" customWidth="1"/>
    <col min="5" max="5" width="11.77734375" customWidth="1"/>
    <col min="6" max="6" width="12" customWidth="1"/>
    <col min="7" max="7" width="13" customWidth="1"/>
    <col min="8" max="8" width="11.21875" customWidth="1"/>
    <col min="9" max="9" width="11.109375" customWidth="1"/>
    <col min="10" max="10" width="13.44140625" customWidth="1"/>
  </cols>
  <sheetData>
    <row r="1" spans="1:10" ht="24" customHeight="1" x14ac:dyDescent="0.3">
      <c r="A1" s="199" t="s">
        <v>479</v>
      </c>
      <c r="B1" s="199"/>
      <c r="C1" s="199"/>
      <c r="D1" s="199"/>
      <c r="E1" s="199"/>
      <c r="F1" s="199"/>
      <c r="G1" s="199"/>
      <c r="H1" s="199"/>
      <c r="I1" s="199"/>
      <c r="J1" s="199"/>
    </row>
    <row r="2" spans="1:10" ht="15" customHeight="1" x14ac:dyDescent="0.3">
      <c r="A2" s="160" t="s">
        <v>480</v>
      </c>
      <c r="B2" s="160"/>
      <c r="C2" s="160"/>
      <c r="D2" s="160"/>
      <c r="E2" s="160"/>
      <c r="F2" s="160"/>
      <c r="G2" s="160"/>
      <c r="H2" s="160"/>
      <c r="I2" s="160"/>
      <c r="J2" s="160"/>
    </row>
    <row r="4" spans="1:10" ht="24" customHeight="1" x14ac:dyDescent="0.3">
      <c r="C4" s="69" t="s">
        <v>481</v>
      </c>
      <c r="D4" s="69" t="s">
        <v>482</v>
      </c>
      <c r="E4" s="69" t="s">
        <v>483</v>
      </c>
      <c r="F4" s="69" t="s">
        <v>477</v>
      </c>
      <c r="G4" s="69" t="s">
        <v>484</v>
      </c>
      <c r="H4" s="69" t="s">
        <v>485</v>
      </c>
    </row>
    <row r="5" spans="1:10" ht="19.5" customHeight="1" x14ac:dyDescent="0.3">
      <c r="C5" s="70">
        <f>D239</f>
        <v>1220.0566788428214</v>
      </c>
      <c r="D5" s="70">
        <f>D242</f>
        <v>1190</v>
      </c>
      <c r="E5" s="71">
        <f>D243</f>
        <v>2.5257713313295183E-2</v>
      </c>
      <c r="F5" s="72">
        <f>D39</f>
        <v>0.13031066556933557</v>
      </c>
      <c r="G5" s="72">
        <f>D42</f>
        <v>0.05</v>
      </c>
      <c r="H5" s="73">
        <f>D230</f>
        <v>440752.94359557412</v>
      </c>
    </row>
    <row r="7" spans="1:10" ht="15" customHeight="1" x14ac:dyDescent="0.3">
      <c r="A7" s="158" t="s">
        <v>486</v>
      </c>
      <c r="B7" s="158"/>
      <c r="C7" s="158"/>
      <c r="D7" s="158"/>
      <c r="E7" s="158"/>
      <c r="F7" s="158"/>
      <c r="G7" s="158"/>
      <c r="H7" s="158"/>
      <c r="I7" s="158"/>
      <c r="J7" s="158"/>
    </row>
    <row r="8" spans="1:10" ht="15.75" customHeight="1" x14ac:dyDescent="0.3">
      <c r="A8" s="74" t="s">
        <v>487</v>
      </c>
      <c r="C8" s="75" t="s">
        <v>488</v>
      </c>
      <c r="D8" s="75" t="s">
        <v>489</v>
      </c>
      <c r="E8" s="75" t="s">
        <v>490</v>
      </c>
      <c r="F8" s="75" t="s">
        <v>491</v>
      </c>
      <c r="G8" s="75" t="s">
        <v>492</v>
      </c>
      <c r="H8" s="75" t="s">
        <v>493</v>
      </c>
      <c r="I8" s="75" t="s">
        <v>494</v>
      </c>
      <c r="J8" s="75" t="s">
        <v>495</v>
      </c>
    </row>
    <row r="9" spans="1:10" ht="15" customHeight="1" x14ac:dyDescent="0.3">
      <c r="A9" s="198" t="s">
        <v>496</v>
      </c>
      <c r="B9" s="198"/>
      <c r="C9" s="198"/>
      <c r="D9" s="198"/>
      <c r="E9" s="198"/>
      <c r="F9" s="198"/>
      <c r="G9" s="198"/>
      <c r="H9" s="198"/>
      <c r="I9" s="198"/>
      <c r="J9" s="198"/>
    </row>
    <row r="10" spans="1:10" ht="15" customHeight="1" x14ac:dyDescent="0.3">
      <c r="A10" s="76" t="s">
        <v>497</v>
      </c>
      <c r="C10" s="77" t="s">
        <v>498</v>
      </c>
      <c r="D10" s="78">
        <f>D51/C51-1</f>
        <v>6.0649443612936782E-2</v>
      </c>
      <c r="E10" s="78">
        <f>E51/D51-1</f>
        <v>9.6079514080618544E-2</v>
      </c>
      <c r="F10" s="79">
        <v>0.08</v>
      </c>
      <c r="G10" s="79">
        <v>8.5000000000000006E-2</v>
      </c>
      <c r="H10" s="79">
        <v>0.09</v>
      </c>
      <c r="I10" s="79">
        <v>0.09</v>
      </c>
      <c r="J10" s="79">
        <v>8.5000000000000006E-2</v>
      </c>
    </row>
    <row r="11" spans="1:10" ht="15" customHeight="1" x14ac:dyDescent="0.3">
      <c r="A11" s="76" t="s">
        <v>499</v>
      </c>
      <c r="C11" s="80">
        <v>0.53764560421682805</v>
      </c>
      <c r="D11" s="80">
        <v>0.52733296521258999</v>
      </c>
      <c r="E11" s="80">
        <v>0.532292191435768</v>
      </c>
      <c r="F11" s="79">
        <v>0.53200000000000003</v>
      </c>
      <c r="G11" s="79">
        <v>0.53200000000000003</v>
      </c>
      <c r="H11" s="79">
        <v>0.53200000000000003</v>
      </c>
      <c r="I11" s="79">
        <v>0.53200000000000003</v>
      </c>
      <c r="J11" s="79">
        <v>0.53200000000000003</v>
      </c>
    </row>
    <row r="12" spans="1:10" ht="15" customHeight="1" x14ac:dyDescent="0.3">
      <c r="A12" s="76" t="s">
        <v>500</v>
      </c>
      <c r="C12" s="80">
        <v>3.0441855925034199E-2</v>
      </c>
      <c r="D12" s="80">
        <v>2.9523283637033E-2</v>
      </c>
      <c r="E12" s="80">
        <v>2.7439126784214899E-2</v>
      </c>
      <c r="F12" s="79">
        <v>2.7E-2</v>
      </c>
      <c r="G12" s="79">
        <v>2.7E-2</v>
      </c>
      <c r="H12" s="79">
        <v>2.7E-2</v>
      </c>
      <c r="I12" s="79">
        <v>2.7E-2</v>
      </c>
      <c r="J12" s="79">
        <v>2.7E-2</v>
      </c>
    </row>
    <row r="13" spans="1:10" ht="15" customHeight="1" x14ac:dyDescent="0.3">
      <c r="A13" s="81" t="s">
        <v>501</v>
      </c>
      <c r="C13" s="82">
        <v>0.20659204789484001</v>
      </c>
      <c r="D13" s="82">
        <v>0.21120314129701201</v>
      </c>
      <c r="E13" s="82">
        <v>0.20922474111391001</v>
      </c>
      <c r="F13" s="83">
        <v>0.21</v>
      </c>
      <c r="G13" s="83">
        <v>0.21299999999999999</v>
      </c>
      <c r="H13" s="83">
        <v>0.216</v>
      </c>
      <c r="I13" s="83">
        <v>0.219</v>
      </c>
      <c r="J13" s="83">
        <v>0.22</v>
      </c>
    </row>
    <row r="14" spans="1:10" ht="15" customHeight="1" x14ac:dyDescent="0.3">
      <c r="A14" s="76" t="s">
        <v>502</v>
      </c>
      <c r="C14" s="80">
        <v>3.0656601809071399E-2</v>
      </c>
      <c r="D14" s="80">
        <v>2.2087244616234101E-2</v>
      </c>
      <c r="E14" s="80">
        <v>2.41925552756787E-2</v>
      </c>
      <c r="F14" s="79">
        <v>2.1999999999999999E-2</v>
      </c>
      <c r="G14" s="79">
        <v>2.1999999999999999E-2</v>
      </c>
      <c r="H14" s="79">
        <v>2.1999999999999999E-2</v>
      </c>
      <c r="I14" s="79">
        <v>2.1999999999999999E-2</v>
      </c>
      <c r="J14" s="79">
        <v>2.1999999999999999E-2</v>
      </c>
    </row>
    <row r="15" spans="1:10" ht="15" customHeight="1" x14ac:dyDescent="0.3">
      <c r="A15" s="76" t="s">
        <v>503</v>
      </c>
      <c r="C15" s="80">
        <v>3.0585019847725698E-3</v>
      </c>
      <c r="D15" s="80">
        <v>2.5523038223203899E-3</v>
      </c>
      <c r="E15" s="80">
        <v>2.3285754268122E-3</v>
      </c>
      <c r="F15" s="79">
        <v>2.5000000000000001E-3</v>
      </c>
      <c r="G15" s="79">
        <v>2.5000000000000001E-3</v>
      </c>
      <c r="H15" s="79">
        <v>2.5000000000000001E-3</v>
      </c>
      <c r="I15" s="79">
        <v>2.5000000000000001E-3</v>
      </c>
      <c r="J15" s="79">
        <v>2.5000000000000001E-3</v>
      </c>
    </row>
    <row r="16" spans="1:10" ht="15" customHeight="1" x14ac:dyDescent="0.3">
      <c r="A16" s="76" t="s">
        <v>504</v>
      </c>
      <c r="C16" s="80">
        <v>0.27064577081249303</v>
      </c>
      <c r="D16" s="80">
        <v>0.28871516698574801</v>
      </c>
      <c r="E16" s="80">
        <v>0.26305788223527898</v>
      </c>
      <c r="F16" s="79">
        <v>0.27</v>
      </c>
      <c r="G16" s="79">
        <v>0.27</v>
      </c>
      <c r="H16" s="79">
        <v>0.27</v>
      </c>
      <c r="I16" s="79">
        <v>0.27</v>
      </c>
      <c r="J16" s="79">
        <v>0.27</v>
      </c>
    </row>
    <row r="17" spans="1:10" ht="15" customHeight="1" x14ac:dyDescent="0.3">
      <c r="A17" s="76" t="s">
        <v>505</v>
      </c>
      <c r="C17" s="84">
        <v>5.7147211216092698E-4</v>
      </c>
      <c r="D17" s="84">
        <v>1.38317757009346E-3</v>
      </c>
      <c r="E17" s="84">
        <v>1.15355906900998E-3</v>
      </c>
      <c r="F17" s="85">
        <v>1.2999999999999999E-3</v>
      </c>
      <c r="G17" s="85">
        <v>1.2999999999999999E-3</v>
      </c>
      <c r="H17" s="85">
        <v>1.2999999999999999E-3</v>
      </c>
      <c r="I17" s="85">
        <v>1.2999999999999999E-3</v>
      </c>
      <c r="J17" s="85">
        <v>1.2999999999999999E-3</v>
      </c>
    </row>
    <row r="19" spans="1:10" ht="15" customHeight="1" x14ac:dyDescent="0.3">
      <c r="A19" s="198" t="s">
        <v>506</v>
      </c>
      <c r="B19" s="198"/>
      <c r="C19" s="198"/>
      <c r="D19" s="198"/>
      <c r="E19" s="198"/>
      <c r="F19" s="198"/>
      <c r="G19" s="198"/>
      <c r="H19" s="198"/>
      <c r="I19" s="198"/>
      <c r="J19" s="198"/>
    </row>
    <row r="20" spans="1:10" ht="15" customHeight="1" x14ac:dyDescent="0.3">
      <c r="A20" s="76" t="s">
        <v>507</v>
      </c>
      <c r="C20" s="86">
        <v>71.715006182078497</v>
      </c>
      <c r="D20" s="86">
        <v>69.7752622860298</v>
      </c>
      <c r="E20" s="86">
        <v>71.986621886370003</v>
      </c>
      <c r="F20" s="87">
        <v>71</v>
      </c>
      <c r="G20" s="87">
        <v>71</v>
      </c>
      <c r="H20" s="87">
        <v>71</v>
      </c>
      <c r="I20" s="87">
        <v>71</v>
      </c>
      <c r="J20" s="87">
        <v>71</v>
      </c>
    </row>
    <row r="21" spans="1:10" ht="15" customHeight="1" x14ac:dyDescent="0.3">
      <c r="A21" s="76" t="s">
        <v>508</v>
      </c>
      <c r="C21" s="86">
        <v>9.3963688423244598</v>
      </c>
      <c r="D21" s="86">
        <v>9.3248665562304396</v>
      </c>
      <c r="E21" s="86">
        <v>9.69247131262245</v>
      </c>
      <c r="F21" s="87">
        <v>9.5</v>
      </c>
      <c r="G21" s="87">
        <v>9.5</v>
      </c>
      <c r="H21" s="87">
        <v>9.5</v>
      </c>
      <c r="I21" s="87">
        <v>9.5</v>
      </c>
      <c r="J21" s="87">
        <v>9.5</v>
      </c>
    </row>
    <row r="22" spans="1:10" ht="15" customHeight="1" x14ac:dyDescent="0.3">
      <c r="A22" s="76" t="s">
        <v>509</v>
      </c>
      <c r="C22" s="80">
        <v>0.205231990629271</v>
      </c>
      <c r="D22" s="80">
        <v>0.17794956745812601</v>
      </c>
      <c r="E22" s="80">
        <v>0.18530086761824799</v>
      </c>
      <c r="F22" s="79">
        <v>0.19</v>
      </c>
      <c r="G22" s="79">
        <v>0.19</v>
      </c>
      <c r="H22" s="79">
        <v>0.19</v>
      </c>
      <c r="I22" s="79">
        <v>0.19</v>
      </c>
      <c r="J22" s="79">
        <v>0.19</v>
      </c>
    </row>
    <row r="23" spans="1:10" ht="15" customHeight="1" x14ac:dyDescent="0.3">
      <c r="A23" s="76" t="s">
        <v>510</v>
      </c>
      <c r="C23" s="80">
        <v>0.21395848246242</v>
      </c>
      <c r="D23" s="80">
        <v>0.222289711025216</v>
      </c>
      <c r="E23" s="80">
        <v>0.24863140218304</v>
      </c>
      <c r="F23" s="79">
        <v>0.25</v>
      </c>
      <c r="G23" s="79">
        <v>0.25</v>
      </c>
      <c r="H23" s="79">
        <v>0.25</v>
      </c>
      <c r="I23" s="79">
        <v>0.25</v>
      </c>
      <c r="J23" s="79">
        <v>0.25</v>
      </c>
    </row>
    <row r="25" spans="1:10" ht="15" customHeight="1" x14ac:dyDescent="0.3">
      <c r="A25" s="198" t="s">
        <v>511</v>
      </c>
      <c r="B25" s="198"/>
      <c r="C25" s="198"/>
      <c r="D25" s="198"/>
      <c r="E25" s="198"/>
      <c r="F25" s="198"/>
      <c r="G25" s="198"/>
      <c r="H25" s="198"/>
      <c r="I25" s="198"/>
      <c r="J25" s="198"/>
    </row>
    <row r="26" spans="1:10" ht="15" customHeight="1" x14ac:dyDescent="0.3">
      <c r="A26" s="76" t="s">
        <v>512</v>
      </c>
      <c r="C26" s="80">
        <v>1.43228997201796E-2</v>
      </c>
      <c r="D26" s="80">
        <v>1.37247683906988E-2</v>
      </c>
      <c r="E26" s="80">
        <v>1.5264483627203999E-2</v>
      </c>
      <c r="F26" s="79">
        <v>1.4999999999999999E-2</v>
      </c>
      <c r="G26" s="79">
        <v>1.4999999999999999E-2</v>
      </c>
      <c r="H26" s="79">
        <v>1.4999999999999999E-2</v>
      </c>
      <c r="I26" s="79">
        <v>1.4999999999999999E-2</v>
      </c>
      <c r="J26" s="79">
        <v>1.4999999999999999E-2</v>
      </c>
    </row>
    <row r="27" spans="1:10" ht="15" customHeight="1" x14ac:dyDescent="0.3">
      <c r="A27" s="76" t="s">
        <v>513</v>
      </c>
      <c r="C27" s="77" t="s">
        <v>498</v>
      </c>
      <c r="D27" s="77" t="s">
        <v>498</v>
      </c>
      <c r="E27" s="77" t="s">
        <v>498</v>
      </c>
      <c r="F27" s="79">
        <v>0.85</v>
      </c>
      <c r="G27" s="79">
        <v>0.85</v>
      </c>
      <c r="H27" s="79">
        <v>0.85</v>
      </c>
      <c r="I27" s="79">
        <v>0.85</v>
      </c>
      <c r="J27" s="79">
        <v>0.85</v>
      </c>
    </row>
    <row r="29" spans="1:10" ht="15" customHeight="1" x14ac:dyDescent="0.3">
      <c r="A29" s="198" t="s">
        <v>514</v>
      </c>
      <c r="B29" s="198"/>
      <c r="C29" s="198"/>
      <c r="D29" s="198"/>
      <c r="E29" s="198"/>
      <c r="F29" s="198"/>
      <c r="G29" s="198"/>
      <c r="H29" s="198"/>
      <c r="I29" s="198"/>
      <c r="J29" s="198"/>
    </row>
    <row r="30" spans="1:10" ht="15" customHeight="1" x14ac:dyDescent="0.3">
      <c r="A30" s="76" t="s">
        <v>515</v>
      </c>
      <c r="D30" s="85">
        <v>6.8000000000000005E-2</v>
      </c>
    </row>
    <row r="31" spans="1:10" ht="15" customHeight="1" x14ac:dyDescent="0.3">
      <c r="A31" s="76" t="s">
        <v>516</v>
      </c>
      <c r="D31" s="88">
        <v>0.85</v>
      </c>
    </row>
    <row r="32" spans="1:10" ht="15" customHeight="1" x14ac:dyDescent="0.3">
      <c r="A32" s="76" t="s">
        <v>517</v>
      </c>
      <c r="D32" s="85">
        <v>7.4999999999999997E-2</v>
      </c>
    </row>
    <row r="33" spans="1:10" ht="15" customHeight="1" x14ac:dyDescent="0.3">
      <c r="A33" s="81" t="s">
        <v>518</v>
      </c>
      <c r="D33" s="89">
        <f>D30+D31*D32</f>
        <v>0.13175000000000001</v>
      </c>
    </row>
    <row r="34" spans="1:10" ht="15" customHeight="1" x14ac:dyDescent="0.3">
      <c r="A34" s="76" t="s">
        <v>519</v>
      </c>
      <c r="D34" s="85">
        <v>7.4999999999999997E-2</v>
      </c>
    </row>
    <row r="35" spans="1:10" ht="15" customHeight="1" x14ac:dyDescent="0.3">
      <c r="A35" s="76" t="s">
        <v>520</v>
      </c>
      <c r="D35" s="85">
        <v>0.27</v>
      </c>
    </row>
    <row r="36" spans="1:10" ht="15" customHeight="1" x14ac:dyDescent="0.3">
      <c r="A36" s="81" t="s">
        <v>521</v>
      </c>
      <c r="D36" s="89">
        <f>D34*(1-D35)</f>
        <v>5.475E-2</v>
      </c>
    </row>
    <row r="37" spans="1:10" ht="15" customHeight="1" x14ac:dyDescent="0.3">
      <c r="A37" s="76" t="s">
        <v>522</v>
      </c>
      <c r="D37" s="90">
        <f>D125</f>
        <v>1.8692654943693876E-2</v>
      </c>
    </row>
    <row r="38" spans="1:10" ht="15" customHeight="1" x14ac:dyDescent="0.3">
      <c r="A38" s="76" t="s">
        <v>523</v>
      </c>
      <c r="D38" s="78">
        <f>1-D37</f>
        <v>0.98130734505630612</v>
      </c>
    </row>
    <row r="39" spans="1:10" ht="15" customHeight="1" x14ac:dyDescent="0.3">
      <c r="A39" s="81" t="s">
        <v>524</v>
      </c>
      <c r="D39" s="89">
        <f>D33*D38+D36*D37</f>
        <v>0.13031066556933557</v>
      </c>
    </row>
    <row r="41" spans="1:10" ht="15" customHeight="1" x14ac:dyDescent="0.3">
      <c r="A41" s="198" t="s">
        <v>525</v>
      </c>
      <c r="B41" s="198"/>
      <c r="C41" s="198"/>
      <c r="D41" s="198"/>
      <c r="E41" s="198"/>
      <c r="F41" s="198"/>
      <c r="G41" s="198"/>
      <c r="H41" s="198"/>
      <c r="I41" s="198"/>
      <c r="J41" s="198"/>
    </row>
    <row r="42" spans="1:10" ht="15" customHeight="1" x14ac:dyDescent="0.3">
      <c r="A42" s="81" t="s">
        <v>526</v>
      </c>
      <c r="D42" s="91">
        <v>0.05</v>
      </c>
    </row>
    <row r="43" spans="1:10" ht="15" customHeight="1" x14ac:dyDescent="0.3">
      <c r="A43" s="81" t="s">
        <v>527</v>
      </c>
      <c r="D43" s="89">
        <f>D39-D42</f>
        <v>8.0310665569335568E-2</v>
      </c>
    </row>
    <row r="44" spans="1:10" ht="15" customHeight="1" x14ac:dyDescent="0.3">
      <c r="A44" s="76" t="s">
        <v>528</v>
      </c>
      <c r="D44" s="92">
        <v>1190</v>
      </c>
    </row>
    <row r="45" spans="1:10" ht="15" customHeight="1" x14ac:dyDescent="0.3">
      <c r="A45" s="76" t="s">
        <v>529</v>
      </c>
      <c r="D45" s="93">
        <v>404.8</v>
      </c>
    </row>
    <row r="46" spans="1:10" ht="15" customHeight="1" x14ac:dyDescent="0.3">
      <c r="A46" s="81" t="s">
        <v>530</v>
      </c>
      <c r="D46" s="94">
        <f>D44*D45</f>
        <v>481712</v>
      </c>
    </row>
    <row r="49" spans="1:10" ht="15" customHeight="1" x14ac:dyDescent="0.3">
      <c r="A49" s="158" t="s">
        <v>531</v>
      </c>
      <c r="B49" s="158"/>
      <c r="C49" s="158"/>
      <c r="D49" s="158"/>
      <c r="E49" s="158"/>
      <c r="F49" s="158"/>
      <c r="G49" s="158"/>
      <c r="H49" s="158"/>
      <c r="I49" s="158"/>
      <c r="J49" s="158"/>
    </row>
    <row r="50" spans="1:10" ht="15.75" customHeight="1" x14ac:dyDescent="0.3">
      <c r="A50" s="74" t="s">
        <v>487</v>
      </c>
      <c r="C50" s="75" t="s">
        <v>488</v>
      </c>
      <c r="D50" s="75" t="s">
        <v>489</v>
      </c>
      <c r="E50" s="75" t="s">
        <v>490</v>
      </c>
      <c r="F50" s="75" t="s">
        <v>491</v>
      </c>
      <c r="G50" s="75" t="s">
        <v>492</v>
      </c>
      <c r="H50" s="75" t="s">
        <v>493</v>
      </c>
      <c r="I50" s="75" t="s">
        <v>494</v>
      </c>
      <c r="J50" s="75" t="s">
        <v>495</v>
      </c>
    </row>
    <row r="51" spans="1:10" ht="15" customHeight="1" x14ac:dyDescent="0.3">
      <c r="A51" s="81" t="s">
        <v>91</v>
      </c>
      <c r="C51" s="95">
        <v>153670</v>
      </c>
      <c r="D51" s="95">
        <v>162990</v>
      </c>
      <c r="E51" s="95">
        <v>178650</v>
      </c>
      <c r="F51" s="96">
        <f>E51*(1+F10)</f>
        <v>192942</v>
      </c>
      <c r="G51" s="96">
        <f>F51*(1+G10)</f>
        <v>209342.07</v>
      </c>
      <c r="H51" s="96">
        <f>G51*(1+H10)</f>
        <v>228182.85630000001</v>
      </c>
      <c r="I51" s="96">
        <f>H51*(1+I10)</f>
        <v>248719.31336700002</v>
      </c>
      <c r="J51" s="96">
        <f>I51*(1+J10)</f>
        <v>269860.45500319503</v>
      </c>
    </row>
    <row r="52" spans="1:10" ht="15" customHeight="1" x14ac:dyDescent="0.3">
      <c r="A52" s="97" t="s">
        <v>532</v>
      </c>
      <c r="C52" s="77" t="s">
        <v>498</v>
      </c>
      <c r="D52" s="78">
        <f>D51/C51-1</f>
        <v>6.0649443612936782E-2</v>
      </c>
      <c r="E52" s="78">
        <f>E51/D51-1</f>
        <v>9.6079514080618544E-2</v>
      </c>
      <c r="F52" s="80">
        <f>F10</f>
        <v>0.08</v>
      </c>
      <c r="G52" s="80">
        <f>G10</f>
        <v>8.5000000000000006E-2</v>
      </c>
      <c r="H52" s="80">
        <f>H10</f>
        <v>0.09</v>
      </c>
      <c r="I52" s="80">
        <f>I10</f>
        <v>0.09</v>
      </c>
      <c r="J52" s="80">
        <f>J10</f>
        <v>8.5000000000000006E-2</v>
      </c>
    </row>
    <row r="54" spans="1:10" ht="15" customHeight="1" x14ac:dyDescent="0.3">
      <c r="A54" s="198" t="s">
        <v>533</v>
      </c>
      <c r="B54" s="198"/>
      <c r="C54" s="198"/>
      <c r="D54" s="198"/>
      <c r="E54" s="198"/>
      <c r="F54" s="198"/>
      <c r="G54" s="198"/>
      <c r="H54" s="198"/>
      <c r="I54" s="198"/>
      <c r="J54" s="198"/>
    </row>
    <row r="55" spans="1:10" ht="15" customHeight="1" x14ac:dyDescent="0.3">
      <c r="A55" s="76" t="s">
        <v>95</v>
      </c>
      <c r="C55" s="98">
        <v>82620</v>
      </c>
      <c r="D55" s="98">
        <v>85950</v>
      </c>
      <c r="E55" s="98">
        <v>95094</v>
      </c>
      <c r="F55" s="99">
        <f>F51*F11</f>
        <v>102645.144</v>
      </c>
      <c r="G55" s="99">
        <f>G51*G11</f>
        <v>111369.98124000001</v>
      </c>
      <c r="H55" s="99">
        <f>H51*H11</f>
        <v>121393.27955160002</v>
      </c>
      <c r="I55" s="99">
        <f>I51*I11</f>
        <v>132318.67471124401</v>
      </c>
      <c r="J55" s="99">
        <f>J51*J11</f>
        <v>143565.76206169976</v>
      </c>
    </row>
    <row r="56" spans="1:10" ht="15" customHeight="1" x14ac:dyDescent="0.3">
      <c r="A56" s="76" t="s">
        <v>534</v>
      </c>
      <c r="C56" s="98">
        <v>4678</v>
      </c>
      <c r="D56" s="98">
        <v>4812</v>
      </c>
      <c r="E56" s="98">
        <v>4902</v>
      </c>
      <c r="F56" s="99">
        <f>F51*F12</f>
        <v>5209.4340000000002</v>
      </c>
      <c r="G56" s="99">
        <f>G51*G12</f>
        <v>5652.2358899999999</v>
      </c>
      <c r="H56" s="99">
        <f>H51*H12</f>
        <v>6160.9371201000004</v>
      </c>
      <c r="I56" s="99">
        <f>I51*I12</f>
        <v>6715.4214609090004</v>
      </c>
      <c r="J56" s="99">
        <f>J51*J12</f>
        <v>7286.2322850862656</v>
      </c>
    </row>
    <row r="57" spans="1:10" ht="15" customHeight="1" x14ac:dyDescent="0.3">
      <c r="A57" s="76" t="s">
        <v>535</v>
      </c>
      <c r="C57" s="98">
        <v>34625</v>
      </c>
      <c r="D57" s="98">
        <v>37804</v>
      </c>
      <c r="E57" s="98">
        <v>41276</v>
      </c>
      <c r="F57" s="99">
        <f>F51*(1-F13)-F55-F56</f>
        <v>44569.601999999992</v>
      </c>
      <c r="G57" s="99">
        <f>G51*(1-G13)-G55-G56</f>
        <v>47729.991960000014</v>
      </c>
      <c r="H57" s="99">
        <f>H51*(1-H13)-H55-H56</f>
        <v>51341.142667499997</v>
      </c>
      <c r="I57" s="99">
        <f>I51*(1-I13)-I55-I56</f>
        <v>55215.687567474015</v>
      </c>
      <c r="J57" s="99">
        <f>J51*(1-J13)-J55-J56</f>
        <v>59639.160555706098</v>
      </c>
    </row>
    <row r="58" spans="1:10" ht="15" customHeight="1" x14ac:dyDescent="0.3">
      <c r="A58" s="81" t="s">
        <v>536</v>
      </c>
      <c r="C58" s="100">
        <f t="shared" ref="C58:J58" si="0">C55+C56+C57</f>
        <v>121923</v>
      </c>
      <c r="D58" s="100">
        <f t="shared" si="0"/>
        <v>128566</v>
      </c>
      <c r="E58" s="100">
        <f t="shared" si="0"/>
        <v>141272</v>
      </c>
      <c r="F58" s="100">
        <f t="shared" si="0"/>
        <v>152424.18</v>
      </c>
      <c r="G58" s="100">
        <f t="shared" si="0"/>
        <v>164752.20909000002</v>
      </c>
      <c r="H58" s="100">
        <f t="shared" si="0"/>
        <v>178895.35933920002</v>
      </c>
      <c r="I58" s="100">
        <f t="shared" si="0"/>
        <v>194249.78373962705</v>
      </c>
      <c r="J58" s="100">
        <f t="shared" si="0"/>
        <v>210491.15490249213</v>
      </c>
    </row>
    <row r="60" spans="1:10" ht="15" customHeight="1" x14ac:dyDescent="0.3">
      <c r="A60" s="81" t="s">
        <v>537</v>
      </c>
      <c r="C60" s="101">
        <f t="shared" ref="C60:J60" si="1">C51-C58</f>
        <v>31747</v>
      </c>
      <c r="D60" s="101">
        <f t="shared" si="1"/>
        <v>34424</v>
      </c>
      <c r="E60" s="101">
        <f t="shared" si="1"/>
        <v>37378</v>
      </c>
      <c r="F60" s="101">
        <f t="shared" si="1"/>
        <v>40517.820000000007</v>
      </c>
      <c r="G60" s="101">
        <f t="shared" si="1"/>
        <v>44589.860909999989</v>
      </c>
      <c r="H60" s="101">
        <f t="shared" si="1"/>
        <v>49287.496960799996</v>
      </c>
      <c r="I60" s="101">
        <f t="shared" si="1"/>
        <v>54469.529627372976</v>
      </c>
      <c r="J60" s="101">
        <f t="shared" si="1"/>
        <v>59369.300100702909</v>
      </c>
    </row>
    <row r="61" spans="1:10" ht="15" customHeight="1" x14ac:dyDescent="0.3">
      <c r="A61" s="97" t="s">
        <v>538</v>
      </c>
      <c r="C61" s="78">
        <f t="shared" ref="C61:J61" si="2">C60/C51</f>
        <v>0.20659204789483959</v>
      </c>
      <c r="D61" s="78">
        <f t="shared" si="2"/>
        <v>0.21120314129701209</v>
      </c>
      <c r="E61" s="78">
        <f t="shared" si="2"/>
        <v>0.20922474111390987</v>
      </c>
      <c r="F61" s="78">
        <f t="shared" si="2"/>
        <v>0.21000000000000005</v>
      </c>
      <c r="G61" s="78">
        <f t="shared" si="2"/>
        <v>0.21299999999999994</v>
      </c>
      <c r="H61" s="78">
        <f t="shared" si="2"/>
        <v>0.21599999999999997</v>
      </c>
      <c r="I61" s="78">
        <f t="shared" si="2"/>
        <v>0.21899999999999989</v>
      </c>
      <c r="J61" s="78">
        <f t="shared" si="2"/>
        <v>0.22</v>
      </c>
    </row>
    <row r="63" spans="1:10" ht="15" customHeight="1" x14ac:dyDescent="0.3">
      <c r="A63" s="76" t="s">
        <v>92</v>
      </c>
      <c r="C63" s="98">
        <v>4711</v>
      </c>
      <c r="D63" s="98">
        <v>3600</v>
      </c>
      <c r="E63" s="98">
        <v>4322</v>
      </c>
      <c r="F63" s="99">
        <f>F51*F14</f>
        <v>4244.7240000000002</v>
      </c>
      <c r="G63" s="99">
        <f>G51*G14</f>
        <v>4605.5255399999996</v>
      </c>
      <c r="H63" s="99">
        <f>H51*H14</f>
        <v>5020.0228385999999</v>
      </c>
      <c r="I63" s="99">
        <f>I51*I14</f>
        <v>5471.8248940740004</v>
      </c>
      <c r="J63" s="99">
        <f>J51*J14</f>
        <v>5936.9300100702903</v>
      </c>
    </row>
    <row r="64" spans="1:10" ht="15" customHeight="1" x14ac:dyDescent="0.3">
      <c r="A64" s="76" t="s">
        <v>102</v>
      </c>
      <c r="C64" s="98">
        <v>470</v>
      </c>
      <c r="D64" s="98">
        <v>416</v>
      </c>
      <c r="E64" s="98">
        <v>416</v>
      </c>
      <c r="F64" s="99">
        <f>F51*F15</f>
        <v>482.35500000000002</v>
      </c>
      <c r="G64" s="99">
        <f>G51*G15</f>
        <v>523.35517500000003</v>
      </c>
      <c r="H64" s="99">
        <f>H51*H15</f>
        <v>570.45714075000001</v>
      </c>
      <c r="I64" s="99">
        <f>I51*I15</f>
        <v>621.7982834175001</v>
      </c>
      <c r="J64" s="99">
        <f>J51*J15</f>
        <v>674.65113750798764</v>
      </c>
    </row>
    <row r="65" spans="1:10" ht="15" customHeight="1" x14ac:dyDescent="0.3">
      <c r="A65" s="81" t="s">
        <v>105</v>
      </c>
      <c r="C65" s="94">
        <f t="shared" ref="C65:J65" si="3">C60+C63-C64</f>
        <v>35988</v>
      </c>
      <c r="D65" s="94">
        <f t="shared" si="3"/>
        <v>37608</v>
      </c>
      <c r="E65" s="94">
        <f t="shared" si="3"/>
        <v>41284</v>
      </c>
      <c r="F65" s="94">
        <f t="shared" si="3"/>
        <v>44280.189000000006</v>
      </c>
      <c r="G65" s="94">
        <f t="shared" si="3"/>
        <v>48672.031274999994</v>
      </c>
      <c r="H65" s="94">
        <f t="shared" si="3"/>
        <v>53737.06265865</v>
      </c>
      <c r="I65" s="94">
        <f t="shared" si="3"/>
        <v>59319.55623802948</v>
      </c>
      <c r="J65" s="94">
        <f t="shared" si="3"/>
        <v>64631.578973265212</v>
      </c>
    </row>
    <row r="66" spans="1:10" ht="15" customHeight="1" x14ac:dyDescent="0.3">
      <c r="A66" s="76" t="s">
        <v>539</v>
      </c>
      <c r="C66" s="98">
        <v>0</v>
      </c>
      <c r="D66" s="98">
        <v>0</v>
      </c>
      <c r="E66" s="98">
        <v>1289</v>
      </c>
      <c r="F66" s="98">
        <v>0</v>
      </c>
      <c r="G66" s="98">
        <v>0</v>
      </c>
      <c r="H66" s="98">
        <v>0</v>
      </c>
      <c r="I66" s="98">
        <v>0</v>
      </c>
      <c r="J66" s="98">
        <v>0</v>
      </c>
    </row>
    <row r="67" spans="1:10" ht="15" customHeight="1" x14ac:dyDescent="0.3">
      <c r="A67" s="81" t="s">
        <v>540</v>
      </c>
      <c r="C67" s="101">
        <f t="shared" ref="C67:J67" si="4">C65-C66</f>
        <v>35988</v>
      </c>
      <c r="D67" s="101">
        <f t="shared" si="4"/>
        <v>37608</v>
      </c>
      <c r="E67" s="101">
        <f t="shared" si="4"/>
        <v>39995</v>
      </c>
      <c r="F67" s="101">
        <f t="shared" si="4"/>
        <v>44280.189000000006</v>
      </c>
      <c r="G67" s="101">
        <f t="shared" si="4"/>
        <v>48672.031274999994</v>
      </c>
      <c r="H67" s="101">
        <f t="shared" si="4"/>
        <v>53737.06265865</v>
      </c>
      <c r="I67" s="101">
        <f t="shared" si="4"/>
        <v>59319.55623802948</v>
      </c>
      <c r="J67" s="101">
        <f t="shared" si="4"/>
        <v>64631.578973265212</v>
      </c>
    </row>
    <row r="69" spans="1:10" ht="15" customHeight="1" x14ac:dyDescent="0.3">
      <c r="A69" s="76" t="s">
        <v>541</v>
      </c>
      <c r="C69" s="98">
        <v>9740</v>
      </c>
      <c r="D69" s="98">
        <v>10858</v>
      </c>
      <c r="E69" s="98">
        <v>10521</v>
      </c>
      <c r="F69" s="99">
        <f>F67*F16</f>
        <v>11955.651030000003</v>
      </c>
      <c r="G69" s="99">
        <f>G67*G16</f>
        <v>13141.44844425</v>
      </c>
      <c r="H69" s="99">
        <f>H67*H16</f>
        <v>14509.006917835501</v>
      </c>
      <c r="I69" s="99">
        <f>I67*I16</f>
        <v>16016.28018426796</v>
      </c>
      <c r="J69" s="99">
        <f>J67*J16</f>
        <v>17450.526322781607</v>
      </c>
    </row>
    <row r="70" spans="1:10" ht="15" customHeight="1" x14ac:dyDescent="0.3">
      <c r="A70" s="97" t="s">
        <v>542</v>
      </c>
      <c r="C70" s="78">
        <f t="shared" ref="C70:J70" si="5">C69/C67</f>
        <v>0.27064577081249308</v>
      </c>
      <c r="D70" s="78">
        <f t="shared" si="5"/>
        <v>0.28871516698574773</v>
      </c>
      <c r="E70" s="78">
        <f t="shared" si="5"/>
        <v>0.26305788223527943</v>
      </c>
      <c r="F70" s="78">
        <f t="shared" si="5"/>
        <v>0.27</v>
      </c>
      <c r="G70" s="78">
        <f t="shared" si="5"/>
        <v>0.27</v>
      </c>
      <c r="H70" s="78">
        <f t="shared" si="5"/>
        <v>0.27</v>
      </c>
      <c r="I70" s="78">
        <f t="shared" si="5"/>
        <v>0.27</v>
      </c>
      <c r="J70" s="78">
        <f t="shared" si="5"/>
        <v>0.27</v>
      </c>
    </row>
    <row r="72" spans="1:10" ht="15" customHeight="1" x14ac:dyDescent="0.3">
      <c r="A72" s="81" t="s">
        <v>543</v>
      </c>
      <c r="C72" s="101">
        <f t="shared" ref="C72:J72" si="6">C67-C69</f>
        <v>26248</v>
      </c>
      <c r="D72" s="101">
        <f t="shared" si="6"/>
        <v>26750</v>
      </c>
      <c r="E72" s="101">
        <f t="shared" si="6"/>
        <v>29474</v>
      </c>
      <c r="F72" s="101">
        <f t="shared" si="6"/>
        <v>32324.537970000005</v>
      </c>
      <c r="G72" s="101">
        <f t="shared" si="6"/>
        <v>35530.582830749991</v>
      </c>
      <c r="H72" s="101">
        <f t="shared" si="6"/>
        <v>39228.055740814496</v>
      </c>
      <c r="I72" s="101">
        <f t="shared" si="6"/>
        <v>43303.276053761518</v>
      </c>
      <c r="J72" s="101">
        <f t="shared" si="6"/>
        <v>47181.052650483602</v>
      </c>
    </row>
    <row r="73" spans="1:10" ht="15" customHeight="1" x14ac:dyDescent="0.3">
      <c r="A73" s="76" t="s">
        <v>544</v>
      </c>
      <c r="C73" s="98">
        <v>15</v>
      </c>
      <c r="D73" s="98">
        <v>37</v>
      </c>
      <c r="E73" s="98">
        <v>34</v>
      </c>
      <c r="F73" s="99">
        <f>F72*F17</f>
        <v>42.021899361000003</v>
      </c>
      <c r="G73" s="99">
        <f>G72*G17</f>
        <v>46.189757679974988</v>
      </c>
      <c r="H73" s="99">
        <f>H72*H17</f>
        <v>50.996472463058844</v>
      </c>
      <c r="I73" s="99">
        <f>I72*I17</f>
        <v>56.294258869889973</v>
      </c>
      <c r="J73" s="99">
        <f>J72*J17</f>
        <v>61.335368445628681</v>
      </c>
    </row>
    <row r="74" spans="1:10" ht="15" customHeight="1" x14ac:dyDescent="0.3">
      <c r="A74" s="81" t="s">
        <v>112</v>
      </c>
      <c r="C74" s="102">
        <f t="shared" ref="C74:J74" si="7">C72-C73</f>
        <v>26233</v>
      </c>
      <c r="D74" s="102">
        <f t="shared" si="7"/>
        <v>26713</v>
      </c>
      <c r="E74" s="102">
        <f t="shared" si="7"/>
        <v>29440</v>
      </c>
      <c r="F74" s="102">
        <f t="shared" si="7"/>
        <v>32282.516070639005</v>
      </c>
      <c r="G74" s="102">
        <f t="shared" si="7"/>
        <v>35484.393073070016</v>
      </c>
      <c r="H74" s="102">
        <f t="shared" si="7"/>
        <v>39177.059268351441</v>
      </c>
      <c r="I74" s="102">
        <f t="shared" si="7"/>
        <v>43246.981794891624</v>
      </c>
      <c r="J74" s="102">
        <f t="shared" si="7"/>
        <v>47119.717282037971</v>
      </c>
    </row>
    <row r="76" spans="1:10" ht="15" customHeight="1" x14ac:dyDescent="0.3">
      <c r="A76" s="76" t="s">
        <v>545</v>
      </c>
      <c r="C76" s="103">
        <v>63.39</v>
      </c>
      <c r="D76" s="103">
        <v>64.5</v>
      </c>
      <c r="E76" s="103">
        <v>71.58</v>
      </c>
      <c r="F76" s="104">
        <f>F74/F78</f>
        <v>78.492507128667356</v>
      </c>
      <c r="G76" s="104">
        <f>G74/G78</f>
        <v>86.277629976232859</v>
      </c>
      <c r="H76" s="104">
        <f>H74/H78</f>
        <v>95.256069792469248</v>
      </c>
      <c r="I76" s="104">
        <f>I74/I78</f>
        <v>105.15177997282062</v>
      </c>
      <c r="J76" s="104">
        <f>J74/J78</f>
        <v>114.56804471399266</v>
      </c>
    </row>
    <row r="77" spans="1:10" ht="15" customHeight="1" x14ac:dyDescent="0.3">
      <c r="A77" s="76" t="s">
        <v>546</v>
      </c>
      <c r="C77" s="103">
        <v>63.29</v>
      </c>
      <c r="D77" s="103">
        <v>64.34</v>
      </c>
      <c r="E77" s="103">
        <v>71.459999999999994</v>
      </c>
      <c r="F77" s="104">
        <f>F74/F79</f>
        <v>78.35356760220607</v>
      </c>
      <c r="G77" s="104">
        <f>G74/G79</f>
        <v>86.124910009810463</v>
      </c>
      <c r="H77" s="104">
        <f>H74/H79</f>
        <v>95.087457096637849</v>
      </c>
      <c r="I77" s="104">
        <f>I74/I79</f>
        <v>104.96565088801464</v>
      </c>
      <c r="J77" s="104">
        <f>J74/J79</f>
        <v>114.365247906215</v>
      </c>
    </row>
    <row r="78" spans="1:10" ht="15" customHeight="1" x14ac:dyDescent="0.3">
      <c r="A78" s="76" t="s">
        <v>547</v>
      </c>
      <c r="C78" s="103">
        <v>413.85680000000002</v>
      </c>
      <c r="D78" s="103">
        <v>414.16120000000001</v>
      </c>
      <c r="E78" s="103">
        <v>411.28149999999999</v>
      </c>
      <c r="F78" s="104">
        <f>$E$78</f>
        <v>411.28149999999999</v>
      </c>
      <c r="G78" s="104">
        <f>$E$78</f>
        <v>411.28149999999999</v>
      </c>
      <c r="H78" s="104">
        <f>$E$78</f>
        <v>411.28149999999999</v>
      </c>
      <c r="I78" s="104">
        <f>$E$78</f>
        <v>411.28149999999999</v>
      </c>
      <c r="J78" s="104">
        <f>$E$78</f>
        <v>411.28149999999999</v>
      </c>
    </row>
    <row r="79" spans="1:10" ht="15" customHeight="1" x14ac:dyDescent="0.3">
      <c r="A79" s="76" t="s">
        <v>548</v>
      </c>
      <c r="C79" s="103">
        <v>414.46800000000002</v>
      </c>
      <c r="D79" s="103">
        <v>415.20510000000002</v>
      </c>
      <c r="E79" s="103">
        <v>412.01080000000002</v>
      </c>
      <c r="F79" s="104">
        <f>$E$79</f>
        <v>412.01080000000002</v>
      </c>
      <c r="G79" s="104">
        <f>$E$79</f>
        <v>412.01080000000002</v>
      </c>
      <c r="H79" s="104">
        <f>$E$79</f>
        <v>412.01080000000002</v>
      </c>
      <c r="I79" s="104">
        <f>$E$79</f>
        <v>412.01080000000002</v>
      </c>
      <c r="J79" s="104">
        <f>$E$79</f>
        <v>412.01080000000002</v>
      </c>
    </row>
    <row r="82" spans="1:10" ht="15" customHeight="1" x14ac:dyDescent="0.3">
      <c r="A82" s="158" t="s">
        <v>549</v>
      </c>
      <c r="B82" s="158"/>
      <c r="C82" s="158"/>
      <c r="D82" s="158"/>
      <c r="E82" s="158"/>
      <c r="F82" s="158"/>
      <c r="G82" s="158"/>
      <c r="H82" s="158"/>
      <c r="I82" s="158"/>
      <c r="J82" s="158"/>
    </row>
    <row r="83" spans="1:10" ht="15.75" customHeight="1" x14ac:dyDescent="0.3">
      <c r="A83" s="74" t="s">
        <v>487</v>
      </c>
      <c r="C83" s="75" t="s">
        <v>488</v>
      </c>
      <c r="D83" s="75" t="s">
        <v>489</v>
      </c>
      <c r="E83" s="75" t="s">
        <v>490</v>
      </c>
      <c r="F83" s="75" t="s">
        <v>491</v>
      </c>
      <c r="G83" s="75" t="s">
        <v>492</v>
      </c>
      <c r="H83" s="75" t="s">
        <v>493</v>
      </c>
      <c r="I83" s="75" t="s">
        <v>494</v>
      </c>
      <c r="J83" s="75" t="s">
        <v>495</v>
      </c>
    </row>
    <row r="84" spans="1:10" ht="15" customHeight="1" x14ac:dyDescent="0.3">
      <c r="A84" s="198" t="s">
        <v>550</v>
      </c>
      <c r="B84" s="198"/>
      <c r="C84" s="198"/>
      <c r="D84" s="198"/>
      <c r="E84" s="198"/>
      <c r="F84" s="198"/>
      <c r="G84" s="198"/>
      <c r="H84" s="198"/>
      <c r="I84" s="198"/>
      <c r="J84" s="198"/>
    </row>
    <row r="85" spans="1:10" ht="15" customHeight="1" x14ac:dyDescent="0.3">
      <c r="A85" s="76" t="s">
        <v>551</v>
      </c>
      <c r="C85" s="98">
        <v>30193</v>
      </c>
      <c r="D85" s="98">
        <v>31158</v>
      </c>
      <c r="E85" s="98">
        <v>35234</v>
      </c>
      <c r="F85" s="99">
        <f>F51*F20/365</f>
        <v>37531.183561643833</v>
      </c>
      <c r="G85" s="99">
        <f>G51*G20/365</f>
        <v>40721.334164383567</v>
      </c>
      <c r="H85" s="99">
        <f>H51*H20/365</f>
        <v>44386.254239178088</v>
      </c>
      <c r="I85" s="99">
        <f>I51*I20/365</f>
        <v>48381.017120704113</v>
      </c>
      <c r="J85" s="99">
        <f>J51*J20/365</f>
        <v>52493.403575963966</v>
      </c>
    </row>
    <row r="86" spans="1:10" ht="15" customHeight="1" x14ac:dyDescent="0.3">
      <c r="A86" s="76" t="s">
        <v>552</v>
      </c>
      <c r="C86" s="98">
        <v>3956</v>
      </c>
      <c r="D86" s="98">
        <v>4164</v>
      </c>
      <c r="E86" s="98">
        <v>4744</v>
      </c>
      <c r="F86" s="99">
        <f>F51*F21/365</f>
        <v>5021.7780821917804</v>
      </c>
      <c r="G86" s="99">
        <f>G51*G21/365</f>
        <v>5448.6292191780822</v>
      </c>
      <c r="H86" s="99">
        <f>H51*H21/365</f>
        <v>5939.0058489041094</v>
      </c>
      <c r="I86" s="99">
        <f>I51*I21/365</f>
        <v>6473.5163753054803</v>
      </c>
      <c r="J86" s="99">
        <f>J51*J21/365</f>
        <v>7023.7652672064469</v>
      </c>
    </row>
    <row r="87" spans="1:10" ht="15" customHeight="1" x14ac:dyDescent="0.3">
      <c r="A87" s="76" t="s">
        <v>553</v>
      </c>
      <c r="C87" s="98">
        <v>31538</v>
      </c>
      <c r="D87" s="98">
        <v>29004</v>
      </c>
      <c r="E87" s="98">
        <v>33104</v>
      </c>
      <c r="F87" s="99">
        <f>F51*F22</f>
        <v>36658.980000000003</v>
      </c>
      <c r="G87" s="99">
        <f>G51*G22</f>
        <v>39774.993300000002</v>
      </c>
      <c r="H87" s="99">
        <f>H51*H22</f>
        <v>43354.742697000001</v>
      </c>
      <c r="I87" s="99">
        <f>I51*I22</f>
        <v>47256.669539730006</v>
      </c>
      <c r="J87" s="99">
        <f>J51*J22</f>
        <v>51273.486450607059</v>
      </c>
    </row>
    <row r="88" spans="1:10" ht="15" customHeight="1" x14ac:dyDescent="0.3">
      <c r="A88" s="76" t="s">
        <v>554</v>
      </c>
      <c r="C88" s="98">
        <v>32879</v>
      </c>
      <c r="D88" s="98">
        <v>36231</v>
      </c>
      <c r="E88" s="98">
        <v>44418</v>
      </c>
      <c r="F88" s="99">
        <f>F51*F23</f>
        <v>48235.5</v>
      </c>
      <c r="G88" s="99">
        <f>G51*G23</f>
        <v>52335.517500000002</v>
      </c>
      <c r="H88" s="99">
        <f>H51*H23</f>
        <v>57045.714075000004</v>
      </c>
      <c r="I88" s="99">
        <f>I51*I23</f>
        <v>62179.828341750006</v>
      </c>
      <c r="J88" s="99">
        <f>J51*J23</f>
        <v>67465.113750798759</v>
      </c>
    </row>
    <row r="89" spans="1:10" ht="15" customHeight="1" x14ac:dyDescent="0.3">
      <c r="A89" s="81" t="s">
        <v>555</v>
      </c>
      <c r="C89" s="100">
        <f t="shared" ref="C89:J89" si="8">C85+C87-C86-C88</f>
        <v>24896</v>
      </c>
      <c r="D89" s="100">
        <f t="shared" si="8"/>
        <v>19767</v>
      </c>
      <c r="E89" s="100">
        <f t="shared" si="8"/>
        <v>19176</v>
      </c>
      <c r="F89" s="100">
        <f t="shared" si="8"/>
        <v>20932.885479452045</v>
      </c>
      <c r="G89" s="100">
        <f t="shared" si="8"/>
        <v>22712.180745205478</v>
      </c>
      <c r="H89" s="100">
        <f t="shared" si="8"/>
        <v>24756.277012273982</v>
      </c>
      <c r="I89" s="100">
        <f t="shared" si="8"/>
        <v>26984.341943378633</v>
      </c>
      <c r="J89" s="100">
        <f t="shared" si="8"/>
        <v>29278.011008565823</v>
      </c>
    </row>
    <row r="90" spans="1:10" ht="15" customHeight="1" x14ac:dyDescent="0.3">
      <c r="A90" s="81" t="s">
        <v>556</v>
      </c>
      <c r="C90" s="77" t="s">
        <v>498</v>
      </c>
      <c r="D90" s="101">
        <f t="shared" ref="D90:J90" si="9">-(D89-C89)</f>
        <v>5129</v>
      </c>
      <c r="E90" s="101">
        <f t="shared" si="9"/>
        <v>591</v>
      </c>
      <c r="F90" s="101">
        <f t="shared" si="9"/>
        <v>-1756.8854794520448</v>
      </c>
      <c r="G90" s="101">
        <f t="shared" si="9"/>
        <v>-1779.2952657534333</v>
      </c>
      <c r="H90" s="101">
        <f t="shared" si="9"/>
        <v>-2044.0962670685039</v>
      </c>
      <c r="I90" s="101">
        <f t="shared" si="9"/>
        <v>-2228.0649311046509</v>
      </c>
      <c r="J90" s="101">
        <f t="shared" si="9"/>
        <v>-2293.6690651871904</v>
      </c>
    </row>
    <row r="92" spans="1:10" ht="15" customHeight="1" x14ac:dyDescent="0.3">
      <c r="A92" s="198" t="s">
        <v>557</v>
      </c>
      <c r="B92" s="198"/>
      <c r="C92" s="198"/>
      <c r="D92" s="198"/>
      <c r="E92" s="198"/>
      <c r="F92" s="198"/>
      <c r="G92" s="198"/>
      <c r="H92" s="198"/>
      <c r="I92" s="198"/>
      <c r="J92" s="198"/>
    </row>
    <row r="93" spans="1:10" ht="15" customHeight="1" x14ac:dyDescent="0.3">
      <c r="A93" s="76" t="s">
        <v>558</v>
      </c>
      <c r="C93" s="77" t="s">
        <v>498</v>
      </c>
      <c r="D93" s="105">
        <f t="shared" ref="D93:J93" si="10">C96</f>
        <v>12370</v>
      </c>
      <c r="E93" s="105">
        <f t="shared" si="10"/>
        <v>11778</v>
      </c>
      <c r="F93" s="105">
        <f t="shared" si="10"/>
        <v>12651</v>
      </c>
      <c r="G93" s="105">
        <f t="shared" si="10"/>
        <v>10335.696</v>
      </c>
      <c r="H93" s="105">
        <f t="shared" si="10"/>
        <v>7823.5911599999999</v>
      </c>
      <c r="I93" s="105">
        <f t="shared" si="10"/>
        <v>5085.3968844000001</v>
      </c>
      <c r="J93" s="105">
        <f t="shared" si="10"/>
        <v>2100.7651239960005</v>
      </c>
    </row>
    <row r="94" spans="1:10" ht="15" customHeight="1" x14ac:dyDescent="0.3">
      <c r="A94" s="76" t="s">
        <v>559</v>
      </c>
      <c r="C94" s="98">
        <v>2201</v>
      </c>
      <c r="D94" s="98">
        <v>2237</v>
      </c>
      <c r="E94" s="98">
        <v>2727</v>
      </c>
      <c r="F94" s="99">
        <f>F51*F26</f>
        <v>2894.13</v>
      </c>
      <c r="G94" s="99">
        <f>G51*G26</f>
        <v>3140.13105</v>
      </c>
      <c r="H94" s="99">
        <f>H51*H26</f>
        <v>3422.7428445</v>
      </c>
      <c r="I94" s="99">
        <f>I51*I26</f>
        <v>3730.7897005050004</v>
      </c>
      <c r="J94" s="99">
        <f>J51*J26</f>
        <v>4047.9068250479254</v>
      </c>
    </row>
    <row r="95" spans="1:10" ht="15" customHeight="1" x14ac:dyDescent="0.3">
      <c r="A95" s="76" t="s">
        <v>560</v>
      </c>
      <c r="C95" s="99">
        <f t="shared" ref="C95:J95" si="11">-C56</f>
        <v>-4678</v>
      </c>
      <c r="D95" s="99">
        <f t="shared" si="11"/>
        <v>-4812</v>
      </c>
      <c r="E95" s="99">
        <f t="shared" si="11"/>
        <v>-4902</v>
      </c>
      <c r="F95" s="99">
        <f t="shared" si="11"/>
        <v>-5209.4340000000002</v>
      </c>
      <c r="G95" s="99">
        <f t="shared" si="11"/>
        <v>-5652.2358899999999</v>
      </c>
      <c r="H95" s="99">
        <f t="shared" si="11"/>
        <v>-6160.9371201000004</v>
      </c>
      <c r="I95" s="99">
        <f t="shared" si="11"/>
        <v>-6715.4214609090004</v>
      </c>
      <c r="J95" s="99">
        <f t="shared" si="11"/>
        <v>-7286.2322850862656</v>
      </c>
    </row>
    <row r="96" spans="1:10" ht="15" customHeight="1" x14ac:dyDescent="0.3">
      <c r="A96" s="81" t="s">
        <v>561</v>
      </c>
      <c r="C96" s="98">
        <v>12370</v>
      </c>
      <c r="D96" s="98">
        <v>11778</v>
      </c>
      <c r="E96" s="98">
        <v>12651</v>
      </c>
      <c r="F96" s="101">
        <f>F93+F94+F95</f>
        <v>10335.696</v>
      </c>
      <c r="G96" s="101">
        <f>G93+G94+G95</f>
        <v>7823.5911599999999</v>
      </c>
      <c r="H96" s="101">
        <f>H93+H94+H95</f>
        <v>5085.3968844000001</v>
      </c>
      <c r="I96" s="101">
        <f>I93+I94+I95</f>
        <v>2100.7651239960005</v>
      </c>
      <c r="J96" s="101">
        <f>J93+J94+J95</f>
        <v>-1137.5603360423393</v>
      </c>
    </row>
    <row r="98" spans="1:10" ht="15" customHeight="1" x14ac:dyDescent="0.3">
      <c r="A98" s="198" t="s">
        <v>562</v>
      </c>
      <c r="B98" s="198"/>
      <c r="C98" s="198"/>
      <c r="D98" s="198"/>
      <c r="E98" s="198"/>
      <c r="F98" s="198"/>
      <c r="G98" s="198"/>
      <c r="H98" s="198"/>
      <c r="I98" s="198"/>
      <c r="J98" s="198"/>
    </row>
    <row r="99" spans="1:10" ht="15" customHeight="1" x14ac:dyDescent="0.3">
      <c r="A99" s="76" t="s">
        <v>47</v>
      </c>
      <c r="C99" s="98">
        <v>293</v>
      </c>
      <c r="D99" s="98">
        <v>814</v>
      </c>
      <c r="E99" s="98">
        <v>526</v>
      </c>
      <c r="F99" s="105">
        <f>$E$99</f>
        <v>526</v>
      </c>
      <c r="G99" s="105">
        <f>$E$99</f>
        <v>526</v>
      </c>
      <c r="H99" s="105">
        <f>$E$99</f>
        <v>526</v>
      </c>
      <c r="I99" s="105">
        <f>$E$99</f>
        <v>526</v>
      </c>
      <c r="J99" s="105">
        <f>$E$99</f>
        <v>526</v>
      </c>
    </row>
    <row r="100" spans="1:10" ht="15" customHeight="1" x14ac:dyDescent="0.3">
      <c r="A100" s="76" t="s">
        <v>46</v>
      </c>
      <c r="C100" s="98">
        <v>6552</v>
      </c>
      <c r="D100" s="98">
        <v>6311</v>
      </c>
      <c r="E100" s="98">
        <v>6177</v>
      </c>
      <c r="F100" s="105">
        <f>$E$100</f>
        <v>6177</v>
      </c>
      <c r="G100" s="105">
        <f>$E$100</f>
        <v>6177</v>
      </c>
      <c r="H100" s="105">
        <f>$E$100</f>
        <v>6177</v>
      </c>
      <c r="I100" s="105">
        <f>$E$100</f>
        <v>6177</v>
      </c>
      <c r="J100" s="105">
        <f>$E$100</f>
        <v>6177</v>
      </c>
    </row>
    <row r="101" spans="1:10" ht="15" customHeight="1" x14ac:dyDescent="0.3">
      <c r="A101" s="76" t="s">
        <v>48</v>
      </c>
      <c r="C101" s="98">
        <v>7303</v>
      </c>
      <c r="D101" s="98">
        <v>10106</v>
      </c>
      <c r="E101" s="98">
        <v>12117</v>
      </c>
      <c r="F101" s="105">
        <f>$E$101</f>
        <v>12117</v>
      </c>
      <c r="G101" s="105">
        <f>$E$101</f>
        <v>12117</v>
      </c>
      <c r="H101" s="105">
        <f>$E$101</f>
        <v>12117</v>
      </c>
      <c r="I101" s="105">
        <f>$E$101</f>
        <v>12117</v>
      </c>
      <c r="J101" s="105">
        <f>$E$101</f>
        <v>12117</v>
      </c>
    </row>
    <row r="102" spans="1:10" ht="15" customHeight="1" x14ac:dyDescent="0.3">
      <c r="A102" s="76" t="s">
        <v>49</v>
      </c>
      <c r="C102" s="98">
        <v>1397</v>
      </c>
      <c r="D102" s="98">
        <v>2766</v>
      </c>
      <c r="E102" s="98">
        <v>2825</v>
      </c>
      <c r="F102" s="105">
        <f>$E$102</f>
        <v>2825</v>
      </c>
      <c r="G102" s="105">
        <f>$E$102</f>
        <v>2825</v>
      </c>
      <c r="H102" s="105">
        <f>$E$102</f>
        <v>2825</v>
      </c>
      <c r="I102" s="105">
        <f>$E$102</f>
        <v>2825</v>
      </c>
      <c r="J102" s="105">
        <f>$E$102</f>
        <v>2825</v>
      </c>
    </row>
    <row r="105" spans="1:10" ht="15" customHeight="1" x14ac:dyDescent="0.3">
      <c r="A105" s="158" t="s">
        <v>563</v>
      </c>
      <c r="B105" s="158"/>
      <c r="C105" s="158"/>
      <c r="D105" s="158"/>
      <c r="E105" s="158"/>
      <c r="F105" s="158"/>
      <c r="G105" s="158"/>
      <c r="H105" s="158"/>
      <c r="I105" s="158"/>
      <c r="J105" s="158"/>
    </row>
    <row r="106" spans="1:10" ht="15.75" customHeight="1" x14ac:dyDescent="0.3">
      <c r="A106" s="74" t="s">
        <v>487</v>
      </c>
      <c r="C106" s="75" t="s">
        <v>488</v>
      </c>
      <c r="D106" s="75" t="s">
        <v>489</v>
      </c>
      <c r="E106" s="75" t="s">
        <v>490</v>
      </c>
      <c r="F106" s="75" t="s">
        <v>491</v>
      </c>
      <c r="G106" s="75" t="s">
        <v>492</v>
      </c>
      <c r="H106" s="75" t="s">
        <v>493</v>
      </c>
      <c r="I106" s="75" t="s">
        <v>494</v>
      </c>
      <c r="J106" s="75" t="s">
        <v>495</v>
      </c>
    </row>
    <row r="107" spans="1:10" ht="15" customHeight="1" x14ac:dyDescent="0.3">
      <c r="A107" s="198" t="s">
        <v>564</v>
      </c>
      <c r="B107" s="198"/>
      <c r="C107" s="198"/>
      <c r="D107" s="198"/>
      <c r="E107" s="198"/>
      <c r="F107" s="198"/>
      <c r="G107" s="198"/>
      <c r="H107" s="198"/>
      <c r="I107" s="198"/>
      <c r="J107" s="198"/>
    </row>
    <row r="108" spans="1:10" ht="15" customHeight="1" x14ac:dyDescent="0.3">
      <c r="A108" s="76" t="s">
        <v>565</v>
      </c>
      <c r="C108" s="98">
        <v>6400</v>
      </c>
      <c r="D108" s="98">
        <v>5772</v>
      </c>
      <c r="E108" s="98">
        <v>6016</v>
      </c>
      <c r="F108" s="105">
        <f>$E$108</f>
        <v>6016</v>
      </c>
      <c r="G108" s="105">
        <f>$E$108</f>
        <v>6016</v>
      </c>
      <c r="H108" s="105">
        <f>$E$108</f>
        <v>6016</v>
      </c>
      <c r="I108" s="105">
        <f>$E$108</f>
        <v>6016</v>
      </c>
      <c r="J108" s="105">
        <f>$E$108</f>
        <v>6016</v>
      </c>
    </row>
    <row r="109" spans="1:10" ht="15" customHeight="1" x14ac:dyDescent="0.3">
      <c r="A109" s="76" t="s">
        <v>566</v>
      </c>
      <c r="C109" s="98">
        <v>1959</v>
      </c>
      <c r="D109" s="98">
        <v>2455</v>
      </c>
      <c r="E109" s="98">
        <v>3160</v>
      </c>
      <c r="F109" s="105">
        <f>$E$109</f>
        <v>3160</v>
      </c>
      <c r="G109" s="105">
        <f>$E$109</f>
        <v>3160</v>
      </c>
      <c r="H109" s="105">
        <f>$E$109</f>
        <v>3160</v>
      </c>
      <c r="I109" s="105">
        <f>$E$109</f>
        <v>3160</v>
      </c>
      <c r="J109" s="105">
        <f>$E$109</f>
        <v>3160</v>
      </c>
    </row>
    <row r="110" spans="1:10" ht="15" customHeight="1" x14ac:dyDescent="0.3">
      <c r="A110" s="81" t="s">
        <v>567</v>
      </c>
      <c r="C110" s="100">
        <f t="shared" ref="C110:J110" si="12">C108+C109</f>
        <v>8359</v>
      </c>
      <c r="D110" s="100">
        <f t="shared" si="12"/>
        <v>8227</v>
      </c>
      <c r="E110" s="100">
        <f t="shared" si="12"/>
        <v>9176</v>
      </c>
      <c r="F110" s="100">
        <f t="shared" si="12"/>
        <v>9176</v>
      </c>
      <c r="G110" s="100">
        <f t="shared" si="12"/>
        <v>9176</v>
      </c>
      <c r="H110" s="100">
        <f t="shared" si="12"/>
        <v>9176</v>
      </c>
      <c r="I110" s="100">
        <f t="shared" si="12"/>
        <v>9176</v>
      </c>
      <c r="J110" s="100">
        <f t="shared" si="12"/>
        <v>9176</v>
      </c>
    </row>
    <row r="112" spans="1:10" ht="15" customHeight="1" x14ac:dyDescent="0.3">
      <c r="A112" s="198" t="s">
        <v>568</v>
      </c>
      <c r="B112" s="198"/>
      <c r="C112" s="198"/>
      <c r="D112" s="198"/>
      <c r="E112" s="198"/>
      <c r="F112" s="198"/>
      <c r="G112" s="198"/>
      <c r="H112" s="198"/>
      <c r="I112" s="198"/>
      <c r="J112" s="198"/>
    </row>
    <row r="113" spans="1:10" ht="15" customHeight="1" x14ac:dyDescent="0.3">
      <c r="A113" s="76" t="s">
        <v>60</v>
      </c>
      <c r="C113" s="98">
        <v>14786</v>
      </c>
      <c r="D113" s="98">
        <v>24455</v>
      </c>
      <c r="E113" s="98">
        <v>22201</v>
      </c>
      <c r="F113" s="99">
        <f>F197</f>
        <v>30741.458873582193</v>
      </c>
      <c r="G113" s="99">
        <f>G197</f>
        <v>40095.664443331683</v>
      </c>
      <c r="H113" s="99">
        <f>H197</f>
        <v>50351.006918543579</v>
      </c>
      <c r="I113" s="99">
        <f>I197</f>
        <v>61611.034510965605</v>
      </c>
      <c r="J113" s="99">
        <f>J197</f>
        <v>73876.281376325569</v>
      </c>
    </row>
    <row r="114" spans="1:10" ht="15" customHeight="1" x14ac:dyDescent="0.3">
      <c r="A114" s="76" t="s">
        <v>58</v>
      </c>
      <c r="C114" s="98">
        <v>12915</v>
      </c>
      <c r="D114" s="98">
        <v>12482</v>
      </c>
      <c r="E114" s="98">
        <v>12950</v>
      </c>
      <c r="F114" s="105">
        <f>$E$114</f>
        <v>12950</v>
      </c>
      <c r="G114" s="105">
        <f>$E$114</f>
        <v>12950</v>
      </c>
      <c r="H114" s="105">
        <f>$E$114</f>
        <v>12950</v>
      </c>
      <c r="I114" s="105">
        <f>$E$114</f>
        <v>12950</v>
      </c>
      <c r="J114" s="105">
        <f>$E$114</f>
        <v>12950</v>
      </c>
    </row>
    <row r="115" spans="1:10" ht="15" customHeight="1" x14ac:dyDescent="0.3">
      <c r="A115" s="76" t="s">
        <v>50</v>
      </c>
      <c r="C115" s="98">
        <v>11708</v>
      </c>
      <c r="D115" s="98">
        <v>11059</v>
      </c>
      <c r="E115" s="98">
        <v>8930</v>
      </c>
      <c r="F115" s="105">
        <f>$E$115</f>
        <v>8930</v>
      </c>
      <c r="G115" s="105">
        <f>$E$115</f>
        <v>8930</v>
      </c>
      <c r="H115" s="105">
        <f>$E$115</f>
        <v>8930</v>
      </c>
      <c r="I115" s="105">
        <f>$E$115</f>
        <v>8930</v>
      </c>
      <c r="J115" s="105">
        <f>$E$115</f>
        <v>8930</v>
      </c>
    </row>
    <row r="116" spans="1:10" ht="15" customHeight="1" x14ac:dyDescent="0.3">
      <c r="A116" s="76" t="s">
        <v>569</v>
      </c>
      <c r="C116" s="98">
        <v>12085</v>
      </c>
      <c r="D116" s="98">
        <v>13840</v>
      </c>
      <c r="E116" s="98">
        <v>15890</v>
      </c>
      <c r="F116" s="105">
        <f>$E$116</f>
        <v>15890</v>
      </c>
      <c r="G116" s="105">
        <f>$E$116</f>
        <v>15890</v>
      </c>
      <c r="H116" s="105">
        <f>$E$116</f>
        <v>15890</v>
      </c>
      <c r="I116" s="105">
        <f>$E$116</f>
        <v>15890</v>
      </c>
      <c r="J116" s="105">
        <f>$E$116</f>
        <v>15890</v>
      </c>
    </row>
    <row r="117" spans="1:10" ht="15" customHeight="1" x14ac:dyDescent="0.3">
      <c r="A117" s="76" t="s">
        <v>570</v>
      </c>
      <c r="C117" s="98">
        <v>3105</v>
      </c>
      <c r="D117" s="98">
        <v>3511</v>
      </c>
      <c r="E117" s="98">
        <v>2776</v>
      </c>
      <c r="F117" s="105">
        <f>$E$117</f>
        <v>2776</v>
      </c>
      <c r="G117" s="105">
        <f>$E$117</f>
        <v>2776</v>
      </c>
      <c r="H117" s="105">
        <f>$E$117</f>
        <v>2776</v>
      </c>
      <c r="I117" s="105">
        <f>$E$117</f>
        <v>2776</v>
      </c>
      <c r="J117" s="105">
        <f>$E$117</f>
        <v>2776</v>
      </c>
    </row>
    <row r="118" spans="1:10" ht="15" customHeight="1" x14ac:dyDescent="0.3">
      <c r="A118" s="81" t="s">
        <v>571</v>
      </c>
      <c r="C118" s="100">
        <f t="shared" ref="C118:J118" si="13">C113+C114+C115+C116+C117</f>
        <v>54599</v>
      </c>
      <c r="D118" s="100">
        <f t="shared" si="13"/>
        <v>65347</v>
      </c>
      <c r="E118" s="100">
        <f t="shared" si="13"/>
        <v>62747</v>
      </c>
      <c r="F118" s="100">
        <f t="shared" si="13"/>
        <v>71287.458873582189</v>
      </c>
      <c r="G118" s="100">
        <f t="shared" si="13"/>
        <v>80641.664443331683</v>
      </c>
      <c r="H118" s="100">
        <f t="shared" si="13"/>
        <v>90897.006918543571</v>
      </c>
      <c r="I118" s="100">
        <f t="shared" si="13"/>
        <v>102157.0345109656</v>
      </c>
      <c r="J118" s="100">
        <f t="shared" si="13"/>
        <v>114422.28137632557</v>
      </c>
    </row>
    <row r="119" spans="1:10" ht="15" customHeight="1" x14ac:dyDescent="0.3">
      <c r="A119" s="81" t="s">
        <v>572</v>
      </c>
      <c r="C119" s="101">
        <f t="shared" ref="C119:J119" si="14">C118-C110</f>
        <v>46240</v>
      </c>
      <c r="D119" s="101">
        <f t="shared" si="14"/>
        <v>57120</v>
      </c>
      <c r="E119" s="101">
        <f t="shared" si="14"/>
        <v>53571</v>
      </c>
      <c r="F119" s="101">
        <f t="shared" si="14"/>
        <v>62111.458873582189</v>
      </c>
      <c r="G119" s="101">
        <f t="shared" si="14"/>
        <v>71465.664443331683</v>
      </c>
      <c r="H119" s="101">
        <f t="shared" si="14"/>
        <v>81721.006918543571</v>
      </c>
      <c r="I119" s="101">
        <f t="shared" si="14"/>
        <v>92981.034510965605</v>
      </c>
      <c r="J119" s="101">
        <f t="shared" si="14"/>
        <v>105246.28137632557</v>
      </c>
    </row>
    <row r="121" spans="1:10" ht="15" customHeight="1" x14ac:dyDescent="0.3">
      <c r="A121" s="198" t="s">
        <v>573</v>
      </c>
      <c r="B121" s="198"/>
      <c r="C121" s="198"/>
      <c r="D121" s="198"/>
      <c r="E121" s="198"/>
      <c r="F121" s="198"/>
      <c r="G121" s="198"/>
      <c r="H121" s="198"/>
      <c r="I121" s="198"/>
      <c r="J121" s="198"/>
    </row>
    <row r="122" spans="1:10" ht="15" customHeight="1" x14ac:dyDescent="0.3">
      <c r="A122" s="76" t="s">
        <v>574</v>
      </c>
      <c r="D122" s="96">
        <f>D46</f>
        <v>481712</v>
      </c>
    </row>
    <row r="123" spans="1:10" ht="15" customHeight="1" x14ac:dyDescent="0.3">
      <c r="A123" s="76" t="s">
        <v>575</v>
      </c>
      <c r="D123" s="105">
        <f>E110</f>
        <v>9176</v>
      </c>
    </row>
    <row r="124" spans="1:10" ht="15" customHeight="1" x14ac:dyDescent="0.3">
      <c r="A124" s="81" t="s">
        <v>576</v>
      </c>
      <c r="D124" s="100">
        <f>D122+D123</f>
        <v>490888</v>
      </c>
    </row>
    <row r="125" spans="1:10" ht="15" customHeight="1" x14ac:dyDescent="0.3">
      <c r="A125" s="81" t="s">
        <v>522</v>
      </c>
      <c r="D125" s="89">
        <f>D123/D124</f>
        <v>1.8692654943693876E-2</v>
      </c>
    </row>
    <row r="126" spans="1:10" ht="15" customHeight="1" x14ac:dyDescent="0.3">
      <c r="A126" s="81" t="s">
        <v>523</v>
      </c>
      <c r="D126" s="89">
        <f>D122/D124</f>
        <v>0.98130734505630612</v>
      </c>
    </row>
    <row r="129" spans="1:10" ht="15" customHeight="1" x14ac:dyDescent="0.3">
      <c r="A129" s="158" t="s">
        <v>577</v>
      </c>
      <c r="B129" s="158"/>
      <c r="C129" s="158"/>
      <c r="D129" s="158"/>
      <c r="E129" s="158"/>
      <c r="F129" s="158"/>
      <c r="G129" s="158"/>
      <c r="H129" s="158"/>
      <c r="I129" s="158"/>
      <c r="J129" s="158"/>
    </row>
    <row r="130" spans="1:10" ht="15.75" customHeight="1" x14ac:dyDescent="0.3">
      <c r="A130" s="74" t="s">
        <v>487</v>
      </c>
      <c r="C130" s="75" t="s">
        <v>488</v>
      </c>
      <c r="D130" s="75" t="s">
        <v>489</v>
      </c>
      <c r="E130" s="75" t="s">
        <v>490</v>
      </c>
      <c r="F130" s="75" t="s">
        <v>491</v>
      </c>
      <c r="G130" s="75" t="s">
        <v>492</v>
      </c>
      <c r="H130" s="75" t="s">
        <v>493</v>
      </c>
      <c r="I130" s="75" t="s">
        <v>494</v>
      </c>
      <c r="J130" s="75" t="s">
        <v>495</v>
      </c>
    </row>
    <row r="131" spans="1:10" ht="15" customHeight="1" x14ac:dyDescent="0.3">
      <c r="A131" s="198" t="s">
        <v>578</v>
      </c>
      <c r="B131" s="198"/>
      <c r="C131" s="198"/>
      <c r="D131" s="198"/>
      <c r="E131" s="198"/>
      <c r="F131" s="198"/>
      <c r="G131" s="198"/>
      <c r="H131" s="198"/>
      <c r="I131" s="198"/>
      <c r="J131" s="198"/>
    </row>
    <row r="132" spans="1:10" ht="15" customHeight="1" x14ac:dyDescent="0.3">
      <c r="A132" s="76" t="s">
        <v>45</v>
      </c>
      <c r="C132" s="98">
        <v>12370</v>
      </c>
      <c r="D132" s="98">
        <v>11778</v>
      </c>
      <c r="E132" s="98">
        <v>12651</v>
      </c>
      <c r="F132" s="99">
        <f>F96</f>
        <v>10335.696</v>
      </c>
      <c r="G132" s="99">
        <f>G96</f>
        <v>7823.5911599999999</v>
      </c>
      <c r="H132" s="99">
        <f>H96</f>
        <v>5085.3968844000001</v>
      </c>
      <c r="I132" s="99">
        <f>I96</f>
        <v>2100.7651239960005</v>
      </c>
      <c r="J132" s="99">
        <f>J96</f>
        <v>-1137.5603360423393</v>
      </c>
    </row>
    <row r="133" spans="1:10" ht="15" customHeight="1" x14ac:dyDescent="0.3">
      <c r="A133" s="76" t="s">
        <v>47</v>
      </c>
      <c r="C133" s="98">
        <v>293</v>
      </c>
      <c r="D133" s="98">
        <v>814</v>
      </c>
      <c r="E133" s="98">
        <v>526</v>
      </c>
      <c r="F133" s="99">
        <f t="shared" ref="F133:J136" si="15">F99</f>
        <v>526</v>
      </c>
      <c r="G133" s="99">
        <f t="shared" si="15"/>
        <v>526</v>
      </c>
      <c r="H133" s="99">
        <f t="shared" si="15"/>
        <v>526</v>
      </c>
      <c r="I133" s="99">
        <f t="shared" si="15"/>
        <v>526</v>
      </c>
      <c r="J133" s="99">
        <f t="shared" si="15"/>
        <v>526</v>
      </c>
    </row>
    <row r="134" spans="1:10" ht="15" customHeight="1" x14ac:dyDescent="0.3">
      <c r="A134" s="76" t="s">
        <v>46</v>
      </c>
      <c r="C134" s="98">
        <v>6552</v>
      </c>
      <c r="D134" s="98">
        <v>6311</v>
      </c>
      <c r="E134" s="98">
        <v>6177</v>
      </c>
      <c r="F134" s="99">
        <f t="shared" si="15"/>
        <v>6177</v>
      </c>
      <c r="G134" s="99">
        <f t="shared" si="15"/>
        <v>6177</v>
      </c>
      <c r="H134" s="99">
        <f t="shared" si="15"/>
        <v>6177</v>
      </c>
      <c r="I134" s="99">
        <f t="shared" si="15"/>
        <v>6177</v>
      </c>
      <c r="J134" s="99">
        <f t="shared" si="15"/>
        <v>6177</v>
      </c>
    </row>
    <row r="135" spans="1:10" ht="15" customHeight="1" x14ac:dyDescent="0.3">
      <c r="A135" s="76" t="s">
        <v>48</v>
      </c>
      <c r="C135" s="98">
        <v>7303</v>
      </c>
      <c r="D135" s="98">
        <v>10106</v>
      </c>
      <c r="E135" s="98">
        <v>12117</v>
      </c>
      <c r="F135" s="99">
        <f t="shared" si="15"/>
        <v>12117</v>
      </c>
      <c r="G135" s="99">
        <f t="shared" si="15"/>
        <v>12117</v>
      </c>
      <c r="H135" s="99">
        <f t="shared" si="15"/>
        <v>12117</v>
      </c>
      <c r="I135" s="99">
        <f t="shared" si="15"/>
        <v>12117</v>
      </c>
      <c r="J135" s="99">
        <f t="shared" si="15"/>
        <v>12117</v>
      </c>
    </row>
    <row r="136" spans="1:10" ht="15" customHeight="1" x14ac:dyDescent="0.3">
      <c r="A136" s="76" t="s">
        <v>49</v>
      </c>
      <c r="C136" s="98">
        <v>1397</v>
      </c>
      <c r="D136" s="98">
        <v>2766</v>
      </c>
      <c r="E136" s="98">
        <v>2825</v>
      </c>
      <c r="F136" s="99">
        <f t="shared" si="15"/>
        <v>2825</v>
      </c>
      <c r="G136" s="99">
        <f t="shared" si="15"/>
        <v>2825</v>
      </c>
      <c r="H136" s="99">
        <f t="shared" si="15"/>
        <v>2825</v>
      </c>
      <c r="I136" s="99">
        <f t="shared" si="15"/>
        <v>2825</v>
      </c>
      <c r="J136" s="99">
        <f t="shared" si="15"/>
        <v>2825</v>
      </c>
    </row>
    <row r="137" spans="1:10" ht="15" customHeight="1" x14ac:dyDescent="0.3">
      <c r="A137" s="76" t="s">
        <v>50</v>
      </c>
      <c r="C137" s="98">
        <v>11708</v>
      </c>
      <c r="D137" s="98">
        <v>11059</v>
      </c>
      <c r="E137" s="98">
        <v>8930</v>
      </c>
      <c r="F137" s="105">
        <f>$E$137</f>
        <v>8930</v>
      </c>
      <c r="G137" s="105">
        <f>$E$137</f>
        <v>8930</v>
      </c>
      <c r="H137" s="105">
        <f>$E$137</f>
        <v>8930</v>
      </c>
      <c r="I137" s="105">
        <f>$E$137</f>
        <v>8930</v>
      </c>
      <c r="J137" s="105">
        <f>$E$137</f>
        <v>8930</v>
      </c>
    </row>
    <row r="138" spans="1:10" ht="15" customHeight="1" x14ac:dyDescent="0.3">
      <c r="A138" s="76" t="s">
        <v>55</v>
      </c>
      <c r="C138" s="98">
        <v>8759</v>
      </c>
      <c r="D138" s="98">
        <v>8970</v>
      </c>
      <c r="E138" s="98">
        <v>9252</v>
      </c>
      <c r="F138" s="105">
        <f>$E$138</f>
        <v>9252</v>
      </c>
      <c r="G138" s="105">
        <f>$E$138</f>
        <v>9252</v>
      </c>
      <c r="H138" s="105">
        <f>$E$138</f>
        <v>9252</v>
      </c>
      <c r="I138" s="105">
        <f>$E$138</f>
        <v>9252</v>
      </c>
      <c r="J138" s="105">
        <f>$E$138</f>
        <v>9252</v>
      </c>
    </row>
    <row r="139" spans="1:10" ht="15" customHeight="1" x14ac:dyDescent="0.3">
      <c r="A139" s="81" t="s">
        <v>56</v>
      </c>
      <c r="C139" s="100">
        <f t="shared" ref="C139:J139" si="16">C132+C133+C134+C135+C136+C137+C138</f>
        <v>48382</v>
      </c>
      <c r="D139" s="100">
        <f t="shared" si="16"/>
        <v>51804</v>
      </c>
      <c r="E139" s="100">
        <f t="shared" si="16"/>
        <v>52478</v>
      </c>
      <c r="F139" s="100">
        <f t="shared" si="16"/>
        <v>50162.695999999996</v>
      </c>
      <c r="G139" s="100">
        <f t="shared" si="16"/>
        <v>47650.591159999996</v>
      </c>
      <c r="H139" s="100">
        <f t="shared" si="16"/>
        <v>44912.396884400005</v>
      </c>
      <c r="I139" s="100">
        <f t="shared" si="16"/>
        <v>41927.765123995996</v>
      </c>
      <c r="J139" s="100">
        <f t="shared" si="16"/>
        <v>38689.439663957659</v>
      </c>
    </row>
    <row r="141" spans="1:10" ht="15" customHeight="1" x14ac:dyDescent="0.3">
      <c r="A141" s="198" t="s">
        <v>579</v>
      </c>
      <c r="B141" s="198"/>
      <c r="C141" s="198"/>
      <c r="D141" s="198"/>
      <c r="E141" s="198"/>
      <c r="F141" s="198"/>
      <c r="G141" s="198"/>
      <c r="H141" s="198"/>
      <c r="I141" s="198"/>
      <c r="J141" s="198"/>
    </row>
    <row r="142" spans="1:10" ht="15" customHeight="1" x14ac:dyDescent="0.3">
      <c r="A142" s="76" t="s">
        <v>58</v>
      </c>
      <c r="C142" s="98">
        <v>12915</v>
      </c>
      <c r="D142" s="98">
        <v>12482</v>
      </c>
      <c r="E142" s="98">
        <v>12950</v>
      </c>
      <c r="F142" s="105">
        <f>$E$142</f>
        <v>12950</v>
      </c>
      <c r="G142" s="105">
        <f>$E$142</f>
        <v>12950</v>
      </c>
      <c r="H142" s="105">
        <f>$E$142</f>
        <v>12950</v>
      </c>
      <c r="I142" s="105">
        <f>$E$142</f>
        <v>12950</v>
      </c>
      <c r="J142" s="105">
        <f>$E$142</f>
        <v>12950</v>
      </c>
    </row>
    <row r="143" spans="1:10" ht="15" customHeight="1" x14ac:dyDescent="0.3">
      <c r="A143" s="76" t="s">
        <v>59</v>
      </c>
      <c r="C143" s="98">
        <v>30193</v>
      </c>
      <c r="D143" s="98">
        <v>31158</v>
      </c>
      <c r="E143" s="98">
        <v>35234</v>
      </c>
      <c r="F143" s="99">
        <f>F85</f>
        <v>37531.183561643833</v>
      </c>
      <c r="G143" s="99">
        <f>G85</f>
        <v>40721.334164383567</v>
      </c>
      <c r="H143" s="99">
        <f>H85</f>
        <v>44386.254239178088</v>
      </c>
      <c r="I143" s="99">
        <f>I85</f>
        <v>48381.017120704113</v>
      </c>
      <c r="J143" s="99">
        <f>J85</f>
        <v>52493.403575963966</v>
      </c>
    </row>
    <row r="144" spans="1:10" ht="15" customHeight="1" x14ac:dyDescent="0.3">
      <c r="A144" s="76" t="s">
        <v>60</v>
      </c>
      <c r="C144" s="98">
        <v>14786</v>
      </c>
      <c r="D144" s="98">
        <v>24455</v>
      </c>
      <c r="E144" s="98">
        <v>22201</v>
      </c>
      <c r="F144" s="99">
        <f>F197</f>
        <v>30741.458873582193</v>
      </c>
      <c r="G144" s="99">
        <f>G197</f>
        <v>40095.664443331683</v>
      </c>
      <c r="H144" s="99">
        <f>H197</f>
        <v>50351.006918543579</v>
      </c>
      <c r="I144" s="99">
        <f>I197</f>
        <v>61611.034510965605</v>
      </c>
      <c r="J144" s="99">
        <f>J197</f>
        <v>73876.281376325569</v>
      </c>
    </row>
    <row r="145" spans="1:10" ht="15" customHeight="1" x14ac:dyDescent="0.3">
      <c r="A145" s="76" t="s">
        <v>64</v>
      </c>
      <c r="C145" s="98">
        <v>31538</v>
      </c>
      <c r="D145" s="98">
        <v>29004</v>
      </c>
      <c r="E145" s="98">
        <v>33104</v>
      </c>
      <c r="F145" s="99">
        <f>F87</f>
        <v>36658.980000000003</v>
      </c>
      <c r="G145" s="99">
        <f>G87</f>
        <v>39774.993300000002</v>
      </c>
      <c r="H145" s="99">
        <f>H87</f>
        <v>43354.742697000001</v>
      </c>
      <c r="I145" s="99">
        <f>I87</f>
        <v>47256.669539730006</v>
      </c>
      <c r="J145" s="99">
        <f>J87</f>
        <v>51273.486450607059</v>
      </c>
    </row>
    <row r="146" spans="1:10" ht="15" customHeight="1" x14ac:dyDescent="0.3">
      <c r="A146" s="81" t="s">
        <v>65</v>
      </c>
      <c r="C146" s="100">
        <f t="shared" ref="C146:J146" si="17">C142+C143+C144+C145</f>
        <v>89432</v>
      </c>
      <c r="D146" s="100">
        <f t="shared" si="17"/>
        <v>97099</v>
      </c>
      <c r="E146" s="100">
        <f t="shared" si="17"/>
        <v>103489</v>
      </c>
      <c r="F146" s="100">
        <f t="shared" si="17"/>
        <v>117881.62243522602</v>
      </c>
      <c r="G146" s="100">
        <f t="shared" si="17"/>
        <v>133541.99190771524</v>
      </c>
      <c r="H146" s="100">
        <f t="shared" si="17"/>
        <v>151042.00385472167</v>
      </c>
      <c r="I146" s="100">
        <f t="shared" si="17"/>
        <v>170198.72117139972</v>
      </c>
      <c r="J146" s="100">
        <f t="shared" si="17"/>
        <v>190593.17140289658</v>
      </c>
    </row>
    <row r="147" spans="1:10" ht="15" customHeight="1" x14ac:dyDescent="0.3">
      <c r="A147" s="81" t="s">
        <v>66</v>
      </c>
      <c r="C147" s="106">
        <f t="shared" ref="C147:J147" si="18">C139+C146</f>
        <v>137814</v>
      </c>
      <c r="D147" s="106">
        <f t="shared" si="18"/>
        <v>148903</v>
      </c>
      <c r="E147" s="106">
        <f t="shared" si="18"/>
        <v>155967</v>
      </c>
      <c r="F147" s="106">
        <f t="shared" si="18"/>
        <v>168044.31843522601</v>
      </c>
      <c r="G147" s="106">
        <f t="shared" si="18"/>
        <v>181192.58306771523</v>
      </c>
      <c r="H147" s="106">
        <f t="shared" si="18"/>
        <v>195954.40073912166</v>
      </c>
      <c r="I147" s="106">
        <f t="shared" si="18"/>
        <v>212126.48629539571</v>
      </c>
      <c r="J147" s="106">
        <f t="shared" si="18"/>
        <v>229282.61106685424</v>
      </c>
    </row>
    <row r="149" spans="1:10" ht="15" customHeight="1" x14ac:dyDescent="0.3">
      <c r="A149" s="198" t="s">
        <v>580</v>
      </c>
      <c r="B149" s="198"/>
      <c r="C149" s="198"/>
      <c r="D149" s="198"/>
      <c r="E149" s="198"/>
      <c r="F149" s="198"/>
      <c r="G149" s="198"/>
      <c r="H149" s="198"/>
      <c r="I149" s="198"/>
      <c r="J149" s="198"/>
    </row>
    <row r="150" spans="1:10" ht="15" customHeight="1" x14ac:dyDescent="0.3">
      <c r="A150" s="76" t="s">
        <v>69</v>
      </c>
      <c r="C150" s="98">
        <v>2071</v>
      </c>
      <c r="D150" s="98">
        <v>2073</v>
      </c>
      <c r="E150" s="98">
        <v>2024</v>
      </c>
      <c r="F150" s="105">
        <f>$E$150</f>
        <v>2024</v>
      </c>
      <c r="G150" s="105">
        <f>$E$150</f>
        <v>2024</v>
      </c>
      <c r="H150" s="105">
        <f>$E$150</f>
        <v>2024</v>
      </c>
      <c r="I150" s="105">
        <f>$E$150</f>
        <v>2024</v>
      </c>
      <c r="J150" s="105">
        <f>$E$150</f>
        <v>2024</v>
      </c>
    </row>
    <row r="151" spans="1:10" ht="15" customHeight="1" x14ac:dyDescent="0.3">
      <c r="A151" s="76" t="s">
        <v>581</v>
      </c>
      <c r="C151" s="98">
        <v>86045</v>
      </c>
      <c r="D151" s="98">
        <v>93745</v>
      </c>
      <c r="E151" s="98">
        <v>90828</v>
      </c>
      <c r="F151" s="99">
        <f>E151+F74-F201</f>
        <v>98768.018453673241</v>
      </c>
      <c r="G151" s="99">
        <f>F151+G74-G201</f>
        <v>107343.2246914962</v>
      </c>
      <c r="H151" s="99">
        <f>G151+H74-H201</f>
        <v>116853.47268571355</v>
      </c>
      <c r="I151" s="99">
        <f>H151+I74-I201</f>
        <v>127300.63918996634</v>
      </c>
      <c r="J151" s="99">
        <f>I151+J74-J201</f>
        <v>138559.89429202952</v>
      </c>
    </row>
    <row r="152" spans="1:10" ht="15" customHeight="1" x14ac:dyDescent="0.3">
      <c r="A152" s="81" t="s">
        <v>71</v>
      </c>
      <c r="C152" s="100">
        <f t="shared" ref="C152:J152" si="19">C150+C151</f>
        <v>88116</v>
      </c>
      <c r="D152" s="100">
        <f t="shared" si="19"/>
        <v>95818</v>
      </c>
      <c r="E152" s="100">
        <f t="shared" si="19"/>
        <v>92852</v>
      </c>
      <c r="F152" s="100">
        <f t="shared" si="19"/>
        <v>100792.01845367324</v>
      </c>
      <c r="G152" s="100">
        <f t="shared" si="19"/>
        <v>109367.2246914962</v>
      </c>
      <c r="H152" s="100">
        <f t="shared" si="19"/>
        <v>118877.47268571355</v>
      </c>
      <c r="I152" s="100">
        <f t="shared" si="19"/>
        <v>129324.63918996634</v>
      </c>
      <c r="J152" s="100">
        <f t="shared" si="19"/>
        <v>140583.89429202952</v>
      </c>
    </row>
    <row r="153" spans="1:10" ht="15" customHeight="1" x14ac:dyDescent="0.3">
      <c r="A153" s="76" t="s">
        <v>72</v>
      </c>
      <c r="C153" s="98">
        <v>345</v>
      </c>
      <c r="D153" s="98">
        <v>385</v>
      </c>
      <c r="E153" s="98">
        <v>445</v>
      </c>
      <c r="F153" s="105">
        <f>E153+F73</f>
        <v>487.02189936100001</v>
      </c>
      <c r="G153" s="105">
        <f>F153+G73</f>
        <v>533.21165704097496</v>
      </c>
      <c r="H153" s="105">
        <f>G153+H73</f>
        <v>584.20812950403376</v>
      </c>
      <c r="I153" s="105">
        <f>H153+I73</f>
        <v>640.50238837392374</v>
      </c>
      <c r="J153" s="105">
        <f>I153+J73</f>
        <v>701.8377568195524</v>
      </c>
    </row>
    <row r="154" spans="1:10" ht="15" customHeight="1" x14ac:dyDescent="0.3">
      <c r="A154" s="81" t="s">
        <v>73</v>
      </c>
      <c r="C154" s="101">
        <f t="shared" ref="C154:J154" si="20">C152+C153</f>
        <v>88461</v>
      </c>
      <c r="D154" s="101">
        <f t="shared" si="20"/>
        <v>96203</v>
      </c>
      <c r="E154" s="101">
        <f t="shared" si="20"/>
        <v>93297</v>
      </c>
      <c r="F154" s="101">
        <f t="shared" si="20"/>
        <v>101279.04035303424</v>
      </c>
      <c r="G154" s="101">
        <f t="shared" si="20"/>
        <v>109900.43634853717</v>
      </c>
      <c r="H154" s="101">
        <f t="shared" si="20"/>
        <v>119461.68081521759</v>
      </c>
      <c r="I154" s="101">
        <f t="shared" si="20"/>
        <v>129965.14157834026</v>
      </c>
      <c r="J154" s="101">
        <f t="shared" si="20"/>
        <v>141285.73204884908</v>
      </c>
    </row>
    <row r="156" spans="1:10" ht="15" customHeight="1" x14ac:dyDescent="0.3">
      <c r="A156" s="198" t="s">
        <v>582</v>
      </c>
      <c r="B156" s="198"/>
      <c r="C156" s="198"/>
      <c r="D156" s="198"/>
      <c r="E156" s="198"/>
      <c r="F156" s="198"/>
      <c r="G156" s="198"/>
      <c r="H156" s="198"/>
      <c r="I156" s="198"/>
      <c r="J156" s="198"/>
    </row>
    <row r="157" spans="1:10" ht="15" customHeight="1" x14ac:dyDescent="0.3">
      <c r="A157" s="76" t="s">
        <v>583</v>
      </c>
      <c r="C157" s="98">
        <v>6400</v>
      </c>
      <c r="D157" s="98">
        <v>5772</v>
      </c>
      <c r="E157" s="98">
        <v>6016</v>
      </c>
      <c r="F157" s="105">
        <f>$E$157</f>
        <v>6016</v>
      </c>
      <c r="G157" s="105">
        <f>$E$157</f>
        <v>6016</v>
      </c>
      <c r="H157" s="105">
        <f>$E$157</f>
        <v>6016</v>
      </c>
      <c r="I157" s="105">
        <f>$E$157</f>
        <v>6016</v>
      </c>
      <c r="J157" s="105">
        <f>$E$157</f>
        <v>6016</v>
      </c>
    </row>
    <row r="158" spans="1:10" ht="15" customHeight="1" x14ac:dyDescent="0.3">
      <c r="A158" s="76" t="s">
        <v>78</v>
      </c>
      <c r="C158" s="98">
        <v>4159</v>
      </c>
      <c r="D158" s="98">
        <v>4078</v>
      </c>
      <c r="E158" s="98">
        <v>4332</v>
      </c>
      <c r="F158" s="105">
        <f>$E$158</f>
        <v>4332</v>
      </c>
      <c r="G158" s="105">
        <f>$E$158</f>
        <v>4332</v>
      </c>
      <c r="H158" s="105">
        <f>$E$158</f>
        <v>4332</v>
      </c>
      <c r="I158" s="105">
        <f>$E$158</f>
        <v>4332</v>
      </c>
      <c r="J158" s="105">
        <f>$E$158</f>
        <v>4332</v>
      </c>
    </row>
    <row r="159" spans="1:10" ht="15" customHeight="1" x14ac:dyDescent="0.3">
      <c r="A159" s="81" t="s">
        <v>79</v>
      </c>
      <c r="C159" s="100">
        <f t="shared" ref="C159:J159" si="21">C157+C158</f>
        <v>10559</v>
      </c>
      <c r="D159" s="100">
        <f t="shared" si="21"/>
        <v>9850</v>
      </c>
      <c r="E159" s="100">
        <f t="shared" si="21"/>
        <v>10348</v>
      </c>
      <c r="F159" s="100">
        <f t="shared" si="21"/>
        <v>10348</v>
      </c>
      <c r="G159" s="100">
        <f t="shared" si="21"/>
        <v>10348</v>
      </c>
      <c r="H159" s="100">
        <f t="shared" si="21"/>
        <v>10348</v>
      </c>
      <c r="I159" s="100">
        <f t="shared" si="21"/>
        <v>10348</v>
      </c>
      <c r="J159" s="100">
        <f t="shared" si="21"/>
        <v>10348</v>
      </c>
    </row>
    <row r="161" spans="1:10" ht="15" customHeight="1" x14ac:dyDescent="0.3">
      <c r="A161" s="198" t="s">
        <v>584</v>
      </c>
      <c r="B161" s="198"/>
      <c r="C161" s="198"/>
      <c r="D161" s="198"/>
      <c r="E161" s="198"/>
      <c r="F161" s="198"/>
      <c r="G161" s="198"/>
      <c r="H161" s="198"/>
      <c r="I161" s="198"/>
      <c r="J161" s="198"/>
    </row>
    <row r="162" spans="1:10" ht="15" customHeight="1" x14ac:dyDescent="0.3">
      <c r="A162" s="76" t="s">
        <v>583</v>
      </c>
      <c r="C162" s="98">
        <v>1959</v>
      </c>
      <c r="D162" s="98">
        <v>2455</v>
      </c>
      <c r="E162" s="98">
        <v>3160</v>
      </c>
      <c r="F162" s="105">
        <f>$E$162</f>
        <v>3160</v>
      </c>
      <c r="G162" s="105">
        <f>$E$162</f>
        <v>3160</v>
      </c>
      <c r="H162" s="105">
        <f>$E$162</f>
        <v>3160</v>
      </c>
      <c r="I162" s="105">
        <f>$E$162</f>
        <v>3160</v>
      </c>
      <c r="J162" s="105">
        <f>$E$162</f>
        <v>3160</v>
      </c>
    </row>
    <row r="163" spans="1:10" ht="15" customHeight="1" x14ac:dyDescent="0.3">
      <c r="A163" s="76" t="s">
        <v>82</v>
      </c>
      <c r="C163" s="98">
        <v>3956</v>
      </c>
      <c r="D163" s="98">
        <v>4164</v>
      </c>
      <c r="E163" s="98">
        <v>4744</v>
      </c>
      <c r="F163" s="99">
        <f>F86</f>
        <v>5021.7780821917804</v>
      </c>
      <c r="G163" s="99">
        <f>G86</f>
        <v>5448.6292191780822</v>
      </c>
      <c r="H163" s="99">
        <f>H86</f>
        <v>5939.0058489041094</v>
      </c>
      <c r="I163" s="99">
        <f>I86</f>
        <v>6473.5163753054803</v>
      </c>
      <c r="J163" s="99">
        <f>J86</f>
        <v>7023.7652672064469</v>
      </c>
    </row>
    <row r="164" spans="1:10" ht="15" customHeight="1" x14ac:dyDescent="0.3">
      <c r="A164" s="76" t="s">
        <v>84</v>
      </c>
      <c r="C164" s="98">
        <v>32879</v>
      </c>
      <c r="D164" s="98">
        <v>36231</v>
      </c>
      <c r="E164" s="98">
        <v>44418</v>
      </c>
      <c r="F164" s="99">
        <f>F88</f>
        <v>48235.5</v>
      </c>
      <c r="G164" s="99">
        <f>G88</f>
        <v>52335.517500000002</v>
      </c>
      <c r="H164" s="99">
        <f>H88</f>
        <v>57045.714075000004</v>
      </c>
      <c r="I164" s="99">
        <f>I88</f>
        <v>62179.828341750006</v>
      </c>
      <c r="J164" s="99">
        <f>J88</f>
        <v>67465.113750798759</v>
      </c>
    </row>
    <row r="165" spans="1:10" ht="15" customHeight="1" x14ac:dyDescent="0.3">
      <c r="A165" s="81" t="s">
        <v>87</v>
      </c>
      <c r="C165" s="100">
        <f t="shared" ref="C165:J165" si="22">C162+C163+C164</f>
        <v>38794</v>
      </c>
      <c r="D165" s="100">
        <f t="shared" si="22"/>
        <v>42850</v>
      </c>
      <c r="E165" s="100">
        <f t="shared" si="22"/>
        <v>52322</v>
      </c>
      <c r="F165" s="100">
        <f t="shared" si="22"/>
        <v>56417.278082191784</v>
      </c>
      <c r="G165" s="100">
        <f t="shared" si="22"/>
        <v>60944.146719178083</v>
      </c>
      <c r="H165" s="100">
        <f t="shared" si="22"/>
        <v>66144.719923904107</v>
      </c>
      <c r="I165" s="100">
        <f t="shared" si="22"/>
        <v>71813.344717055486</v>
      </c>
      <c r="J165" s="100">
        <f t="shared" si="22"/>
        <v>77648.879018005202</v>
      </c>
    </row>
    <row r="166" spans="1:10" ht="15" customHeight="1" x14ac:dyDescent="0.3">
      <c r="A166" s="81" t="s">
        <v>585</v>
      </c>
      <c r="C166" s="94">
        <f t="shared" ref="C166:J166" si="23">C159+C165</f>
        <v>49353</v>
      </c>
      <c r="D166" s="94">
        <f t="shared" si="23"/>
        <v>52700</v>
      </c>
      <c r="E166" s="94">
        <f t="shared" si="23"/>
        <v>62670</v>
      </c>
      <c r="F166" s="94">
        <f t="shared" si="23"/>
        <v>66765.278082191784</v>
      </c>
      <c r="G166" s="94">
        <f t="shared" si="23"/>
        <v>71292.146719178083</v>
      </c>
      <c r="H166" s="94">
        <f t="shared" si="23"/>
        <v>76492.719923904107</v>
      </c>
      <c r="I166" s="94">
        <f t="shared" si="23"/>
        <v>82161.344717055486</v>
      </c>
      <c r="J166" s="94">
        <f t="shared" si="23"/>
        <v>87996.879018005202</v>
      </c>
    </row>
    <row r="167" spans="1:10" ht="15" customHeight="1" x14ac:dyDescent="0.3">
      <c r="A167" s="81" t="s">
        <v>88</v>
      </c>
      <c r="C167" s="106">
        <f t="shared" ref="C167:J167" si="24">C154+C166</f>
        <v>137814</v>
      </c>
      <c r="D167" s="106">
        <f t="shared" si="24"/>
        <v>148903</v>
      </c>
      <c r="E167" s="106">
        <f t="shared" si="24"/>
        <v>155967</v>
      </c>
      <c r="F167" s="106">
        <f t="shared" si="24"/>
        <v>168044.31843522604</v>
      </c>
      <c r="G167" s="106">
        <f t="shared" si="24"/>
        <v>181192.58306771526</v>
      </c>
      <c r="H167" s="106">
        <f t="shared" si="24"/>
        <v>195954.40073912172</v>
      </c>
      <c r="I167" s="106">
        <f t="shared" si="24"/>
        <v>212126.48629539576</v>
      </c>
      <c r="J167" s="106">
        <f t="shared" si="24"/>
        <v>229282.61106685427</v>
      </c>
    </row>
    <row r="169" spans="1:10" ht="15" customHeight="1" x14ac:dyDescent="0.3">
      <c r="A169" s="81" t="s">
        <v>586</v>
      </c>
      <c r="C169" s="94">
        <f t="shared" ref="C169:J169" si="25">C147-C167</f>
        <v>0</v>
      </c>
      <c r="D169" s="94">
        <f t="shared" si="25"/>
        <v>0</v>
      </c>
      <c r="E169" s="94">
        <f t="shared" si="25"/>
        <v>0</v>
      </c>
      <c r="F169" s="94">
        <f t="shared" si="25"/>
        <v>0</v>
      </c>
      <c r="G169" s="94">
        <f t="shared" si="25"/>
        <v>0</v>
      </c>
      <c r="H169" s="94">
        <f t="shared" si="25"/>
        <v>0</v>
      </c>
      <c r="I169" s="94">
        <f t="shared" si="25"/>
        <v>0</v>
      </c>
      <c r="J169" s="94">
        <f t="shared" si="25"/>
        <v>0</v>
      </c>
    </row>
    <row r="172" spans="1:10" ht="15" customHeight="1" x14ac:dyDescent="0.3">
      <c r="A172" s="158" t="s">
        <v>587</v>
      </c>
      <c r="B172" s="158"/>
      <c r="C172" s="158"/>
      <c r="D172" s="158"/>
      <c r="E172" s="158"/>
      <c r="F172" s="158"/>
      <c r="G172" s="158"/>
      <c r="H172" s="158"/>
      <c r="I172" s="158"/>
      <c r="J172" s="158"/>
    </row>
    <row r="173" spans="1:10" ht="15.75" customHeight="1" x14ac:dyDescent="0.3">
      <c r="A173" s="74" t="s">
        <v>487</v>
      </c>
      <c r="C173" s="75" t="s">
        <v>488</v>
      </c>
      <c r="D173" s="75" t="s">
        <v>489</v>
      </c>
      <c r="E173" s="75" t="s">
        <v>490</v>
      </c>
      <c r="F173" s="75" t="s">
        <v>491</v>
      </c>
      <c r="G173" s="75" t="s">
        <v>492</v>
      </c>
      <c r="H173" s="75" t="s">
        <v>493</v>
      </c>
      <c r="I173" s="75" t="s">
        <v>494</v>
      </c>
      <c r="J173" s="75" t="s">
        <v>495</v>
      </c>
    </row>
    <row r="174" spans="1:10" ht="15" customHeight="1" x14ac:dyDescent="0.3">
      <c r="A174" s="198" t="s">
        <v>588</v>
      </c>
      <c r="B174" s="198"/>
      <c r="C174" s="198"/>
      <c r="D174" s="198"/>
      <c r="E174" s="198"/>
      <c r="F174" s="198"/>
      <c r="G174" s="198"/>
      <c r="H174" s="198"/>
      <c r="I174" s="198"/>
      <c r="J174" s="198"/>
    </row>
    <row r="175" spans="1:10" ht="15" customHeight="1" x14ac:dyDescent="0.3">
      <c r="A175" s="76" t="s">
        <v>589</v>
      </c>
      <c r="C175" s="98">
        <v>26248</v>
      </c>
      <c r="D175" s="98">
        <v>26750</v>
      </c>
      <c r="E175" s="98">
        <v>29474</v>
      </c>
      <c r="F175" s="99">
        <f>F72</f>
        <v>32324.537970000005</v>
      </c>
      <c r="G175" s="99">
        <f>G72</f>
        <v>35530.582830749991</v>
      </c>
      <c r="H175" s="99">
        <f>H72</f>
        <v>39228.055740814496</v>
      </c>
      <c r="I175" s="99">
        <f>I72</f>
        <v>43303.276053761518</v>
      </c>
      <c r="J175" s="99">
        <f>J72</f>
        <v>47181.052650483602</v>
      </c>
    </row>
    <row r="176" spans="1:10" ht="15" customHeight="1" x14ac:dyDescent="0.3">
      <c r="A176" s="76" t="s">
        <v>590</v>
      </c>
      <c r="C176" s="98">
        <v>4678</v>
      </c>
      <c r="D176" s="98">
        <v>4812</v>
      </c>
      <c r="E176" s="98">
        <v>4902</v>
      </c>
      <c r="F176" s="99">
        <f>F56</f>
        <v>5209.4340000000002</v>
      </c>
      <c r="G176" s="99">
        <f>G56</f>
        <v>5652.2358899999999</v>
      </c>
      <c r="H176" s="99">
        <f>H56</f>
        <v>6160.9371201000004</v>
      </c>
      <c r="I176" s="99">
        <f>I56</f>
        <v>6715.4214609090004</v>
      </c>
      <c r="J176" s="99">
        <f>J56</f>
        <v>7286.2322850862656</v>
      </c>
    </row>
    <row r="177" spans="1:10" ht="15" customHeight="1" x14ac:dyDescent="0.3">
      <c r="A177" s="76" t="s">
        <v>591</v>
      </c>
      <c r="C177" s="77" t="s">
        <v>592</v>
      </c>
      <c r="D177" s="77" t="s">
        <v>592</v>
      </c>
      <c r="E177" s="77" t="s">
        <v>592</v>
      </c>
      <c r="F177" s="98">
        <v>0</v>
      </c>
      <c r="G177" s="98">
        <v>0</v>
      </c>
      <c r="H177" s="98">
        <v>0</v>
      </c>
      <c r="I177" s="98">
        <v>0</v>
      </c>
      <c r="J177" s="98">
        <v>0</v>
      </c>
    </row>
    <row r="178" spans="1:10" ht="15" customHeight="1" x14ac:dyDescent="0.3">
      <c r="A178" s="76" t="s">
        <v>593</v>
      </c>
      <c r="C178" s="77" t="s">
        <v>592</v>
      </c>
      <c r="D178" s="77" t="s">
        <v>592</v>
      </c>
      <c r="E178" s="77" t="s">
        <v>592</v>
      </c>
      <c r="F178" s="99">
        <f>-F63</f>
        <v>-4244.7240000000002</v>
      </c>
      <c r="G178" s="99">
        <f>-G63</f>
        <v>-4605.5255399999996</v>
      </c>
      <c r="H178" s="99">
        <f>-H63</f>
        <v>-5020.0228385999999</v>
      </c>
      <c r="I178" s="99">
        <f>-I63</f>
        <v>-5471.8248940740004</v>
      </c>
      <c r="J178" s="99">
        <f>-J63</f>
        <v>-5936.9300100702903</v>
      </c>
    </row>
    <row r="179" spans="1:10" ht="15" customHeight="1" x14ac:dyDescent="0.3">
      <c r="A179" s="76" t="s">
        <v>594</v>
      </c>
      <c r="C179" s="77" t="s">
        <v>592</v>
      </c>
      <c r="D179" s="77" t="s">
        <v>592</v>
      </c>
      <c r="E179" s="77" t="s">
        <v>592</v>
      </c>
      <c r="F179" s="99">
        <f>F90</f>
        <v>-1756.8854794520448</v>
      </c>
      <c r="G179" s="99">
        <f>G90</f>
        <v>-1779.2952657534333</v>
      </c>
      <c r="H179" s="99">
        <f>H90</f>
        <v>-2044.0962670685039</v>
      </c>
      <c r="I179" s="99">
        <f>I90</f>
        <v>-2228.0649311046509</v>
      </c>
      <c r="J179" s="99">
        <f>J90</f>
        <v>-2293.6690651871904</v>
      </c>
    </row>
    <row r="180" spans="1:10" ht="15" customHeight="1" x14ac:dyDescent="0.3">
      <c r="A180" s="76" t="s">
        <v>595</v>
      </c>
      <c r="C180" s="105">
        <f>C181-C175-C176</f>
        <v>-5716</v>
      </c>
      <c r="D180" s="105">
        <f>D181-D175-D176</f>
        <v>4132</v>
      </c>
      <c r="E180" s="105">
        <f>E181-E175-E176</f>
        <v>-390</v>
      </c>
      <c r="F180" s="98">
        <v>0</v>
      </c>
      <c r="G180" s="98">
        <v>0</v>
      </c>
      <c r="H180" s="98">
        <v>0</v>
      </c>
      <c r="I180" s="98">
        <v>0</v>
      </c>
      <c r="J180" s="98">
        <v>0</v>
      </c>
    </row>
    <row r="181" spans="1:10" ht="15" customHeight="1" x14ac:dyDescent="0.3">
      <c r="A181" s="81" t="s">
        <v>173</v>
      </c>
      <c r="C181" s="107">
        <v>25210</v>
      </c>
      <c r="D181" s="107">
        <v>35694</v>
      </c>
      <c r="E181" s="107">
        <v>33986</v>
      </c>
      <c r="F181" s="100">
        <f>F175+F176+F178+F179+F180</f>
        <v>31532.362490547959</v>
      </c>
      <c r="G181" s="100">
        <f>G175+G176+G178+G179+G180</f>
        <v>34797.997914996551</v>
      </c>
      <c r="H181" s="100">
        <f>H175+H176+H178+H179+H180</f>
        <v>38324.873755245993</v>
      </c>
      <c r="I181" s="100">
        <f>I175+I176+I178+I179+I180</f>
        <v>42318.807689491863</v>
      </c>
      <c r="J181" s="100">
        <f>J175+J176+J178+J179+J180</f>
        <v>46236.685860312391</v>
      </c>
    </row>
    <row r="183" spans="1:10" ht="15" customHeight="1" x14ac:dyDescent="0.3">
      <c r="A183" s="198" t="s">
        <v>596</v>
      </c>
      <c r="B183" s="198"/>
      <c r="C183" s="198"/>
      <c r="D183" s="198"/>
      <c r="E183" s="198"/>
      <c r="F183" s="198"/>
      <c r="G183" s="198"/>
      <c r="H183" s="198"/>
      <c r="I183" s="198"/>
      <c r="J183" s="198"/>
    </row>
    <row r="184" spans="1:10" ht="15" customHeight="1" x14ac:dyDescent="0.3">
      <c r="A184" s="76" t="s">
        <v>597</v>
      </c>
      <c r="C184" s="98">
        <v>2201</v>
      </c>
      <c r="D184" s="98">
        <v>2237</v>
      </c>
      <c r="E184" s="98">
        <v>2727</v>
      </c>
      <c r="F184" s="99">
        <f>F94</f>
        <v>2894.13</v>
      </c>
      <c r="G184" s="99">
        <f>G94</f>
        <v>3140.13105</v>
      </c>
      <c r="H184" s="99">
        <f>H94</f>
        <v>3422.7428445</v>
      </c>
      <c r="I184" s="99">
        <f>I94</f>
        <v>3730.7897005050004</v>
      </c>
      <c r="J184" s="99">
        <f>J94</f>
        <v>4047.9068250479254</v>
      </c>
    </row>
    <row r="185" spans="1:10" ht="15" customHeight="1" x14ac:dyDescent="0.3">
      <c r="A185" s="76" t="s">
        <v>598</v>
      </c>
      <c r="C185" s="105">
        <f>C186+C184</f>
        <v>-2808</v>
      </c>
      <c r="D185" s="105">
        <f>D186+D184</f>
        <v>291</v>
      </c>
      <c r="E185" s="105">
        <f>E186+E184</f>
        <v>4673</v>
      </c>
      <c r="F185" s="99">
        <f>F63</f>
        <v>4244.7240000000002</v>
      </c>
      <c r="G185" s="99">
        <f>G63</f>
        <v>4605.5255399999996</v>
      </c>
      <c r="H185" s="99">
        <f>H63</f>
        <v>5020.0228385999999</v>
      </c>
      <c r="I185" s="99">
        <f>I63</f>
        <v>5471.8248940740004</v>
      </c>
      <c r="J185" s="99">
        <f>J63</f>
        <v>5936.9300100702903</v>
      </c>
    </row>
    <row r="186" spans="1:10" ht="15" customHeight="1" x14ac:dyDescent="0.3">
      <c r="A186" s="81" t="s">
        <v>599</v>
      </c>
      <c r="C186" s="107">
        <v>-5009</v>
      </c>
      <c r="D186" s="107">
        <v>-1946</v>
      </c>
      <c r="E186" s="107">
        <v>1946</v>
      </c>
      <c r="F186" s="100">
        <f>-F184+F185</f>
        <v>1350.5940000000001</v>
      </c>
      <c r="G186" s="100">
        <f>-G184+G185</f>
        <v>1465.3944899999997</v>
      </c>
      <c r="H186" s="100">
        <f>-H184+H185</f>
        <v>1597.2799940999998</v>
      </c>
      <c r="I186" s="100">
        <f>-I184+I185</f>
        <v>1741.0351935690001</v>
      </c>
      <c r="J186" s="100">
        <f>-J184+J185</f>
        <v>1889.0231850223649</v>
      </c>
    </row>
    <row r="188" spans="1:10" ht="15" customHeight="1" x14ac:dyDescent="0.3">
      <c r="A188" s="198" t="s">
        <v>600</v>
      </c>
      <c r="B188" s="198"/>
      <c r="C188" s="198"/>
      <c r="D188" s="198"/>
      <c r="E188" s="198"/>
      <c r="F188" s="198"/>
      <c r="G188" s="198"/>
      <c r="H188" s="198"/>
      <c r="I188" s="198"/>
      <c r="J188" s="198"/>
    </row>
    <row r="189" spans="1:10" ht="15" customHeight="1" x14ac:dyDescent="0.3">
      <c r="A189" s="76" t="s">
        <v>601</v>
      </c>
      <c r="C189" s="98">
        <v>14692</v>
      </c>
      <c r="D189" s="98">
        <v>20287</v>
      </c>
      <c r="E189" s="98">
        <v>18653</v>
      </c>
      <c r="F189" s="99">
        <f>F201*0.6</f>
        <v>14605.498570179458</v>
      </c>
      <c r="G189" s="99">
        <f>G201*0.6</f>
        <v>16145.512101148239</v>
      </c>
      <c r="H189" s="99">
        <f>H201*0.6</f>
        <v>17800.086764480457</v>
      </c>
      <c r="I189" s="99">
        <f>I201*0.6</f>
        <v>19679.889174383297</v>
      </c>
      <c r="J189" s="99">
        <f>J201*0.6</f>
        <v>21516.277307984878</v>
      </c>
    </row>
    <row r="190" spans="1:10" ht="15" customHeight="1" x14ac:dyDescent="0.3">
      <c r="A190" s="76" t="s">
        <v>602</v>
      </c>
      <c r="C190" s="98">
        <v>0</v>
      </c>
      <c r="D190" s="98">
        <v>0</v>
      </c>
      <c r="E190" s="98">
        <v>18058</v>
      </c>
      <c r="F190" s="99">
        <f>F201*0.4</f>
        <v>9736.9990467863063</v>
      </c>
      <c r="G190" s="99">
        <f>G201*0.4</f>
        <v>10763.674734098828</v>
      </c>
      <c r="H190" s="99">
        <f>H201*0.4</f>
        <v>11866.724509653639</v>
      </c>
      <c r="I190" s="99">
        <f>I201*0.4</f>
        <v>13119.926116255532</v>
      </c>
      <c r="J190" s="99">
        <f>J201*0.4</f>
        <v>14344.184871989921</v>
      </c>
    </row>
    <row r="191" spans="1:10" ht="15" customHeight="1" x14ac:dyDescent="0.3">
      <c r="A191" s="76" t="s">
        <v>603</v>
      </c>
      <c r="C191" s="105">
        <f>C192+C189+C190</f>
        <v>-2812</v>
      </c>
      <c r="D191" s="105">
        <f>D192+D189+D190</f>
        <v>-3874</v>
      </c>
      <c r="E191" s="105">
        <f>E192+E189+E190</f>
        <v>-3075</v>
      </c>
      <c r="F191" s="98">
        <v>0</v>
      </c>
      <c r="G191" s="98">
        <v>0</v>
      </c>
      <c r="H191" s="98">
        <v>0</v>
      </c>
      <c r="I191" s="98">
        <v>0</v>
      </c>
      <c r="J191" s="98">
        <v>0</v>
      </c>
    </row>
    <row r="192" spans="1:10" ht="15" customHeight="1" x14ac:dyDescent="0.3">
      <c r="A192" s="81" t="s">
        <v>122</v>
      </c>
      <c r="C192" s="107">
        <v>-17504</v>
      </c>
      <c r="D192" s="107">
        <v>-24161</v>
      </c>
      <c r="E192" s="107">
        <v>-39786</v>
      </c>
      <c r="F192" s="100">
        <f>-F189-F190-F191</f>
        <v>-24342.497616965764</v>
      </c>
      <c r="G192" s="100">
        <f>-G189-G190-G191</f>
        <v>-26909.186835247066</v>
      </c>
      <c r="H192" s="100">
        <f>-H189-H190-H191</f>
        <v>-29666.811274134096</v>
      </c>
      <c r="I192" s="100">
        <f>-I189-I190-I191</f>
        <v>-32799.815290638828</v>
      </c>
      <c r="J192" s="100">
        <f>-J189-J190-J191</f>
        <v>-35860.462179974798</v>
      </c>
    </row>
    <row r="194" spans="1:10" ht="15" customHeight="1" x14ac:dyDescent="0.3">
      <c r="A194" s="81" t="s">
        <v>604</v>
      </c>
      <c r="C194" s="100">
        <f t="shared" ref="C194:J194" si="26">C181+C186+C192</f>
        <v>2697</v>
      </c>
      <c r="D194" s="100">
        <f t="shared" si="26"/>
        <v>9587</v>
      </c>
      <c r="E194" s="100">
        <f t="shared" si="26"/>
        <v>-3854</v>
      </c>
      <c r="F194" s="100">
        <f t="shared" si="26"/>
        <v>8540.4588735821926</v>
      </c>
      <c r="G194" s="100">
        <f t="shared" si="26"/>
        <v>9354.2055697494834</v>
      </c>
      <c r="H194" s="100">
        <f t="shared" si="26"/>
        <v>10255.342475211895</v>
      </c>
      <c r="I194" s="100">
        <f t="shared" si="26"/>
        <v>11260.027592422033</v>
      </c>
      <c r="J194" s="100">
        <f t="shared" si="26"/>
        <v>12265.246865359957</v>
      </c>
    </row>
    <row r="195" spans="1:10" ht="15" customHeight="1" x14ac:dyDescent="0.3">
      <c r="A195" s="76" t="s">
        <v>605</v>
      </c>
      <c r="C195" s="77" t="s">
        <v>498</v>
      </c>
      <c r="D195" s="98">
        <v>82</v>
      </c>
      <c r="E195" s="98">
        <v>1600</v>
      </c>
      <c r="F195" s="98">
        <v>0</v>
      </c>
      <c r="G195" s="98">
        <v>0</v>
      </c>
      <c r="H195" s="98">
        <v>0</v>
      </c>
      <c r="I195" s="98">
        <v>0</v>
      </c>
      <c r="J195" s="98">
        <v>0</v>
      </c>
    </row>
    <row r="196" spans="1:10" ht="15" customHeight="1" x14ac:dyDescent="0.3">
      <c r="A196" s="76" t="s">
        <v>606</v>
      </c>
      <c r="C196" s="77" t="s">
        <v>498</v>
      </c>
      <c r="D196" s="105">
        <f t="shared" ref="D196:J196" si="27">C197</f>
        <v>14786</v>
      </c>
      <c r="E196" s="105">
        <f t="shared" si="27"/>
        <v>24455</v>
      </c>
      <c r="F196" s="105">
        <f t="shared" si="27"/>
        <v>22201</v>
      </c>
      <c r="G196" s="105">
        <f t="shared" si="27"/>
        <v>30741.458873582193</v>
      </c>
      <c r="H196" s="105">
        <f t="shared" si="27"/>
        <v>40095.664443331683</v>
      </c>
      <c r="I196" s="105">
        <f t="shared" si="27"/>
        <v>50351.006918543579</v>
      </c>
      <c r="J196" s="105">
        <f t="shared" si="27"/>
        <v>61611.034510965605</v>
      </c>
    </row>
    <row r="197" spans="1:10" ht="15" customHeight="1" x14ac:dyDescent="0.3">
      <c r="A197" s="81" t="s">
        <v>607</v>
      </c>
      <c r="C197" s="108">
        <v>14786</v>
      </c>
      <c r="D197" s="108">
        <v>24455</v>
      </c>
      <c r="E197" s="108">
        <v>22201</v>
      </c>
      <c r="F197" s="106">
        <f>F196+F181+F186+F192+F195</f>
        <v>30741.458873582193</v>
      </c>
      <c r="G197" s="106">
        <f>G196+G181+G186+G192+G195</f>
        <v>40095.664443331683</v>
      </c>
      <c r="H197" s="106">
        <f>H196+H181+H186+H192+H195</f>
        <v>50351.006918543579</v>
      </c>
      <c r="I197" s="106">
        <f>I196+I181+I186+I192+I195</f>
        <v>61611.034510965605</v>
      </c>
      <c r="J197" s="106">
        <f>J196+J181+J186+J192+J195</f>
        <v>73876.281376325569</v>
      </c>
    </row>
    <row r="199" spans="1:10" ht="15" customHeight="1" x14ac:dyDescent="0.3">
      <c r="A199" s="198" t="s">
        <v>608</v>
      </c>
      <c r="B199" s="198"/>
      <c r="C199" s="198"/>
      <c r="D199" s="198"/>
      <c r="E199" s="198"/>
      <c r="F199" s="198"/>
      <c r="G199" s="198"/>
      <c r="H199" s="198"/>
      <c r="I199" s="198"/>
      <c r="J199" s="198"/>
    </row>
    <row r="200" spans="1:10" ht="15" customHeight="1" x14ac:dyDescent="0.3">
      <c r="A200" s="81" t="s">
        <v>609</v>
      </c>
      <c r="C200" s="101">
        <f t="shared" ref="C200:J200" si="28">C181-C184</f>
        <v>23009</v>
      </c>
      <c r="D200" s="101">
        <f t="shared" si="28"/>
        <v>33457</v>
      </c>
      <c r="E200" s="101">
        <f t="shared" si="28"/>
        <v>31259</v>
      </c>
      <c r="F200" s="101">
        <f t="shared" si="28"/>
        <v>28638.232490547958</v>
      </c>
      <c r="G200" s="101">
        <f t="shared" si="28"/>
        <v>31657.866864996551</v>
      </c>
      <c r="H200" s="101">
        <f t="shared" si="28"/>
        <v>34902.130910745997</v>
      </c>
      <c r="I200" s="101">
        <f t="shared" si="28"/>
        <v>38588.01798898686</v>
      </c>
      <c r="J200" s="101">
        <f t="shared" si="28"/>
        <v>42188.779035264466</v>
      </c>
    </row>
    <row r="201" spans="1:10" ht="15" customHeight="1" x14ac:dyDescent="0.3">
      <c r="A201" s="81" t="s">
        <v>610</v>
      </c>
      <c r="C201" s="94">
        <f>C189+C190</f>
        <v>14692</v>
      </c>
      <c r="D201" s="94">
        <f>D189+D190</f>
        <v>20287</v>
      </c>
      <c r="E201" s="94">
        <f>E189+E190</f>
        <v>36711</v>
      </c>
      <c r="F201" s="96">
        <f>F200*F27</f>
        <v>24342.497616965764</v>
      </c>
      <c r="G201" s="96">
        <f>G200*G27</f>
        <v>26909.186835247066</v>
      </c>
      <c r="H201" s="96">
        <f>H200*H27</f>
        <v>29666.811274134096</v>
      </c>
      <c r="I201" s="96">
        <f>I200*I27</f>
        <v>32799.815290638828</v>
      </c>
      <c r="J201" s="96">
        <f>J200*J27</f>
        <v>35860.462179974798</v>
      </c>
    </row>
    <row r="202" spans="1:10" ht="15" customHeight="1" x14ac:dyDescent="0.3">
      <c r="A202" s="97" t="s">
        <v>611</v>
      </c>
      <c r="C202" s="78">
        <f t="shared" ref="C202:J202" si="29">C201/C200</f>
        <v>0.63853274805510885</v>
      </c>
      <c r="D202" s="78">
        <f t="shared" si="29"/>
        <v>0.60636040290522164</v>
      </c>
      <c r="E202" s="78">
        <f t="shared" si="29"/>
        <v>1.1744137688345757</v>
      </c>
      <c r="F202" s="78">
        <f t="shared" si="29"/>
        <v>0.85</v>
      </c>
      <c r="G202" s="78">
        <f t="shared" si="29"/>
        <v>0.85</v>
      </c>
      <c r="H202" s="78">
        <f t="shared" si="29"/>
        <v>0.85</v>
      </c>
      <c r="I202" s="78">
        <f t="shared" si="29"/>
        <v>0.85</v>
      </c>
      <c r="J202" s="78">
        <f t="shared" si="29"/>
        <v>0.85000000000000009</v>
      </c>
    </row>
    <row r="205" spans="1:10" ht="15" customHeight="1" x14ac:dyDescent="0.3">
      <c r="A205" s="158" t="s">
        <v>612</v>
      </c>
      <c r="B205" s="158"/>
      <c r="C205" s="158"/>
      <c r="D205" s="158"/>
      <c r="E205" s="158"/>
      <c r="F205" s="158"/>
      <c r="G205" s="158"/>
      <c r="H205" s="158"/>
      <c r="I205" s="158"/>
      <c r="J205" s="158"/>
    </row>
    <row r="206" spans="1:10" ht="15" customHeight="1" x14ac:dyDescent="0.3">
      <c r="A206" s="74" t="s">
        <v>487</v>
      </c>
      <c r="C206" s="75" t="s">
        <v>491</v>
      </c>
      <c r="D206" s="75" t="s">
        <v>492</v>
      </c>
      <c r="E206" s="75" t="s">
        <v>493</v>
      </c>
      <c r="F206" s="75" t="s">
        <v>494</v>
      </c>
      <c r="G206" s="75" t="s">
        <v>495</v>
      </c>
    </row>
    <row r="207" spans="1:10" ht="15" customHeight="1" x14ac:dyDescent="0.3">
      <c r="A207" s="198" t="s">
        <v>613</v>
      </c>
      <c r="B207" s="198"/>
      <c r="C207" s="198"/>
      <c r="D207" s="198"/>
      <c r="E207" s="198"/>
      <c r="F207" s="198"/>
      <c r="G207" s="198"/>
    </row>
    <row r="208" spans="1:10" ht="15" customHeight="1" x14ac:dyDescent="0.3">
      <c r="A208" s="76" t="s">
        <v>614</v>
      </c>
      <c r="C208" s="99">
        <f>F60</f>
        <v>40517.820000000007</v>
      </c>
      <c r="D208" s="99">
        <f>G60</f>
        <v>44589.860909999989</v>
      </c>
      <c r="E208" s="99">
        <f>H60</f>
        <v>49287.496960799996</v>
      </c>
      <c r="F208" s="99">
        <f>I60</f>
        <v>54469.529627372976</v>
      </c>
      <c r="G208" s="99">
        <f>J60</f>
        <v>59369.300100702909</v>
      </c>
    </row>
    <row r="209" spans="1:7" ht="15" customHeight="1" x14ac:dyDescent="0.3">
      <c r="A209" s="76" t="s">
        <v>615</v>
      </c>
      <c r="C209" s="99">
        <f>C208*F16</f>
        <v>10939.811400000002</v>
      </c>
      <c r="D209" s="99">
        <f>D208*G16</f>
        <v>12039.262445699998</v>
      </c>
      <c r="E209" s="99">
        <f>E208*H16</f>
        <v>13307.624179416</v>
      </c>
      <c r="F209" s="99">
        <f>F208*I16</f>
        <v>14706.772999390705</v>
      </c>
      <c r="G209" s="99">
        <f>G208*J16</f>
        <v>16029.711027189787</v>
      </c>
    </row>
    <row r="210" spans="1:7" ht="15" customHeight="1" x14ac:dyDescent="0.3">
      <c r="A210" s="81" t="s">
        <v>616</v>
      </c>
      <c r="C210" s="100">
        <f>C208-C209</f>
        <v>29578.008600000005</v>
      </c>
      <c r="D210" s="100">
        <f>D208-D209</f>
        <v>32550.59846429999</v>
      </c>
      <c r="E210" s="100">
        <f>E208-E209</f>
        <v>35979.872781383994</v>
      </c>
      <c r="F210" s="100">
        <f>F208-F209</f>
        <v>39762.756627982271</v>
      </c>
      <c r="G210" s="100">
        <f>G208-G209</f>
        <v>43339.589073513125</v>
      </c>
    </row>
    <row r="211" spans="1:7" ht="15" customHeight="1" x14ac:dyDescent="0.3">
      <c r="A211" s="76" t="s">
        <v>617</v>
      </c>
      <c r="C211" s="99">
        <f>F56</f>
        <v>5209.4340000000002</v>
      </c>
      <c r="D211" s="99">
        <f>G56</f>
        <v>5652.2358899999999</v>
      </c>
      <c r="E211" s="99">
        <f>H56</f>
        <v>6160.9371201000004</v>
      </c>
      <c r="F211" s="99">
        <f>I56</f>
        <v>6715.4214609090004</v>
      </c>
      <c r="G211" s="99">
        <f>J56</f>
        <v>7286.2322850862656</v>
      </c>
    </row>
    <row r="212" spans="1:7" ht="15" customHeight="1" x14ac:dyDescent="0.3">
      <c r="A212" s="76" t="s">
        <v>618</v>
      </c>
      <c r="C212" s="99">
        <f>F94</f>
        <v>2894.13</v>
      </c>
      <c r="D212" s="99">
        <f>G94</f>
        <v>3140.13105</v>
      </c>
      <c r="E212" s="99">
        <f>H94</f>
        <v>3422.7428445</v>
      </c>
      <c r="F212" s="99">
        <f>I94</f>
        <v>3730.7897005050004</v>
      </c>
      <c r="G212" s="99">
        <f>J94</f>
        <v>4047.9068250479254</v>
      </c>
    </row>
    <row r="213" spans="1:7" ht="15" customHeight="1" x14ac:dyDescent="0.3">
      <c r="A213" s="76" t="s">
        <v>619</v>
      </c>
      <c r="C213" s="99">
        <f>F90</f>
        <v>-1756.8854794520448</v>
      </c>
      <c r="D213" s="99">
        <f>G90</f>
        <v>-1779.2952657534333</v>
      </c>
      <c r="E213" s="99">
        <f>H90</f>
        <v>-2044.0962670685039</v>
      </c>
      <c r="F213" s="99">
        <f>I90</f>
        <v>-2228.0649311046509</v>
      </c>
      <c r="G213" s="99">
        <f>J90</f>
        <v>-2293.6690651871904</v>
      </c>
    </row>
    <row r="214" spans="1:7" ht="15" customHeight="1" x14ac:dyDescent="0.3">
      <c r="A214" s="81" t="s">
        <v>620</v>
      </c>
      <c r="C214" s="106">
        <f>C210+C211-C212+C213</f>
        <v>30136.427120547956</v>
      </c>
      <c r="D214" s="106">
        <f>D210+D211-D212+D213</f>
        <v>33283.408038546564</v>
      </c>
      <c r="E214" s="106">
        <f>E210+E211-E212+E213</f>
        <v>36673.970789915496</v>
      </c>
      <c r="F214" s="106">
        <f>F210+F211-F212+F213</f>
        <v>40519.323457281615</v>
      </c>
      <c r="G214" s="106">
        <f>G210+G211-G212+G213</f>
        <v>44284.245468364279</v>
      </c>
    </row>
    <row r="216" spans="1:7" ht="15" customHeight="1" x14ac:dyDescent="0.3">
      <c r="A216" s="198" t="s">
        <v>621</v>
      </c>
      <c r="B216" s="198"/>
      <c r="C216" s="198"/>
      <c r="D216" s="198"/>
      <c r="E216" s="198"/>
      <c r="F216" s="198"/>
      <c r="G216" s="198"/>
    </row>
    <row r="217" spans="1:7" ht="15" customHeight="1" x14ac:dyDescent="0.3">
      <c r="A217" s="76" t="s">
        <v>622</v>
      </c>
      <c r="C217" s="109">
        <v>1</v>
      </c>
      <c r="D217" s="109">
        <v>2</v>
      </c>
      <c r="E217" s="109">
        <v>3</v>
      </c>
      <c r="F217" s="109">
        <v>4</v>
      </c>
      <c r="G217" s="109">
        <v>5</v>
      </c>
    </row>
    <row r="218" spans="1:7" ht="15" customHeight="1" x14ac:dyDescent="0.3">
      <c r="A218" s="76" t="s">
        <v>623</v>
      </c>
      <c r="C218" s="110">
        <f>1/(1+$D$39)^C217</f>
        <v>0.88471252237215836</v>
      </c>
      <c r="D218" s="110">
        <f>1/(1+$D$39)^D217</f>
        <v>0.78271624724210676</v>
      </c>
      <c r="E218" s="110">
        <f>1/(1+$D$39)^E217</f>
        <v>0.6924788653992342</v>
      </c>
      <c r="F218" s="110">
        <f>1/(1+$D$39)^F217</f>
        <v>0.6126447236967667</v>
      </c>
      <c r="G218" s="110">
        <f>1/(1+$D$39)^G217</f>
        <v>0.54201445881976051</v>
      </c>
    </row>
    <row r="219" spans="1:7" ht="15" customHeight="1" x14ac:dyDescent="0.3">
      <c r="A219" s="81" t="s">
        <v>624</v>
      </c>
      <c r="C219" s="101">
        <f>C214*C218</f>
        <v>26662.074453104702</v>
      </c>
      <c r="D219" s="101">
        <f>D214*D218</f>
        <v>26051.464235358937</v>
      </c>
      <c r="E219" s="101">
        <f>E214*E218</f>
        <v>25395.94968228534</v>
      </c>
      <c r="F219" s="101">
        <f>F214*F218</f>
        <v>24823.949723866212</v>
      </c>
      <c r="G219" s="101">
        <f>G214*G218</f>
        <v>24002.701341776898</v>
      </c>
    </row>
    <row r="221" spans="1:7" ht="15" customHeight="1" x14ac:dyDescent="0.3">
      <c r="A221" s="198" t="s">
        <v>625</v>
      </c>
      <c r="B221" s="198"/>
      <c r="C221" s="198"/>
      <c r="D221" s="198"/>
    </row>
    <row r="222" spans="1:7" ht="15" customHeight="1" x14ac:dyDescent="0.3">
      <c r="A222" s="76" t="s">
        <v>626</v>
      </c>
      <c r="D222" s="105">
        <f>G214</f>
        <v>44284.245468364279</v>
      </c>
    </row>
    <row r="223" spans="1:7" ht="15" customHeight="1" x14ac:dyDescent="0.3">
      <c r="A223" s="76" t="s">
        <v>627</v>
      </c>
      <c r="D223" s="96">
        <f>D222*(1+$D$42)/($D$39-$D$42)</f>
        <v>578982.34826155717</v>
      </c>
    </row>
    <row r="224" spans="1:7" ht="15" customHeight="1" x14ac:dyDescent="0.3">
      <c r="A224" s="76" t="s">
        <v>628</v>
      </c>
      <c r="D224" s="111">
        <f>G218</f>
        <v>0.54201445881976051</v>
      </c>
    </row>
    <row r="225" spans="1:4" ht="15" customHeight="1" x14ac:dyDescent="0.3">
      <c r="A225" s="81" t="s">
        <v>629</v>
      </c>
      <c r="D225" s="101">
        <f>D223*D224</f>
        <v>313816.80415918201</v>
      </c>
    </row>
    <row r="227" spans="1:4" ht="15" customHeight="1" x14ac:dyDescent="0.3">
      <c r="A227" s="198" t="s">
        <v>630</v>
      </c>
      <c r="B227" s="198"/>
      <c r="C227" s="198"/>
      <c r="D227" s="198"/>
    </row>
    <row r="228" spans="1:4" ht="15" customHeight="1" x14ac:dyDescent="0.3">
      <c r="A228" s="76" t="s">
        <v>631</v>
      </c>
      <c r="D228" s="94">
        <f>SUM(C219:G219)</f>
        <v>126936.13943639208</v>
      </c>
    </row>
    <row r="229" spans="1:4" ht="15" customHeight="1" x14ac:dyDescent="0.3">
      <c r="A229" s="76" t="s">
        <v>632</v>
      </c>
      <c r="D229" s="94">
        <f>D225</f>
        <v>313816.80415918201</v>
      </c>
    </row>
    <row r="230" spans="1:4" ht="15" customHeight="1" x14ac:dyDescent="0.3">
      <c r="A230" s="81" t="s">
        <v>633</v>
      </c>
      <c r="D230" s="106">
        <f>D228+D229</f>
        <v>440752.94359557412</v>
      </c>
    </row>
    <row r="231" spans="1:4" ht="15" customHeight="1" x14ac:dyDescent="0.3">
      <c r="A231" s="97" t="s">
        <v>634</v>
      </c>
      <c r="D231" s="78">
        <f>D229/D230</f>
        <v>0.71200160706614335</v>
      </c>
    </row>
    <row r="233" spans="1:4" ht="15" customHeight="1" x14ac:dyDescent="0.3">
      <c r="A233" s="76" t="s">
        <v>635</v>
      </c>
      <c r="D233" s="99">
        <f>$E$118</f>
        <v>62747</v>
      </c>
    </row>
    <row r="234" spans="1:4" ht="15" customHeight="1" x14ac:dyDescent="0.3">
      <c r="A234" s="76" t="s">
        <v>636</v>
      </c>
      <c r="D234" s="99">
        <f>$E$110</f>
        <v>9176</v>
      </c>
    </row>
    <row r="235" spans="1:4" ht="15" customHeight="1" x14ac:dyDescent="0.3">
      <c r="A235" s="76" t="s">
        <v>637</v>
      </c>
      <c r="D235" s="99">
        <f>$E$153</f>
        <v>445</v>
      </c>
    </row>
    <row r="236" spans="1:4" ht="15" customHeight="1" x14ac:dyDescent="0.3">
      <c r="A236" s="81" t="s">
        <v>638</v>
      </c>
      <c r="D236" s="106">
        <f>D230+D233-D234-D235</f>
        <v>493878.94359557412</v>
      </c>
    </row>
    <row r="238" spans="1:4" ht="15" customHeight="1" x14ac:dyDescent="0.3">
      <c r="A238" s="76" t="s">
        <v>639</v>
      </c>
      <c r="D238" s="112">
        <f>$D$45</f>
        <v>404.8</v>
      </c>
    </row>
    <row r="239" spans="1:4" ht="15.75" customHeight="1" x14ac:dyDescent="0.3">
      <c r="A239" s="81" t="s">
        <v>640</v>
      </c>
      <c r="D239" s="113">
        <f>D236/D238</f>
        <v>1220.0566788428214</v>
      </c>
    </row>
    <row r="241" spans="1:7" ht="15" customHeight="1" x14ac:dyDescent="0.3">
      <c r="A241" s="198" t="s">
        <v>641</v>
      </c>
      <c r="B241" s="198"/>
      <c r="C241" s="198"/>
      <c r="D241" s="198"/>
    </row>
    <row r="242" spans="1:7" ht="15" customHeight="1" x14ac:dyDescent="0.3">
      <c r="A242" s="76" t="s">
        <v>642</v>
      </c>
      <c r="D242" s="114">
        <f>$D$44</f>
        <v>1190</v>
      </c>
    </row>
    <row r="243" spans="1:7" ht="15" customHeight="1" x14ac:dyDescent="0.3">
      <c r="A243" s="81" t="s">
        <v>643</v>
      </c>
      <c r="D243" s="115">
        <f>D239/D242-1</f>
        <v>2.5257713313295183E-2</v>
      </c>
    </row>
    <row r="244" spans="1:7" ht="15" customHeight="1" x14ac:dyDescent="0.3">
      <c r="A244" s="81" t="s">
        <v>220</v>
      </c>
      <c r="D244" s="116" t="str">
        <f>IF(D243&gt;0.15,"UNDERVALUED",IF(D243&lt;-0.15,"OVERVALUED","FAIRLY VALUED"))</f>
        <v>FAIRLY VALUED</v>
      </c>
    </row>
    <row r="246" spans="1:7" ht="15" customHeight="1" x14ac:dyDescent="0.3">
      <c r="A246" s="198" t="s">
        <v>644</v>
      </c>
      <c r="B246" s="198"/>
      <c r="C246" s="198"/>
      <c r="D246" s="198"/>
      <c r="E246" s="198"/>
      <c r="F246" s="198"/>
      <c r="G246" s="198"/>
    </row>
    <row r="248" spans="1:7" ht="15" customHeight="1" x14ac:dyDescent="0.3">
      <c r="B248" s="77" t="s">
        <v>645</v>
      </c>
      <c r="C248" s="117">
        <f>$D$42+(-0.01)</f>
        <v>0.04</v>
      </c>
      <c r="D248" s="117">
        <f>$D$42+(-0.005)</f>
        <v>4.5000000000000005E-2</v>
      </c>
      <c r="E248" s="117">
        <f>$D$42+(0)</f>
        <v>0.05</v>
      </c>
      <c r="F248" s="117">
        <f>$D$42+(0.005)</f>
        <v>5.5E-2</v>
      </c>
      <c r="G248" s="117">
        <f>$D$42+(0.01)</f>
        <v>6.0000000000000005E-2</v>
      </c>
    </row>
    <row r="249" spans="1:7" ht="15" customHeight="1" x14ac:dyDescent="0.3">
      <c r="B249" s="117">
        <f>$D$39+(-0.01)</f>
        <v>0.12031066556933558</v>
      </c>
      <c r="C249" s="118">
        <f>(C214/(1+$B249)^1+D214/(1+$B249)^2+E214/(1+$B249)^3+F214/(1+$B249)^4+G214/(1+$B249)^5+(G214*(1+C$248)/($B249-C$248))/(1+$B249)^5+$E$118-$D$234-$D$235)/$D$238</f>
        <v>1255.910543594174</v>
      </c>
      <c r="D249" s="118">
        <f>(C214/(1+$B249)^1+D214/(1+$B249)^2+E214/(1+$B249)^3+F214/(1+$B249)^4+G214/(1+$B249)^5+(G214*(1+D$248)/($B249-D$248))/(1+$B249)^5+$E$118-$D$234-$D$235)/$D$238</f>
        <v>1313.3215495718368</v>
      </c>
      <c r="E249" s="118">
        <f>(C214/(1+$B249)^1+D214/(1+$B249)^2+E214/(1+$B249)^3+F214/(1+$B249)^4+G214/(1+$B249)^5+(G214*(1+E$248)/($B249-E$248))/(1+$B249)^5+$E$118-$D$234-$D$235)/$D$238</f>
        <v>1378.8978894306085</v>
      </c>
      <c r="F249" s="118">
        <f>(C214/(1+$B249)^1+D214/(1+$B249)^2+E214/(1+$B249)^3+F214/(1+$B249)^4+G214/(1+$B249)^5+(G214*(1+F$248)/($B249-F$248))/(1+$B249)^5+$E$118-$D$234-$D$235)/$D$238</f>
        <v>1454.5149078350848</v>
      </c>
      <c r="G249" s="118">
        <f>(C214/(1+$B249)^1+D214/(1+$B249)^2+E214/(1+$B249)^3+F214/(1+$B249)^4+G214/(1+$B249)^5+(G214*(1+G$248)/($B249-G$248))/(1+$B249)^5+$E$118-$D$234-$D$235)/$D$238</f>
        <v>1542.6698443160153</v>
      </c>
    </row>
    <row r="250" spans="1:7" ht="15" customHeight="1" x14ac:dyDescent="0.3">
      <c r="B250" s="117">
        <f>$D$39+(-0.005)</f>
        <v>0.12531066556933557</v>
      </c>
      <c r="C250" s="118">
        <f>(C214/(1+$B250)^1+D214/(1+$B250)^2+E214/(1+$B250)^3+F214/(1+$B250)^4+G214/(1+$B250)^5+(G214*(1+C$248)/($B250-C$248))/(1+$B250)^5+$E$118-$D$234-$D$235)/$D$238</f>
        <v>1188.0042910341188</v>
      </c>
      <c r="D250" s="118">
        <f>(C214/(1+$B250)^1+D214/(1+$B250)^2+E214/(1+$B250)^3+F214/(1+$B250)^4+G214/(1+$B250)^5+(G214*(1+D$248)/($B250-D$248))/(1+$B250)^5+$E$118-$D$234-$D$235)/$D$238</f>
        <v>1237.7908893799536</v>
      </c>
      <c r="E250" s="118">
        <f>(C214/(1+$B250)^1+D214/(1+$B250)^2+E214/(1+$B250)^3+F214/(1+$B250)^4+G214/(1+$B250)^5+(G214*(1+E$248)/($B250-E$248))/(1+$B250)^5+$E$118-$D$234-$D$235)/$D$238</f>
        <v>1294.1883174096661</v>
      </c>
      <c r="F250" s="118">
        <f>(C214/(1+$B250)^1+D214/(1+$B250)^2+E214/(1+$B250)^3+F214/(1+$B250)^4+G214/(1+$B250)^5+(G214*(1+F$248)/($B250-F$248))/(1+$B250)^5+$E$118-$D$234-$D$235)/$D$238</f>
        <v>1358.6069222513229</v>
      </c>
      <c r="G250" s="118">
        <f>(C214/(1+$B250)^1+D214/(1+$B250)^2+E214/(1+$B250)^3+F214/(1+$B250)^4+G214/(1+$B250)^5+(G214*(1+G$248)/($B250-G$248))/(1+$B250)^5+$E$118-$D$234-$D$235)/$D$238</f>
        <v>1432.8889397959583</v>
      </c>
    </row>
    <row r="251" spans="1:7" ht="15" customHeight="1" x14ac:dyDescent="0.3">
      <c r="B251" s="117">
        <f>$D$39+(0)</f>
        <v>0.13031066556933557</v>
      </c>
      <c r="C251" s="118">
        <f>(C214/(1+$B251)^1+D214/(1+$B251)^2+E214/(1+$B251)^3+F214/(1+$B251)^4+G214/(1+$B251)^5+(G214*(1+C$248)/($B251-C$248))/(1+$B251)^5+$E$118-$D$234-$D$235)/$D$238</f>
        <v>1127.6496141541793</v>
      </c>
      <c r="D251" s="118">
        <f>(C214/(1+$B251)^1+D214/(1+$B251)^2+E214/(1+$B251)^3+F214/(1+$B251)^4+G214/(1+$B251)^5+(G214*(1+D$248)/($B251-D$248))/(1+$B251)^5+$E$118-$D$234-$D$235)/$D$238</f>
        <v>1171.145188939151</v>
      </c>
      <c r="E251" s="119">
        <f>(C214/(1+$B251)^1+D214/(1+$B251)^2+E214/(1+$B251)^3+F214/(1+$B251)^4+G214/(1+$B251)^5+(G214*(1+E$248)/($B251-E$248))/(1+$B251)^5+$E$118-$D$234-$D$235)/$D$238</f>
        <v>1220.0566788428214</v>
      </c>
      <c r="F251" s="118">
        <f>(C214/(1+$B251)^1+D214/(1+$B251)^2+E214/(1+$B251)^3+F214/(1+$B251)^4+G214/(1+$B251)^5+(G214*(1+F$248)/($B251-F$248))/(1+$B251)^5+$E$118-$D$234-$D$235)/$D$238</f>
        <v>1275.4627986284488</v>
      </c>
      <c r="G251" s="118">
        <f>(C214/(1+$B251)^1+D214/(1+$B251)^2+E214/(1+$B251)^3+F214/(1+$B251)^4+G214/(1+$B251)^5+(G214*(1+G$248)/($B251-G$248))/(1+$B251)^5+$E$118-$D$234-$D$235)/$D$238</f>
        <v>1338.7491054862626</v>
      </c>
    </row>
    <row r="252" spans="1:7" ht="15" customHeight="1" x14ac:dyDescent="0.3">
      <c r="B252" s="117">
        <f>$D$39+(0.005)</f>
        <v>0.13531066556933558</v>
      </c>
      <c r="C252" s="118">
        <f>(C214/(1+$B252)^1+D214/(1+$B252)^2+E214/(1+$B252)^3+F214/(1+$B252)^4+G214/(1+$B252)^5+(G214*(1+C$248)/($B252-C$248))/(1+$B252)^5+$E$118-$D$234-$D$235)/$D$238</f>
        <v>1073.6573503727329</v>
      </c>
      <c r="D252" s="118">
        <f>(C214/(1+$B252)^1+D214/(1+$B252)^2+E214/(1+$B252)^3+F214/(1+$B252)^4+G214/(1+$B252)^5+(G214*(1+D$248)/($B252-D$248))/(1+$B252)^5+$E$118-$D$234-$D$235)/$D$238</f>
        <v>1111.9080456276067</v>
      </c>
      <c r="E252" s="118">
        <f>(C214/(1+$B252)^1+D214/(1+$B252)^2+E214/(1+$B252)^3+F214/(1+$B252)^4+G214/(1+$B252)^5+(G214*(1+E$248)/($B252-E$248))/(1+$B252)^5+$E$118-$D$234-$D$235)/$D$238</f>
        <v>1154.6424352716406</v>
      </c>
      <c r="F252" s="118">
        <f>(C214/(1+$B252)^1+D214/(1+$B252)^2+E214/(1+$B252)^3+F214/(1+$B252)^4+G214/(1+$B252)^5+(G214*(1+F$248)/($B252-F$248))/(1+$B252)^5+$E$118-$D$234-$D$235)/$D$238</f>
        <v>1202.6979599531048</v>
      </c>
      <c r="G252" s="118">
        <f>(C214/(1+$B252)^1+D214/(1+$B252)^2+E214/(1+$B252)^3+F214/(1+$B252)^4+G214/(1+$B252)^5+(G214*(1+G$248)/($B252-G$248))/(1+$B252)^5+$E$118-$D$234-$D$235)/$D$238</f>
        <v>1257.1344566148553</v>
      </c>
    </row>
    <row r="253" spans="1:7" ht="15" customHeight="1" x14ac:dyDescent="0.3">
      <c r="B253" s="117">
        <f>$D$39+(0.01)</f>
        <v>0.14031066556933558</v>
      </c>
      <c r="C253" s="118">
        <f>(C214/(1+$B253)^1+D214/(1+$B253)^2+E214/(1+$B253)^3+F214/(1+$B253)^4+G214/(1+$B253)^5+(G214*(1+C$248)/($B253-C$248))/(1+$B253)^5+$E$118-$D$234-$D$235)/$D$238</f>
        <v>1025.0754512614758</v>
      </c>
      <c r="D253" s="118">
        <f>(C214/(1+$B253)^1+D214/(1+$B253)^2+E214/(1+$B253)^3+F214/(1+$B253)^4+G214/(1+$B253)^5+(G214*(1+D$248)/($B253-D$248))/(1+$B253)^5+$E$118-$D$234-$D$235)/$D$238</f>
        <v>1058.9128827958302</v>
      </c>
      <c r="E253" s="118">
        <f>(C214/(1+$B253)^1+D214/(1+$B253)^2+E214/(1+$B253)^3+F214/(1+$B253)^4+G214/(1+$B253)^5+(G214*(1+E$248)/($B253-E$248))/(1+$B253)^5+$E$118-$D$234-$D$235)/$D$238</f>
        <v>1096.4970956567352</v>
      </c>
      <c r="F253" s="118">
        <f>(C214/(1+$B253)^1+D214/(1+$B253)^2+E214/(1+$B253)^3+F214/(1+$B253)^4+G214/(1+$B253)^5+(G214*(1+F$248)/($B253-F$248))/(1+$B253)^5+$E$118-$D$234-$D$235)/$D$238</f>
        <v>1138.4868787485229</v>
      </c>
      <c r="G253" s="118">
        <f>(C214/(1+$B253)^1+D214/(1+$B253)^2+E214/(1+$B253)^3+F214/(1+$B253)^4+G214/(1+$B253)^5+(G214*(1+G$248)/($B253-G$248))/(1+$B253)^5+$E$118-$D$234-$D$235)/$D$238</f>
        <v>1185.7050811036943</v>
      </c>
    </row>
    <row r="255" spans="1:7" ht="54.75" customHeight="1" x14ac:dyDescent="0.3">
      <c r="A255" s="120" t="s">
        <v>646</v>
      </c>
    </row>
  </sheetData>
  <mergeCells count="36">
    <mergeCell ref="A1:J1"/>
    <mergeCell ref="A2:J2"/>
    <mergeCell ref="A7:J7"/>
    <mergeCell ref="A9:J9"/>
    <mergeCell ref="A19:J19"/>
    <mergeCell ref="A25:J25"/>
    <mergeCell ref="A29:J29"/>
    <mergeCell ref="A41:J41"/>
    <mergeCell ref="A49:J49"/>
    <mergeCell ref="A54:J54"/>
    <mergeCell ref="A82:J82"/>
    <mergeCell ref="A84:J84"/>
    <mergeCell ref="A92:J92"/>
    <mergeCell ref="A98:J98"/>
    <mergeCell ref="A105:J105"/>
    <mergeCell ref="A107:J107"/>
    <mergeCell ref="A112:J112"/>
    <mergeCell ref="A121:J121"/>
    <mergeCell ref="A129:J129"/>
    <mergeCell ref="A131:J131"/>
    <mergeCell ref="A141:J141"/>
    <mergeCell ref="A149:J149"/>
    <mergeCell ref="A156:J156"/>
    <mergeCell ref="A161:J161"/>
    <mergeCell ref="A172:J172"/>
    <mergeCell ref="A174:J174"/>
    <mergeCell ref="A183:J183"/>
    <mergeCell ref="A188:J188"/>
    <mergeCell ref="A199:J199"/>
    <mergeCell ref="A205:J205"/>
    <mergeCell ref="A246:G246"/>
    <mergeCell ref="A207:G207"/>
    <mergeCell ref="A216:G216"/>
    <mergeCell ref="A221:D221"/>
    <mergeCell ref="A227:D227"/>
    <mergeCell ref="A241:D241"/>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48"/>
  <sheetViews>
    <sheetView showGridLines="0" zoomScaleNormal="100" workbookViewId="0">
      <pane xSplit="2" ySplit="5" topLeftCell="C8" activePane="bottomRight" state="frozen"/>
      <selection pane="topRight" activeCell="C1" sqref="C1"/>
      <selection pane="bottomLeft" activeCell="A6" sqref="A6"/>
      <selection pane="bottomRight" activeCell="E3" sqref="E1:E1048576"/>
    </sheetView>
  </sheetViews>
  <sheetFormatPr defaultColWidth="8.6640625" defaultRowHeight="14.4" x14ac:dyDescent="0.3"/>
  <cols>
    <col min="1" max="1" width="42" customWidth="1"/>
    <col min="2" max="2" width="3" customWidth="1"/>
    <col min="3" max="3" width="13.44140625" customWidth="1"/>
    <col min="4" max="4" width="12.109375" customWidth="1"/>
    <col min="5" max="5" width="11.109375" customWidth="1"/>
    <col min="6" max="6" width="10.77734375" customWidth="1"/>
    <col min="7" max="7" width="11.77734375" customWidth="1"/>
    <col min="8" max="8" width="12" customWidth="1"/>
    <col min="9" max="9" width="10.44140625" customWidth="1"/>
    <col min="10" max="10" width="12.21875" customWidth="1"/>
    <col min="11" max="11" width="55" customWidth="1"/>
  </cols>
  <sheetData>
    <row r="1" spans="1:11" ht="25.5" customHeight="1" x14ac:dyDescent="0.3">
      <c r="A1" s="159" t="s">
        <v>647</v>
      </c>
      <c r="B1" s="159"/>
      <c r="C1" s="159"/>
      <c r="D1" s="159"/>
      <c r="E1" s="159"/>
      <c r="F1" s="159"/>
      <c r="G1" s="159"/>
      <c r="H1" s="159"/>
      <c r="I1" s="159"/>
      <c r="J1" s="159"/>
    </row>
    <row r="2" spans="1:11" ht="15.75" customHeight="1" x14ac:dyDescent="0.3">
      <c r="A2" s="160" t="s">
        <v>648</v>
      </c>
      <c r="B2" s="160"/>
      <c r="C2" s="160"/>
      <c r="D2" s="160"/>
      <c r="E2" s="160"/>
      <c r="F2" s="160"/>
      <c r="G2" s="160"/>
      <c r="H2" s="160"/>
      <c r="I2" s="160"/>
      <c r="J2" s="160"/>
    </row>
    <row r="4" spans="1:11" ht="15" customHeight="1" x14ac:dyDescent="0.3">
      <c r="A4" s="121" t="s">
        <v>649</v>
      </c>
      <c r="C4" s="200" t="s">
        <v>650</v>
      </c>
      <c r="D4" s="200"/>
      <c r="E4" s="200"/>
      <c r="F4" s="200"/>
    </row>
    <row r="5" spans="1:11" ht="15" customHeight="1" x14ac:dyDescent="0.3">
      <c r="A5" s="121" t="s">
        <v>651</v>
      </c>
      <c r="C5" s="201" t="s">
        <v>652</v>
      </c>
      <c r="D5" s="201"/>
      <c r="E5" s="201"/>
      <c r="F5" s="201"/>
      <c r="G5" s="201"/>
      <c r="H5" s="201"/>
      <c r="I5" s="201"/>
      <c r="J5" s="201"/>
    </row>
    <row r="6" spans="1:11" ht="15.75" customHeight="1" x14ac:dyDescent="0.3">
      <c r="A6" s="74" t="s">
        <v>487</v>
      </c>
      <c r="C6" s="75" t="s">
        <v>488</v>
      </c>
      <c r="D6" s="75" t="s">
        <v>489</v>
      </c>
      <c r="E6" s="75" t="s">
        <v>490</v>
      </c>
      <c r="F6" s="75" t="s">
        <v>491</v>
      </c>
      <c r="G6" s="75" t="s">
        <v>492</v>
      </c>
      <c r="H6" s="75" t="s">
        <v>493</v>
      </c>
      <c r="I6" s="75" t="s">
        <v>494</v>
      </c>
      <c r="J6" s="75" t="s">
        <v>495</v>
      </c>
    </row>
    <row r="7" spans="1:11" ht="15" customHeight="1" x14ac:dyDescent="0.3">
      <c r="A7" s="158" t="s">
        <v>496</v>
      </c>
      <c r="B7" s="158"/>
      <c r="C7" s="158"/>
      <c r="D7" s="158"/>
      <c r="E7" s="158"/>
      <c r="F7" s="158"/>
      <c r="G7" s="158"/>
      <c r="H7" s="158"/>
      <c r="I7" s="158"/>
      <c r="J7" s="158"/>
    </row>
    <row r="8" spans="1:11" ht="45.75" customHeight="1" x14ac:dyDescent="0.3">
      <c r="A8" s="76" t="s">
        <v>497</v>
      </c>
      <c r="C8" s="77" t="s">
        <v>498</v>
      </c>
      <c r="D8" s="80">
        <f>'Income Statement'!D5/'Income Statement'!C5-1</f>
        <v>6.0649443612936782E-2</v>
      </c>
      <c r="E8" s="80">
        <f>'Income Statement'!E5/'Income Statement'!D5-1</f>
        <v>9.6079514080618544E-2</v>
      </c>
      <c r="F8" s="79">
        <v>0.08</v>
      </c>
      <c r="G8" s="79">
        <v>8.5000000000000006E-2</v>
      </c>
      <c r="H8" s="79">
        <v>0.09</v>
      </c>
      <c r="I8" s="79">
        <v>0.09</v>
      </c>
      <c r="J8" s="79">
        <v>8.5000000000000006E-2</v>
      </c>
      <c r="K8" s="120" t="s">
        <v>653</v>
      </c>
    </row>
    <row r="9" spans="1:11" ht="27.75" customHeight="1" x14ac:dyDescent="0.3">
      <c r="A9" s="76" t="s">
        <v>499</v>
      </c>
      <c r="C9" s="80">
        <v>0.53764560421682805</v>
      </c>
      <c r="D9" s="80">
        <v>0.52733296521258999</v>
      </c>
      <c r="E9" s="80">
        <v>0.532292191435768</v>
      </c>
      <c r="F9" s="79">
        <v>0.53200000000000003</v>
      </c>
      <c r="G9" s="79">
        <v>0.53200000000000003</v>
      </c>
      <c r="H9" s="79">
        <v>0.53200000000000003</v>
      </c>
      <c r="I9" s="79">
        <v>0.53200000000000003</v>
      </c>
      <c r="J9" s="79">
        <v>0.53200000000000003</v>
      </c>
      <c r="K9" s="120" t="s">
        <v>654</v>
      </c>
    </row>
    <row r="10" spans="1:11" ht="18.75" customHeight="1" x14ac:dyDescent="0.3">
      <c r="A10" s="76" t="s">
        <v>500</v>
      </c>
      <c r="C10" s="80">
        <v>3.0441855925034199E-2</v>
      </c>
      <c r="D10" s="80">
        <v>2.9523283637033E-2</v>
      </c>
      <c r="E10" s="80">
        <v>2.7439126784214899E-2</v>
      </c>
      <c r="F10" s="79">
        <v>2.7E-2</v>
      </c>
      <c r="G10" s="79">
        <v>2.7E-2</v>
      </c>
      <c r="H10" s="79">
        <v>2.7E-2</v>
      </c>
      <c r="I10" s="79">
        <v>2.7E-2</v>
      </c>
      <c r="J10" s="79">
        <v>2.7E-2</v>
      </c>
      <c r="K10" s="120" t="s">
        <v>655</v>
      </c>
    </row>
    <row r="11" spans="1:11" ht="36.75" customHeight="1" x14ac:dyDescent="0.3">
      <c r="A11" s="81" t="s">
        <v>656</v>
      </c>
      <c r="C11" s="82">
        <v>0.20659204789484001</v>
      </c>
      <c r="D11" s="82">
        <v>0.21120314129701201</v>
      </c>
      <c r="E11" s="82">
        <v>0.20922474111391001</v>
      </c>
      <c r="F11" s="83">
        <v>0.21</v>
      </c>
      <c r="G11" s="83">
        <v>0.21299999999999999</v>
      </c>
      <c r="H11" s="83">
        <v>0.216</v>
      </c>
      <c r="I11" s="83">
        <v>0.219</v>
      </c>
      <c r="J11" s="83">
        <v>0.22</v>
      </c>
      <c r="K11" s="120" t="s">
        <v>657</v>
      </c>
    </row>
    <row r="12" spans="1:11" ht="18.75" customHeight="1" x14ac:dyDescent="0.3">
      <c r="A12" s="76" t="s">
        <v>502</v>
      </c>
      <c r="C12" s="80">
        <v>3.0656601809071399E-2</v>
      </c>
      <c r="D12" s="80">
        <v>2.2087244616234101E-2</v>
      </c>
      <c r="E12" s="80">
        <v>2.41925552756787E-2</v>
      </c>
      <c r="F12" s="79">
        <v>2.1999999999999999E-2</v>
      </c>
      <c r="G12" s="79">
        <v>2.1999999999999999E-2</v>
      </c>
      <c r="H12" s="79">
        <v>2.1999999999999999E-2</v>
      </c>
      <c r="I12" s="79">
        <v>2.1999999999999999E-2</v>
      </c>
      <c r="J12" s="79">
        <v>2.1999999999999999E-2</v>
      </c>
      <c r="K12" s="120" t="s">
        <v>658</v>
      </c>
    </row>
    <row r="13" spans="1:11" ht="18.75" customHeight="1" x14ac:dyDescent="0.3">
      <c r="A13" s="76" t="s">
        <v>503</v>
      </c>
      <c r="C13" s="80">
        <v>3.0585019847725698E-3</v>
      </c>
      <c r="D13" s="80">
        <v>2.5523038223203899E-3</v>
      </c>
      <c r="E13" s="80">
        <v>2.3285754268122E-3</v>
      </c>
      <c r="F13" s="79">
        <v>2.5000000000000001E-3</v>
      </c>
      <c r="G13" s="79">
        <v>2.5000000000000001E-3</v>
      </c>
      <c r="H13" s="79">
        <v>2.5000000000000001E-3</v>
      </c>
      <c r="I13" s="79">
        <v>2.5000000000000001E-3</v>
      </c>
      <c r="J13" s="79">
        <v>2.5000000000000001E-3</v>
      </c>
      <c r="K13" s="120" t="s">
        <v>659</v>
      </c>
    </row>
    <row r="14" spans="1:11" ht="18.75" customHeight="1" x14ac:dyDescent="0.3">
      <c r="A14" s="76" t="s">
        <v>504</v>
      </c>
      <c r="C14" s="80">
        <v>0.27064577081249303</v>
      </c>
      <c r="D14" s="80">
        <v>0.28871516698574801</v>
      </c>
      <c r="E14" s="80">
        <v>0.26305788223527898</v>
      </c>
      <c r="F14" s="79">
        <v>0.27</v>
      </c>
      <c r="G14" s="79">
        <v>0.27</v>
      </c>
      <c r="H14" s="79">
        <v>0.27</v>
      </c>
      <c r="I14" s="79">
        <v>0.27</v>
      </c>
      <c r="J14" s="79">
        <v>0.27</v>
      </c>
      <c r="K14" s="120" t="s">
        <v>660</v>
      </c>
    </row>
    <row r="15" spans="1:11" ht="18.75" customHeight="1" x14ac:dyDescent="0.3">
      <c r="A15" s="76" t="s">
        <v>505</v>
      </c>
      <c r="C15" s="84">
        <v>5.7147211216092698E-4</v>
      </c>
      <c r="D15" s="84">
        <v>1.38317757009346E-3</v>
      </c>
      <c r="E15" s="84">
        <v>1.15355906900998E-3</v>
      </c>
      <c r="F15" s="85">
        <v>1.2999999999999999E-3</v>
      </c>
      <c r="G15" s="85">
        <v>1.2999999999999999E-3</v>
      </c>
      <c r="H15" s="85">
        <v>1.2999999999999999E-3</v>
      </c>
      <c r="I15" s="85">
        <v>1.2999999999999999E-3</v>
      </c>
      <c r="J15" s="85">
        <v>1.2999999999999999E-3</v>
      </c>
      <c r="K15" s="120" t="s">
        <v>661</v>
      </c>
    </row>
    <row r="17" spans="1:11" ht="15" customHeight="1" x14ac:dyDescent="0.3">
      <c r="A17" s="158" t="s">
        <v>506</v>
      </c>
      <c r="B17" s="158"/>
      <c r="C17" s="158"/>
      <c r="D17" s="158"/>
      <c r="E17" s="158"/>
      <c r="F17" s="158"/>
      <c r="G17" s="158"/>
      <c r="H17" s="158"/>
      <c r="I17" s="158"/>
      <c r="J17" s="158"/>
    </row>
    <row r="18" spans="1:11" ht="18.75" customHeight="1" x14ac:dyDescent="0.3">
      <c r="A18" s="76" t="s">
        <v>507</v>
      </c>
      <c r="C18" s="86">
        <v>71.715006182078497</v>
      </c>
      <c r="D18" s="86">
        <v>69.7752622860298</v>
      </c>
      <c r="E18" s="86">
        <v>71.986621886370003</v>
      </c>
      <c r="F18" s="87">
        <v>71</v>
      </c>
      <c r="G18" s="87">
        <v>71</v>
      </c>
      <c r="H18" s="87">
        <v>71</v>
      </c>
      <c r="I18" s="87">
        <v>71</v>
      </c>
      <c r="J18" s="87">
        <v>71</v>
      </c>
      <c r="K18" s="120" t="s">
        <v>662</v>
      </c>
    </row>
    <row r="19" spans="1:11" ht="18.75" customHeight="1" x14ac:dyDescent="0.3">
      <c r="A19" s="76" t="s">
        <v>508</v>
      </c>
      <c r="C19" s="86">
        <v>9.3963688423244598</v>
      </c>
      <c r="D19" s="86">
        <v>9.3248665562304396</v>
      </c>
      <c r="E19" s="86">
        <v>9.69247131262245</v>
      </c>
      <c r="F19" s="87">
        <v>9.5</v>
      </c>
      <c r="G19" s="87">
        <v>9.5</v>
      </c>
      <c r="H19" s="87">
        <v>9.5</v>
      </c>
      <c r="I19" s="87">
        <v>9.5</v>
      </c>
      <c r="J19" s="87">
        <v>9.5</v>
      </c>
      <c r="K19" s="120" t="s">
        <v>663</v>
      </c>
    </row>
    <row r="20" spans="1:11" ht="27.75" customHeight="1" x14ac:dyDescent="0.3">
      <c r="A20" s="76" t="s">
        <v>509</v>
      </c>
      <c r="C20" s="80">
        <v>0.205231990629271</v>
      </c>
      <c r="D20" s="80">
        <v>0.17794956745812601</v>
      </c>
      <c r="E20" s="80">
        <v>0.18530086761824799</v>
      </c>
      <c r="F20" s="79">
        <v>0.19</v>
      </c>
      <c r="G20" s="79">
        <v>0.19</v>
      </c>
      <c r="H20" s="79">
        <v>0.19</v>
      </c>
      <c r="I20" s="79">
        <v>0.19</v>
      </c>
      <c r="J20" s="79">
        <v>0.19</v>
      </c>
      <c r="K20" s="120" t="s">
        <v>664</v>
      </c>
    </row>
    <row r="21" spans="1:11" ht="18.75" customHeight="1" x14ac:dyDescent="0.3">
      <c r="A21" s="76" t="s">
        <v>510</v>
      </c>
      <c r="C21" s="80">
        <v>0.21395848246242</v>
      </c>
      <c r="D21" s="80">
        <v>0.222289711025216</v>
      </c>
      <c r="E21" s="80">
        <v>0.24863140218304</v>
      </c>
      <c r="F21" s="79">
        <v>0.25</v>
      </c>
      <c r="G21" s="79">
        <v>0.25</v>
      </c>
      <c r="H21" s="79">
        <v>0.25</v>
      </c>
      <c r="I21" s="79">
        <v>0.25</v>
      </c>
      <c r="J21" s="79">
        <v>0.25</v>
      </c>
      <c r="K21" s="120" t="s">
        <v>665</v>
      </c>
    </row>
    <row r="23" spans="1:11" ht="15" customHeight="1" x14ac:dyDescent="0.3">
      <c r="A23" s="158" t="s">
        <v>666</v>
      </c>
      <c r="B23" s="158"/>
      <c r="C23" s="158"/>
      <c r="D23" s="158"/>
      <c r="E23" s="158"/>
      <c r="F23" s="158"/>
      <c r="G23" s="158"/>
      <c r="H23" s="158"/>
      <c r="I23" s="158"/>
      <c r="J23" s="158"/>
    </row>
    <row r="24" spans="1:11" ht="18.75" customHeight="1" x14ac:dyDescent="0.3">
      <c r="A24" s="76" t="s">
        <v>512</v>
      </c>
      <c r="C24" s="80">
        <v>1.43228997201796E-2</v>
      </c>
      <c r="D24" s="80">
        <v>1.37247683906988E-2</v>
      </c>
      <c r="E24" s="80">
        <v>1.5264483627203999E-2</v>
      </c>
      <c r="F24" s="79">
        <v>1.4999999999999999E-2</v>
      </c>
      <c r="G24" s="79">
        <v>1.4999999999999999E-2</v>
      </c>
      <c r="H24" s="79">
        <v>1.4999999999999999E-2</v>
      </c>
      <c r="I24" s="79">
        <v>1.4999999999999999E-2</v>
      </c>
      <c r="J24" s="79">
        <v>1.4999999999999999E-2</v>
      </c>
      <c r="K24" s="120" t="s">
        <v>667</v>
      </c>
    </row>
    <row r="26" spans="1:11" ht="15" customHeight="1" x14ac:dyDescent="0.3">
      <c r="A26" s="158" t="s">
        <v>668</v>
      </c>
      <c r="B26" s="158"/>
      <c r="C26" s="158"/>
      <c r="D26" s="158"/>
      <c r="E26" s="158"/>
      <c r="F26" s="158"/>
      <c r="G26" s="158"/>
      <c r="H26" s="158"/>
      <c r="I26" s="158"/>
      <c r="J26" s="158"/>
    </row>
    <row r="27" spans="1:11" ht="27.75" customHeight="1" x14ac:dyDescent="0.3">
      <c r="A27" s="76" t="s">
        <v>669</v>
      </c>
      <c r="C27" s="77" t="s">
        <v>670</v>
      </c>
      <c r="D27" s="77" t="s">
        <v>670</v>
      </c>
      <c r="E27" s="77" t="s">
        <v>670</v>
      </c>
      <c r="F27" s="79">
        <v>0.85</v>
      </c>
      <c r="G27" s="79">
        <v>0.85</v>
      </c>
      <c r="H27" s="79">
        <v>0.85</v>
      </c>
      <c r="I27" s="79">
        <v>0.85</v>
      </c>
      <c r="J27" s="79">
        <v>0.85</v>
      </c>
      <c r="K27" s="120" t="s">
        <v>671</v>
      </c>
    </row>
    <row r="29" spans="1:11" ht="15" customHeight="1" x14ac:dyDescent="0.3">
      <c r="A29" s="158" t="s">
        <v>672</v>
      </c>
      <c r="B29" s="158"/>
      <c r="C29" s="158"/>
      <c r="D29" s="158"/>
    </row>
    <row r="30" spans="1:11" ht="18.75" customHeight="1" x14ac:dyDescent="0.3">
      <c r="A30" s="76" t="s">
        <v>515</v>
      </c>
      <c r="D30" s="85">
        <v>6.8000000000000005E-2</v>
      </c>
      <c r="K30" s="120" t="s">
        <v>673</v>
      </c>
    </row>
    <row r="31" spans="1:11" ht="18.75" customHeight="1" x14ac:dyDescent="0.3">
      <c r="A31" s="76" t="s">
        <v>674</v>
      </c>
      <c r="D31" s="88">
        <v>0.85</v>
      </c>
      <c r="K31" s="120" t="s">
        <v>675</v>
      </c>
    </row>
    <row r="32" spans="1:11" ht="18.75" customHeight="1" x14ac:dyDescent="0.3">
      <c r="A32" s="76" t="s">
        <v>517</v>
      </c>
      <c r="D32" s="85">
        <v>7.4999999999999997E-2</v>
      </c>
      <c r="K32" s="120" t="s">
        <v>676</v>
      </c>
    </row>
    <row r="33" spans="1:11" ht="15" customHeight="1" x14ac:dyDescent="0.3">
      <c r="A33" s="81" t="s">
        <v>518</v>
      </c>
      <c r="D33" s="89">
        <f>D30+D31*D32</f>
        <v>0.13175000000000001</v>
      </c>
    </row>
    <row r="34" spans="1:11" ht="27.75" customHeight="1" x14ac:dyDescent="0.3">
      <c r="A34" s="76" t="s">
        <v>519</v>
      </c>
      <c r="D34" s="85">
        <v>7.4999999999999997E-2</v>
      </c>
      <c r="K34" s="120" t="s">
        <v>677</v>
      </c>
    </row>
    <row r="35" spans="1:11" ht="15" customHeight="1" x14ac:dyDescent="0.3">
      <c r="A35" s="76" t="s">
        <v>520</v>
      </c>
      <c r="D35" s="85">
        <v>0.27</v>
      </c>
      <c r="K35" s="120" t="s">
        <v>678</v>
      </c>
    </row>
    <row r="36" spans="1:11" ht="15" customHeight="1" x14ac:dyDescent="0.3">
      <c r="A36" s="81" t="s">
        <v>521</v>
      </c>
      <c r="D36" s="89">
        <f>D34*(1-D35)</f>
        <v>5.475E-2</v>
      </c>
    </row>
    <row r="37" spans="1:11" ht="27.75" customHeight="1" x14ac:dyDescent="0.3">
      <c r="A37" s="76" t="s">
        <v>679</v>
      </c>
      <c r="D37" s="80">
        <f>'Capital Structure'!D23</f>
        <v>1.8692654943693876E-2</v>
      </c>
      <c r="K37" s="120" t="s">
        <v>680</v>
      </c>
    </row>
    <row r="38" spans="1:11" ht="15" customHeight="1" x14ac:dyDescent="0.3">
      <c r="A38" s="76" t="s">
        <v>523</v>
      </c>
      <c r="D38" s="78">
        <f>1-D37</f>
        <v>0.98130734505630612</v>
      </c>
    </row>
    <row r="39" spans="1:11" ht="15" customHeight="1" x14ac:dyDescent="0.3">
      <c r="A39" s="81" t="s">
        <v>524</v>
      </c>
      <c r="D39" s="89">
        <f>D33*D38+D36*D37</f>
        <v>0.13031066556933557</v>
      </c>
    </row>
    <row r="41" spans="1:11" ht="15" customHeight="1" x14ac:dyDescent="0.3">
      <c r="A41" s="158" t="s">
        <v>681</v>
      </c>
      <c r="B41" s="158"/>
      <c r="C41" s="158"/>
      <c r="D41" s="158"/>
    </row>
    <row r="42" spans="1:11" ht="27.75" customHeight="1" x14ac:dyDescent="0.3">
      <c r="A42" s="76" t="s">
        <v>526</v>
      </c>
      <c r="D42" s="91">
        <v>0.05</v>
      </c>
      <c r="K42" s="120" t="s">
        <v>682</v>
      </c>
    </row>
    <row r="43" spans="1:11" ht="15" customHeight="1" x14ac:dyDescent="0.3">
      <c r="A43" s="81" t="s">
        <v>527</v>
      </c>
      <c r="D43" s="89">
        <f>D39-D42</f>
        <v>8.0310665569335568E-2</v>
      </c>
    </row>
    <row r="45" spans="1:11" ht="15" customHeight="1" x14ac:dyDescent="0.3">
      <c r="A45" s="158" t="s">
        <v>683</v>
      </c>
      <c r="B45" s="158"/>
      <c r="C45" s="158"/>
      <c r="D45" s="158"/>
    </row>
    <row r="46" spans="1:11" ht="18.75" customHeight="1" x14ac:dyDescent="0.3">
      <c r="A46" s="76" t="s">
        <v>528</v>
      </c>
      <c r="D46" s="92">
        <v>1190</v>
      </c>
      <c r="K46" s="120" t="s">
        <v>684</v>
      </c>
    </row>
    <row r="47" spans="1:11" ht="27.75" customHeight="1" x14ac:dyDescent="0.3">
      <c r="A47" s="76" t="s">
        <v>529</v>
      </c>
      <c r="D47" s="93">
        <v>404.8</v>
      </c>
      <c r="K47" s="120" t="s">
        <v>685</v>
      </c>
    </row>
    <row r="48" spans="1:11" ht="15" customHeight="1" x14ac:dyDescent="0.3">
      <c r="A48" s="81" t="s">
        <v>530</v>
      </c>
      <c r="D48" s="94">
        <f>D46*D47</f>
        <v>481712</v>
      </c>
    </row>
  </sheetData>
  <mergeCells count="11">
    <mergeCell ref="A1:J1"/>
    <mergeCell ref="A2:J2"/>
    <mergeCell ref="C4:F4"/>
    <mergeCell ref="C5:J5"/>
    <mergeCell ref="A7:J7"/>
    <mergeCell ref="A45:D45"/>
    <mergeCell ref="A17:J17"/>
    <mergeCell ref="A23:J23"/>
    <mergeCell ref="A26:J26"/>
    <mergeCell ref="A29:D29"/>
    <mergeCell ref="A41:D41"/>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35"/>
  <sheetViews>
    <sheetView showGridLines="0" zoomScaleNormal="100" workbookViewId="0">
      <pane xSplit="2" ySplit="5" topLeftCell="C6" activePane="bottomRight" state="frozen"/>
      <selection pane="topRight" activeCell="C1" sqref="C1"/>
      <selection pane="bottomLeft" activeCell="A6" sqref="A6"/>
      <selection pane="bottomRight" sqref="A1:J1"/>
    </sheetView>
  </sheetViews>
  <sheetFormatPr defaultColWidth="8.6640625" defaultRowHeight="14.4" x14ac:dyDescent="0.3"/>
  <cols>
    <col min="1" max="1" width="42" customWidth="1"/>
    <col min="2" max="2" width="3" customWidth="1"/>
    <col min="3" max="3" width="13.44140625" customWidth="1"/>
  </cols>
  <sheetData>
    <row r="1" spans="1:10" ht="25.5" customHeight="1" x14ac:dyDescent="0.3">
      <c r="A1" s="159" t="s">
        <v>647</v>
      </c>
      <c r="B1" s="159"/>
      <c r="C1" s="159"/>
      <c r="D1" s="159"/>
      <c r="E1" s="159"/>
      <c r="F1" s="159"/>
      <c r="G1" s="159"/>
      <c r="H1" s="159"/>
      <c r="I1" s="159"/>
      <c r="J1" s="159"/>
    </row>
    <row r="2" spans="1:10" ht="15.75" customHeight="1" x14ac:dyDescent="0.3">
      <c r="A2" s="160" t="s">
        <v>686</v>
      </c>
      <c r="B2" s="160"/>
      <c r="C2" s="160"/>
      <c r="D2" s="160"/>
      <c r="E2" s="160"/>
      <c r="F2" s="160"/>
      <c r="G2" s="160"/>
      <c r="H2" s="160"/>
      <c r="I2" s="160"/>
      <c r="J2" s="160"/>
    </row>
    <row r="4" spans="1:10" ht="15.75" customHeight="1" x14ac:dyDescent="0.3">
      <c r="A4" s="74" t="s">
        <v>487</v>
      </c>
      <c r="C4" s="75" t="s">
        <v>488</v>
      </c>
      <c r="D4" s="75" t="s">
        <v>489</v>
      </c>
      <c r="E4" s="75" t="s">
        <v>490</v>
      </c>
      <c r="F4" s="75" t="s">
        <v>491</v>
      </c>
      <c r="G4" s="75" t="s">
        <v>492</v>
      </c>
      <c r="H4" s="75" t="s">
        <v>493</v>
      </c>
      <c r="I4" s="75" t="s">
        <v>494</v>
      </c>
      <c r="J4" s="75" t="s">
        <v>495</v>
      </c>
    </row>
    <row r="5" spans="1:10" ht="15" customHeight="1" x14ac:dyDescent="0.3">
      <c r="A5" s="81" t="s">
        <v>91</v>
      </c>
      <c r="C5" s="122">
        <v>153670</v>
      </c>
      <c r="D5" s="122">
        <v>162990</v>
      </c>
      <c r="E5" s="122">
        <v>178650</v>
      </c>
      <c r="F5" s="123">
        <f>E5*(1+Assumptions!F8)</f>
        <v>192942</v>
      </c>
      <c r="G5" s="123">
        <f>F5*(1+Assumptions!G8)</f>
        <v>209342.07</v>
      </c>
      <c r="H5" s="123">
        <f>G5*(1+Assumptions!H8)</f>
        <v>228182.85630000001</v>
      </c>
      <c r="I5" s="123">
        <f>H5*(1+Assumptions!I8)</f>
        <v>248719.31336700002</v>
      </c>
      <c r="J5" s="123">
        <f>I5*(1+Assumptions!J8)</f>
        <v>269860.45500319503</v>
      </c>
    </row>
    <row r="6" spans="1:10" ht="15" customHeight="1" x14ac:dyDescent="0.3">
      <c r="A6" s="97" t="s">
        <v>532</v>
      </c>
      <c r="C6" s="77" t="s">
        <v>498</v>
      </c>
      <c r="D6" s="78">
        <f>D5/C5-1</f>
        <v>6.0649443612936782E-2</v>
      </c>
      <c r="E6" s="78">
        <f>E5/D5-1</f>
        <v>9.6079514080618544E-2</v>
      </c>
      <c r="F6" s="80">
        <f>Assumptions!F8</f>
        <v>0.08</v>
      </c>
      <c r="G6" s="80">
        <f>Assumptions!G8</f>
        <v>8.5000000000000006E-2</v>
      </c>
      <c r="H6" s="80">
        <f>Assumptions!H8</f>
        <v>0.09</v>
      </c>
      <c r="I6" s="80">
        <f>Assumptions!I8</f>
        <v>0.09</v>
      </c>
      <c r="J6" s="80">
        <f>Assumptions!J8</f>
        <v>8.5000000000000006E-2</v>
      </c>
    </row>
    <row r="8" spans="1:10" ht="15" customHeight="1" x14ac:dyDescent="0.3">
      <c r="A8" s="158" t="s">
        <v>533</v>
      </c>
      <c r="B8" s="158"/>
      <c r="C8" s="158"/>
      <c r="D8" s="158"/>
      <c r="E8" s="158"/>
      <c r="F8" s="158"/>
      <c r="G8" s="158"/>
      <c r="H8" s="158"/>
      <c r="I8" s="158"/>
      <c r="J8" s="158"/>
    </row>
    <row r="9" spans="1:10" ht="15" customHeight="1" x14ac:dyDescent="0.3">
      <c r="A9" s="76" t="s">
        <v>95</v>
      </c>
      <c r="C9" s="124">
        <v>82620</v>
      </c>
      <c r="D9" s="124">
        <v>85950</v>
      </c>
      <c r="E9" s="124">
        <v>95094</v>
      </c>
      <c r="F9" s="125">
        <f>F5*Assumptions!F9</f>
        <v>102645.144</v>
      </c>
      <c r="G9" s="125">
        <f>G5*Assumptions!G9</f>
        <v>111369.98124000001</v>
      </c>
      <c r="H9" s="125">
        <f>H5*Assumptions!H9</f>
        <v>121393.27955160002</v>
      </c>
      <c r="I9" s="125">
        <f>I5*Assumptions!I9</f>
        <v>132318.67471124401</v>
      </c>
      <c r="J9" s="125">
        <f>J5*Assumptions!J9</f>
        <v>143565.76206169976</v>
      </c>
    </row>
    <row r="10" spans="1:10" ht="15" customHeight="1" x14ac:dyDescent="0.3">
      <c r="A10" s="76" t="s">
        <v>534</v>
      </c>
      <c r="C10" s="124">
        <v>4678</v>
      </c>
      <c r="D10" s="124">
        <v>4812</v>
      </c>
      <c r="E10" s="124">
        <v>4902</v>
      </c>
      <c r="F10" s="125">
        <f>F5*Assumptions!F10</f>
        <v>5209.4340000000002</v>
      </c>
      <c r="G10" s="125">
        <f>G5*Assumptions!G10</f>
        <v>5652.2358899999999</v>
      </c>
      <c r="H10" s="125">
        <f>H5*Assumptions!H10</f>
        <v>6160.9371201000004</v>
      </c>
      <c r="I10" s="125">
        <f>I5*Assumptions!I10</f>
        <v>6715.4214609090004</v>
      </c>
      <c r="J10" s="125">
        <f>J5*Assumptions!J10</f>
        <v>7286.2322850862656</v>
      </c>
    </row>
    <row r="11" spans="1:10" ht="15" customHeight="1" x14ac:dyDescent="0.3">
      <c r="A11" s="76" t="s">
        <v>535</v>
      </c>
      <c r="C11" s="124">
        <v>34625</v>
      </c>
      <c r="D11" s="124">
        <v>37804</v>
      </c>
      <c r="E11" s="124">
        <v>41276</v>
      </c>
      <c r="F11" s="125">
        <f>F5*(1-Assumptions!F11)-F9-F10</f>
        <v>44569.601999999992</v>
      </c>
      <c r="G11" s="125">
        <f>G5*(1-Assumptions!G11)-G9-G10</f>
        <v>47729.991960000014</v>
      </c>
      <c r="H11" s="125">
        <f>H5*(1-Assumptions!H11)-H9-H10</f>
        <v>51341.142667499997</v>
      </c>
      <c r="I11" s="125">
        <f>I5*(1-Assumptions!I11)-I9-I10</f>
        <v>55215.687567474015</v>
      </c>
      <c r="J11" s="125">
        <f>J5*(1-Assumptions!J11)-J9-J10</f>
        <v>59639.160555706098</v>
      </c>
    </row>
    <row r="12" spans="1:10" ht="15" customHeight="1" x14ac:dyDescent="0.3">
      <c r="A12" s="81" t="s">
        <v>536</v>
      </c>
      <c r="C12" s="126">
        <f t="shared" ref="C12:J12" si="0">C9+C10+C11</f>
        <v>121923</v>
      </c>
      <c r="D12" s="126">
        <f t="shared" si="0"/>
        <v>128566</v>
      </c>
      <c r="E12" s="126">
        <f t="shared" si="0"/>
        <v>141272</v>
      </c>
      <c r="F12" s="126">
        <f t="shared" si="0"/>
        <v>152424.18</v>
      </c>
      <c r="G12" s="126">
        <f t="shared" si="0"/>
        <v>164752.20909000002</v>
      </c>
      <c r="H12" s="126">
        <f t="shared" si="0"/>
        <v>178895.35933920002</v>
      </c>
      <c r="I12" s="126">
        <f t="shared" si="0"/>
        <v>194249.78373962705</v>
      </c>
      <c r="J12" s="126">
        <f t="shared" si="0"/>
        <v>210491.15490249213</v>
      </c>
    </row>
    <row r="14" spans="1:10" ht="15" customHeight="1" x14ac:dyDescent="0.3">
      <c r="A14" s="81" t="s">
        <v>537</v>
      </c>
      <c r="C14" s="127">
        <f t="shared" ref="C14:J14" si="1">C5-C12</f>
        <v>31747</v>
      </c>
      <c r="D14" s="127">
        <f t="shared" si="1"/>
        <v>34424</v>
      </c>
      <c r="E14" s="127">
        <f t="shared" si="1"/>
        <v>37378</v>
      </c>
      <c r="F14" s="127">
        <f t="shared" si="1"/>
        <v>40517.820000000007</v>
      </c>
      <c r="G14" s="127">
        <f t="shared" si="1"/>
        <v>44589.860909999989</v>
      </c>
      <c r="H14" s="127">
        <f t="shared" si="1"/>
        <v>49287.496960799996</v>
      </c>
      <c r="I14" s="127">
        <f t="shared" si="1"/>
        <v>54469.529627372976</v>
      </c>
      <c r="J14" s="127">
        <f t="shared" si="1"/>
        <v>59369.300100702909</v>
      </c>
    </row>
    <row r="15" spans="1:10" ht="15" customHeight="1" x14ac:dyDescent="0.3">
      <c r="A15" s="97" t="s">
        <v>538</v>
      </c>
      <c r="C15" s="78">
        <f t="shared" ref="C15:J15" si="2">C14/C5</f>
        <v>0.20659204789483959</v>
      </c>
      <c r="D15" s="78">
        <f t="shared" si="2"/>
        <v>0.21120314129701209</v>
      </c>
      <c r="E15" s="78">
        <f t="shared" si="2"/>
        <v>0.20922474111390987</v>
      </c>
      <c r="F15" s="78">
        <f t="shared" si="2"/>
        <v>0.21000000000000005</v>
      </c>
      <c r="G15" s="78">
        <f t="shared" si="2"/>
        <v>0.21299999999999994</v>
      </c>
      <c r="H15" s="78">
        <f t="shared" si="2"/>
        <v>0.21599999999999997</v>
      </c>
      <c r="I15" s="78">
        <f t="shared" si="2"/>
        <v>0.21899999999999989</v>
      </c>
      <c r="J15" s="78">
        <f t="shared" si="2"/>
        <v>0.22</v>
      </c>
    </row>
    <row r="17" spans="1:10" ht="15" customHeight="1" x14ac:dyDescent="0.3">
      <c r="A17" s="76" t="s">
        <v>92</v>
      </c>
      <c r="C17" s="124">
        <v>4711</v>
      </c>
      <c r="D17" s="124">
        <v>3600</v>
      </c>
      <c r="E17" s="124">
        <v>4322</v>
      </c>
      <c r="F17" s="125">
        <f>F5*Assumptions!F12</f>
        <v>4244.7240000000002</v>
      </c>
      <c r="G17" s="125">
        <f>G5*Assumptions!G12</f>
        <v>4605.5255399999996</v>
      </c>
      <c r="H17" s="125">
        <f>H5*Assumptions!H12</f>
        <v>5020.0228385999999</v>
      </c>
      <c r="I17" s="125">
        <f>I5*Assumptions!I12</f>
        <v>5471.8248940740004</v>
      </c>
      <c r="J17" s="125">
        <f>J5*Assumptions!J12</f>
        <v>5936.9300100702903</v>
      </c>
    </row>
    <row r="18" spans="1:10" ht="15" customHeight="1" x14ac:dyDescent="0.3">
      <c r="A18" s="76" t="s">
        <v>102</v>
      </c>
      <c r="C18" s="124">
        <v>470</v>
      </c>
      <c r="D18" s="124">
        <v>416</v>
      </c>
      <c r="E18" s="124">
        <v>416</v>
      </c>
      <c r="F18" s="125">
        <f>F5*Assumptions!F13</f>
        <v>482.35500000000002</v>
      </c>
      <c r="G18" s="125">
        <f>G5*Assumptions!G13</f>
        <v>523.35517500000003</v>
      </c>
      <c r="H18" s="125">
        <f>H5*Assumptions!H13</f>
        <v>570.45714075000001</v>
      </c>
      <c r="I18" s="125">
        <f>I5*Assumptions!I13</f>
        <v>621.7982834175001</v>
      </c>
      <c r="J18" s="125">
        <f>J5*Assumptions!J13</f>
        <v>674.65113750798764</v>
      </c>
    </row>
    <row r="19" spans="1:10" ht="15" customHeight="1" x14ac:dyDescent="0.3">
      <c r="A19" s="81" t="s">
        <v>105</v>
      </c>
      <c r="C19" s="128">
        <f t="shared" ref="C19:J19" si="3">C14+C17-C18</f>
        <v>35988</v>
      </c>
      <c r="D19" s="128">
        <f t="shared" si="3"/>
        <v>37608</v>
      </c>
      <c r="E19" s="128">
        <f t="shared" si="3"/>
        <v>41284</v>
      </c>
      <c r="F19" s="128">
        <f t="shared" si="3"/>
        <v>44280.189000000006</v>
      </c>
      <c r="G19" s="128">
        <f t="shared" si="3"/>
        <v>48672.031274999994</v>
      </c>
      <c r="H19" s="128">
        <f t="shared" si="3"/>
        <v>53737.06265865</v>
      </c>
      <c r="I19" s="128">
        <f t="shared" si="3"/>
        <v>59319.55623802948</v>
      </c>
      <c r="J19" s="128">
        <f t="shared" si="3"/>
        <v>64631.578973265212</v>
      </c>
    </row>
    <row r="20" spans="1:10" ht="15" customHeight="1" x14ac:dyDescent="0.3">
      <c r="A20" s="76" t="s">
        <v>539</v>
      </c>
      <c r="C20" s="124">
        <v>0</v>
      </c>
      <c r="D20" s="124">
        <v>0</v>
      </c>
      <c r="E20" s="124">
        <v>1289</v>
      </c>
      <c r="F20" s="124">
        <v>0</v>
      </c>
      <c r="G20" s="124">
        <v>0</v>
      </c>
      <c r="H20" s="124">
        <v>0</v>
      </c>
      <c r="I20" s="124">
        <v>0</v>
      </c>
      <c r="J20" s="124">
        <v>0</v>
      </c>
    </row>
    <row r="21" spans="1:10" ht="15" customHeight="1" x14ac:dyDescent="0.3">
      <c r="A21" s="81" t="s">
        <v>540</v>
      </c>
      <c r="C21" s="127">
        <f t="shared" ref="C21:J21" si="4">C19-C20</f>
        <v>35988</v>
      </c>
      <c r="D21" s="127">
        <f t="shared" si="4"/>
        <v>37608</v>
      </c>
      <c r="E21" s="127">
        <f t="shared" si="4"/>
        <v>39995</v>
      </c>
      <c r="F21" s="127">
        <f t="shared" si="4"/>
        <v>44280.189000000006</v>
      </c>
      <c r="G21" s="127">
        <f t="shared" si="4"/>
        <v>48672.031274999994</v>
      </c>
      <c r="H21" s="127">
        <f t="shared" si="4"/>
        <v>53737.06265865</v>
      </c>
      <c r="I21" s="127">
        <f t="shared" si="4"/>
        <v>59319.55623802948</v>
      </c>
      <c r="J21" s="127">
        <f t="shared" si="4"/>
        <v>64631.578973265212</v>
      </c>
    </row>
    <row r="23" spans="1:10" ht="15" customHeight="1" x14ac:dyDescent="0.3">
      <c r="A23" s="76" t="s">
        <v>541</v>
      </c>
      <c r="C23" s="124">
        <v>9740</v>
      </c>
      <c r="D23" s="124">
        <v>10858</v>
      </c>
      <c r="E23" s="124">
        <v>10521</v>
      </c>
      <c r="F23" s="125">
        <f>F21*Assumptions!F14</f>
        <v>11955.651030000003</v>
      </c>
      <c r="G23" s="125">
        <f>G21*Assumptions!G14</f>
        <v>13141.44844425</v>
      </c>
      <c r="H23" s="125">
        <f>H21*Assumptions!H14</f>
        <v>14509.006917835501</v>
      </c>
      <c r="I23" s="125">
        <f>I21*Assumptions!I14</f>
        <v>16016.28018426796</v>
      </c>
      <c r="J23" s="125">
        <f>J21*Assumptions!J14</f>
        <v>17450.526322781607</v>
      </c>
    </row>
    <row r="24" spans="1:10" ht="15" customHeight="1" x14ac:dyDescent="0.3">
      <c r="A24" s="97" t="s">
        <v>542</v>
      </c>
      <c r="C24" s="78">
        <f t="shared" ref="C24:J24" si="5">C23/C21</f>
        <v>0.27064577081249308</v>
      </c>
      <c r="D24" s="78">
        <f t="shared" si="5"/>
        <v>0.28871516698574773</v>
      </c>
      <c r="E24" s="78">
        <f t="shared" si="5"/>
        <v>0.26305788223527943</v>
      </c>
      <c r="F24" s="78">
        <f t="shared" si="5"/>
        <v>0.27</v>
      </c>
      <c r="G24" s="78">
        <f t="shared" si="5"/>
        <v>0.27</v>
      </c>
      <c r="H24" s="78">
        <f t="shared" si="5"/>
        <v>0.27</v>
      </c>
      <c r="I24" s="78">
        <f t="shared" si="5"/>
        <v>0.27</v>
      </c>
      <c r="J24" s="78">
        <f t="shared" si="5"/>
        <v>0.27</v>
      </c>
    </row>
    <row r="26" spans="1:10" ht="15" customHeight="1" x14ac:dyDescent="0.3">
      <c r="A26" s="81" t="s">
        <v>543</v>
      </c>
      <c r="C26" s="127">
        <f t="shared" ref="C26:J26" si="6">C21-C23</f>
        <v>26248</v>
      </c>
      <c r="D26" s="127">
        <f t="shared" si="6"/>
        <v>26750</v>
      </c>
      <c r="E26" s="127">
        <f t="shared" si="6"/>
        <v>29474</v>
      </c>
      <c r="F26" s="127">
        <f t="shared" si="6"/>
        <v>32324.537970000005</v>
      </c>
      <c r="G26" s="127">
        <f t="shared" si="6"/>
        <v>35530.582830749991</v>
      </c>
      <c r="H26" s="127">
        <f t="shared" si="6"/>
        <v>39228.055740814496</v>
      </c>
      <c r="I26" s="127">
        <f t="shared" si="6"/>
        <v>43303.276053761518</v>
      </c>
      <c r="J26" s="127">
        <f t="shared" si="6"/>
        <v>47181.052650483602</v>
      </c>
    </row>
    <row r="27" spans="1:10" ht="15" customHeight="1" x14ac:dyDescent="0.3">
      <c r="A27" s="76" t="s">
        <v>544</v>
      </c>
      <c r="C27" s="124">
        <v>15</v>
      </c>
      <c r="D27" s="124">
        <v>37</v>
      </c>
      <c r="E27" s="124">
        <v>34</v>
      </c>
      <c r="F27" s="125">
        <f>F26*Assumptions!F15</f>
        <v>42.021899361000003</v>
      </c>
      <c r="G27" s="125">
        <f>G26*Assumptions!G15</f>
        <v>46.189757679974988</v>
      </c>
      <c r="H27" s="125">
        <f>H26*Assumptions!H15</f>
        <v>50.996472463058844</v>
      </c>
      <c r="I27" s="125">
        <f>I26*Assumptions!I15</f>
        <v>56.294258869889973</v>
      </c>
      <c r="J27" s="125">
        <f>J26*Assumptions!J15</f>
        <v>61.335368445628681</v>
      </c>
    </row>
    <row r="28" spans="1:10" ht="15" customHeight="1" x14ac:dyDescent="0.3">
      <c r="A28" s="81" t="s">
        <v>112</v>
      </c>
      <c r="C28" s="129">
        <f t="shared" ref="C28:J28" si="7">C26-C27</f>
        <v>26233</v>
      </c>
      <c r="D28" s="129">
        <f t="shared" si="7"/>
        <v>26713</v>
      </c>
      <c r="E28" s="129">
        <f t="shared" si="7"/>
        <v>29440</v>
      </c>
      <c r="F28" s="129">
        <f t="shared" si="7"/>
        <v>32282.516070639005</v>
      </c>
      <c r="G28" s="129">
        <f t="shared" si="7"/>
        <v>35484.393073070016</v>
      </c>
      <c r="H28" s="129">
        <f t="shared" si="7"/>
        <v>39177.059268351441</v>
      </c>
      <c r="I28" s="129">
        <f t="shared" si="7"/>
        <v>43246.981794891624</v>
      </c>
      <c r="J28" s="129">
        <f t="shared" si="7"/>
        <v>47119.717282037971</v>
      </c>
    </row>
    <row r="30" spans="1:10" ht="15" customHeight="1" x14ac:dyDescent="0.3">
      <c r="A30" s="76" t="s">
        <v>545</v>
      </c>
      <c r="C30" s="130">
        <v>63.39</v>
      </c>
      <c r="D30" s="130">
        <v>64.5</v>
      </c>
      <c r="E30" s="130">
        <v>71.58</v>
      </c>
      <c r="F30" s="131">
        <f>F28/F32</f>
        <v>78.492507128667356</v>
      </c>
      <c r="G30" s="131">
        <f>G28/G32</f>
        <v>86.277629976232859</v>
      </c>
      <c r="H30" s="131">
        <f>H28/H32</f>
        <v>95.256069792469248</v>
      </c>
      <c r="I30" s="131">
        <f>I28/I32</f>
        <v>105.15177997282062</v>
      </c>
      <c r="J30" s="131">
        <f>J28/J32</f>
        <v>114.56804471399266</v>
      </c>
    </row>
    <row r="31" spans="1:10" ht="15" customHeight="1" x14ac:dyDescent="0.3">
      <c r="A31" s="76" t="s">
        <v>546</v>
      </c>
      <c r="C31" s="130">
        <v>63.29</v>
      </c>
      <c r="D31" s="130">
        <v>64.34</v>
      </c>
      <c r="E31" s="130">
        <v>71.459999999999994</v>
      </c>
      <c r="F31" s="131">
        <f>F28/F33</f>
        <v>78.35356760220607</v>
      </c>
      <c r="G31" s="131">
        <f>G28/G33</f>
        <v>86.124910009810463</v>
      </c>
      <c r="H31" s="131">
        <f>H28/H33</f>
        <v>95.087457096637849</v>
      </c>
      <c r="I31" s="131">
        <f>I28/I33</f>
        <v>104.96565088801464</v>
      </c>
      <c r="J31" s="131">
        <f>J28/J33</f>
        <v>114.365247906215</v>
      </c>
    </row>
    <row r="32" spans="1:10" ht="15" customHeight="1" x14ac:dyDescent="0.3">
      <c r="A32" s="76" t="s">
        <v>547</v>
      </c>
      <c r="C32" s="130">
        <v>413.85680000000002</v>
      </c>
      <c r="D32" s="130">
        <v>414.16120000000001</v>
      </c>
      <c r="E32" s="130">
        <v>411.28149999999999</v>
      </c>
      <c r="F32" s="131">
        <f>$E$32</f>
        <v>411.28149999999999</v>
      </c>
      <c r="G32" s="131">
        <f>$E$32</f>
        <v>411.28149999999999</v>
      </c>
      <c r="H32" s="131">
        <f>$E$32</f>
        <v>411.28149999999999</v>
      </c>
      <c r="I32" s="131">
        <f>$E$32</f>
        <v>411.28149999999999</v>
      </c>
      <c r="J32" s="131">
        <f>$E$32</f>
        <v>411.28149999999999</v>
      </c>
    </row>
    <row r="33" spans="1:10" ht="15" customHeight="1" x14ac:dyDescent="0.3">
      <c r="A33" s="76" t="s">
        <v>548</v>
      </c>
      <c r="C33" s="130">
        <v>414.46800000000002</v>
      </c>
      <c r="D33" s="130">
        <v>415.20510000000002</v>
      </c>
      <c r="E33" s="130">
        <v>412.01080000000002</v>
      </c>
      <c r="F33" s="131">
        <f>$E$33</f>
        <v>412.01080000000002</v>
      </c>
      <c r="G33" s="131">
        <f>$E$33</f>
        <v>412.01080000000002</v>
      </c>
      <c r="H33" s="131">
        <f>$E$33</f>
        <v>412.01080000000002</v>
      </c>
      <c r="I33" s="131">
        <f>$E$33</f>
        <v>412.01080000000002</v>
      </c>
      <c r="J33" s="131">
        <f>$E$33</f>
        <v>412.01080000000002</v>
      </c>
    </row>
    <row r="35" spans="1:10" ht="72.75" customHeight="1" x14ac:dyDescent="0.3">
      <c r="A35" s="120" t="s">
        <v>687</v>
      </c>
    </row>
  </sheetData>
  <mergeCells count="3">
    <mergeCell ref="A1:J1"/>
    <mergeCell ref="A2:J2"/>
    <mergeCell ref="A8:J8"/>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47"/>
  <sheetViews>
    <sheetView showGridLines="0" zoomScaleNormal="100" workbookViewId="0">
      <pane xSplit="2" ySplit="5" topLeftCell="C6" activePane="bottomRight" state="frozen"/>
      <selection pane="topRight" activeCell="C1" sqref="C1"/>
      <selection pane="bottomLeft" activeCell="A6" sqref="A6"/>
      <selection pane="bottomRight" sqref="A1:J1"/>
    </sheetView>
  </sheetViews>
  <sheetFormatPr defaultColWidth="8.6640625" defaultRowHeight="14.4" x14ac:dyDescent="0.3"/>
  <cols>
    <col min="1" max="1" width="42" customWidth="1"/>
    <col min="2" max="2" width="3" customWidth="1"/>
    <col min="3" max="3" width="13.44140625" customWidth="1"/>
  </cols>
  <sheetData>
    <row r="1" spans="1:10" ht="25.5" customHeight="1" x14ac:dyDescent="0.3">
      <c r="A1" s="159" t="s">
        <v>647</v>
      </c>
      <c r="B1" s="159"/>
      <c r="C1" s="159"/>
      <c r="D1" s="159"/>
      <c r="E1" s="159"/>
      <c r="F1" s="159"/>
      <c r="G1" s="159"/>
      <c r="H1" s="159"/>
      <c r="I1" s="159"/>
      <c r="J1" s="159"/>
    </row>
    <row r="2" spans="1:10" ht="15.75" customHeight="1" x14ac:dyDescent="0.3">
      <c r="A2" s="160" t="s">
        <v>688</v>
      </c>
      <c r="B2" s="160"/>
      <c r="C2" s="160"/>
      <c r="D2" s="160"/>
      <c r="E2" s="160"/>
      <c r="F2" s="160"/>
      <c r="G2" s="160"/>
      <c r="H2" s="160"/>
      <c r="I2" s="160"/>
      <c r="J2" s="160"/>
    </row>
    <row r="4" spans="1:10" ht="15.75" customHeight="1" x14ac:dyDescent="0.3">
      <c r="A4" s="74" t="s">
        <v>487</v>
      </c>
      <c r="C4" s="75" t="s">
        <v>488</v>
      </c>
      <c r="D4" s="75" t="s">
        <v>489</v>
      </c>
      <c r="E4" s="75" t="s">
        <v>490</v>
      </c>
      <c r="F4" s="75" t="s">
        <v>491</v>
      </c>
      <c r="G4" s="75" t="s">
        <v>492</v>
      </c>
      <c r="H4" s="75" t="s">
        <v>493</v>
      </c>
      <c r="I4" s="75" t="s">
        <v>494</v>
      </c>
      <c r="J4" s="75" t="s">
        <v>495</v>
      </c>
    </row>
    <row r="5" spans="1:10" ht="15" customHeight="1" x14ac:dyDescent="0.3">
      <c r="A5" s="158" t="s">
        <v>43</v>
      </c>
      <c r="B5" s="158"/>
      <c r="C5" s="158"/>
      <c r="D5" s="158"/>
      <c r="E5" s="158"/>
      <c r="F5" s="158"/>
      <c r="G5" s="158"/>
      <c r="H5" s="158"/>
      <c r="I5" s="158"/>
      <c r="J5" s="158"/>
    </row>
    <row r="6" spans="1:10" ht="15" customHeight="1" x14ac:dyDescent="0.3">
      <c r="A6" s="158" t="s">
        <v>44</v>
      </c>
      <c r="B6" s="158"/>
      <c r="C6" s="158"/>
      <c r="D6" s="158"/>
      <c r="E6" s="158"/>
      <c r="F6" s="158"/>
      <c r="G6" s="158"/>
      <c r="H6" s="158"/>
      <c r="I6" s="158"/>
      <c r="J6" s="158"/>
    </row>
    <row r="7" spans="1:10" ht="15" customHeight="1" x14ac:dyDescent="0.3">
      <c r="A7" s="76" t="s">
        <v>45</v>
      </c>
      <c r="C7" s="124">
        <v>12370</v>
      </c>
      <c r="D7" s="124">
        <v>11778</v>
      </c>
      <c r="E7" s="124">
        <v>12651</v>
      </c>
      <c r="F7" s="125">
        <f>'WC &amp; PPE Schedule'!F17</f>
        <v>10335.696</v>
      </c>
      <c r="G7" s="125">
        <f>'WC &amp; PPE Schedule'!G17</f>
        <v>7823.5911599999999</v>
      </c>
      <c r="H7" s="125">
        <f>'WC &amp; PPE Schedule'!H17</f>
        <v>5085.3968844000001</v>
      </c>
      <c r="I7" s="125">
        <f>'WC &amp; PPE Schedule'!I17</f>
        <v>2100.7651239960005</v>
      </c>
      <c r="J7" s="125">
        <f>'WC &amp; PPE Schedule'!J17</f>
        <v>-1137.5603360423393</v>
      </c>
    </row>
    <row r="8" spans="1:10" ht="15" customHeight="1" x14ac:dyDescent="0.3">
      <c r="A8" s="76" t="s">
        <v>47</v>
      </c>
      <c r="C8" s="124">
        <v>293</v>
      </c>
      <c r="D8" s="124">
        <v>814</v>
      </c>
      <c r="E8" s="124">
        <v>526</v>
      </c>
      <c r="F8" s="125">
        <f>'WC &amp; PPE Schedule'!F20</f>
        <v>526</v>
      </c>
      <c r="G8" s="125">
        <f>'WC &amp; PPE Schedule'!G20</f>
        <v>526</v>
      </c>
      <c r="H8" s="125">
        <f>'WC &amp; PPE Schedule'!H20</f>
        <v>526</v>
      </c>
      <c r="I8" s="125">
        <f>'WC &amp; PPE Schedule'!I20</f>
        <v>526</v>
      </c>
      <c r="J8" s="125">
        <f>'WC &amp; PPE Schedule'!J20</f>
        <v>526</v>
      </c>
    </row>
    <row r="9" spans="1:10" ht="15" customHeight="1" x14ac:dyDescent="0.3">
      <c r="A9" s="76" t="s">
        <v>46</v>
      </c>
      <c r="C9" s="124">
        <v>6552</v>
      </c>
      <c r="D9" s="124">
        <v>6311</v>
      </c>
      <c r="E9" s="124">
        <v>6177</v>
      </c>
      <c r="F9" s="125">
        <f>'WC &amp; PPE Schedule'!F21</f>
        <v>6177</v>
      </c>
      <c r="G9" s="125">
        <f>'WC &amp; PPE Schedule'!G21</f>
        <v>6177</v>
      </c>
      <c r="H9" s="125">
        <f>'WC &amp; PPE Schedule'!H21</f>
        <v>6177</v>
      </c>
      <c r="I9" s="125">
        <f>'WC &amp; PPE Schedule'!I21</f>
        <v>6177</v>
      </c>
      <c r="J9" s="125">
        <f>'WC &amp; PPE Schedule'!J21</f>
        <v>6177</v>
      </c>
    </row>
    <row r="10" spans="1:10" ht="15" customHeight="1" x14ac:dyDescent="0.3">
      <c r="A10" s="76" t="s">
        <v>48</v>
      </c>
      <c r="C10" s="124">
        <v>7303</v>
      </c>
      <c r="D10" s="124">
        <v>10106</v>
      </c>
      <c r="E10" s="124">
        <v>12117</v>
      </c>
      <c r="F10" s="125">
        <f>'WC &amp; PPE Schedule'!F22</f>
        <v>12117</v>
      </c>
      <c r="G10" s="125">
        <f>'WC &amp; PPE Schedule'!G22</f>
        <v>12117</v>
      </c>
      <c r="H10" s="125">
        <f>'WC &amp; PPE Schedule'!H22</f>
        <v>12117</v>
      </c>
      <c r="I10" s="125">
        <f>'WC &amp; PPE Schedule'!I22</f>
        <v>12117</v>
      </c>
      <c r="J10" s="125">
        <f>'WC &amp; PPE Schedule'!J22</f>
        <v>12117</v>
      </c>
    </row>
    <row r="11" spans="1:10" ht="15" customHeight="1" x14ac:dyDescent="0.3">
      <c r="A11" s="76" t="s">
        <v>49</v>
      </c>
      <c r="C11" s="124">
        <v>1397</v>
      </c>
      <c r="D11" s="124">
        <v>2766</v>
      </c>
      <c r="E11" s="124">
        <v>2825</v>
      </c>
      <c r="F11" s="125">
        <f>'WC &amp; PPE Schedule'!F23</f>
        <v>2825</v>
      </c>
      <c r="G11" s="125">
        <f>'WC &amp; PPE Schedule'!G23</f>
        <v>2825</v>
      </c>
      <c r="H11" s="125">
        <f>'WC &amp; PPE Schedule'!H23</f>
        <v>2825</v>
      </c>
      <c r="I11" s="125">
        <f>'WC &amp; PPE Schedule'!I23</f>
        <v>2825</v>
      </c>
      <c r="J11" s="125">
        <f>'WC &amp; PPE Schedule'!J23</f>
        <v>2825</v>
      </c>
    </row>
    <row r="12" spans="1:10" ht="15" customHeight="1" x14ac:dyDescent="0.3">
      <c r="A12" s="76" t="s">
        <v>50</v>
      </c>
      <c r="C12" s="124">
        <v>11708</v>
      </c>
      <c r="D12" s="124">
        <v>11059</v>
      </c>
      <c r="E12" s="124">
        <v>8930</v>
      </c>
      <c r="F12" s="132">
        <f>$E$12</f>
        <v>8930</v>
      </c>
      <c r="G12" s="132">
        <f>$E$12</f>
        <v>8930</v>
      </c>
      <c r="H12" s="132">
        <f>$E$12</f>
        <v>8930</v>
      </c>
      <c r="I12" s="132">
        <f>$E$12</f>
        <v>8930</v>
      </c>
      <c r="J12" s="132">
        <f>$E$12</f>
        <v>8930</v>
      </c>
    </row>
    <row r="13" spans="1:10" ht="15" customHeight="1" x14ac:dyDescent="0.3">
      <c r="A13" s="76" t="s">
        <v>689</v>
      </c>
      <c r="C13" s="124">
        <v>8759</v>
      </c>
      <c r="D13" s="124">
        <v>8970</v>
      </c>
      <c r="E13" s="124">
        <v>9252</v>
      </c>
      <c r="F13" s="132">
        <f>$E$13</f>
        <v>9252</v>
      </c>
      <c r="G13" s="132">
        <f>$E$13</f>
        <v>9252</v>
      </c>
      <c r="H13" s="132">
        <f>$E$13</f>
        <v>9252</v>
      </c>
      <c r="I13" s="132">
        <f>$E$13</f>
        <v>9252</v>
      </c>
      <c r="J13" s="132">
        <f>$E$13</f>
        <v>9252</v>
      </c>
    </row>
    <row r="14" spans="1:10" ht="15" customHeight="1" x14ac:dyDescent="0.3">
      <c r="A14" s="81" t="s">
        <v>56</v>
      </c>
      <c r="C14" s="126">
        <f t="shared" ref="C14:J14" si="0">C7+C8+C9+C10+C11+C12+C13</f>
        <v>48382</v>
      </c>
      <c r="D14" s="126">
        <f t="shared" si="0"/>
        <v>51804</v>
      </c>
      <c r="E14" s="126">
        <f t="shared" si="0"/>
        <v>52478</v>
      </c>
      <c r="F14" s="126">
        <f t="shared" si="0"/>
        <v>50162.695999999996</v>
      </c>
      <c r="G14" s="126">
        <f t="shared" si="0"/>
        <v>47650.591159999996</v>
      </c>
      <c r="H14" s="126">
        <f t="shared" si="0"/>
        <v>44912.396884400005</v>
      </c>
      <c r="I14" s="126">
        <f t="shared" si="0"/>
        <v>41927.765123995996</v>
      </c>
      <c r="J14" s="126">
        <f t="shared" si="0"/>
        <v>38689.439663957659</v>
      </c>
    </row>
    <row r="16" spans="1:10" ht="15" customHeight="1" x14ac:dyDescent="0.3">
      <c r="A16" s="158" t="s">
        <v>57</v>
      </c>
      <c r="B16" s="158"/>
      <c r="C16" s="158"/>
      <c r="D16" s="158"/>
      <c r="E16" s="158"/>
      <c r="F16" s="158"/>
      <c r="G16" s="158"/>
      <c r="H16" s="158"/>
      <c r="I16" s="158"/>
      <c r="J16" s="158"/>
    </row>
    <row r="17" spans="1:10" ht="15" customHeight="1" x14ac:dyDescent="0.3">
      <c r="A17" s="76" t="s">
        <v>58</v>
      </c>
      <c r="C17" s="124">
        <v>12915</v>
      </c>
      <c r="D17" s="124">
        <v>12482</v>
      </c>
      <c r="E17" s="124">
        <v>12950</v>
      </c>
      <c r="F17" s="132">
        <f>$E$17</f>
        <v>12950</v>
      </c>
      <c r="G17" s="132">
        <f>$E$17</f>
        <v>12950</v>
      </c>
      <c r="H17" s="132">
        <f>$E$17</f>
        <v>12950</v>
      </c>
      <c r="I17" s="132">
        <f>$E$17</f>
        <v>12950</v>
      </c>
      <c r="J17" s="132">
        <f>$E$17</f>
        <v>12950</v>
      </c>
    </row>
    <row r="18" spans="1:10" ht="15" customHeight="1" x14ac:dyDescent="0.3">
      <c r="A18" s="76" t="s">
        <v>59</v>
      </c>
      <c r="C18" s="124">
        <v>30193</v>
      </c>
      <c r="D18" s="124">
        <v>31158</v>
      </c>
      <c r="E18" s="124">
        <v>35234</v>
      </c>
      <c r="F18" s="125">
        <f>'WC &amp; PPE Schedule'!F6</f>
        <v>37531.183561643833</v>
      </c>
      <c r="G18" s="125">
        <f>'WC &amp; PPE Schedule'!G6</f>
        <v>40721.334164383567</v>
      </c>
      <c r="H18" s="125">
        <f>'WC &amp; PPE Schedule'!H6</f>
        <v>44386.254239178088</v>
      </c>
      <c r="I18" s="125">
        <f>'WC &amp; PPE Schedule'!I6</f>
        <v>48381.017120704113</v>
      </c>
      <c r="J18" s="125">
        <f>'WC &amp; PPE Schedule'!J6</f>
        <v>52493.403575963966</v>
      </c>
    </row>
    <row r="19" spans="1:10" ht="15" customHeight="1" x14ac:dyDescent="0.3">
      <c r="A19" s="76" t="s">
        <v>60</v>
      </c>
      <c r="C19" s="124">
        <v>14786</v>
      </c>
      <c r="D19" s="124">
        <v>24455</v>
      </c>
      <c r="E19" s="124">
        <v>22201</v>
      </c>
      <c r="F19" s="125">
        <f>'Cash Flow'!F28</f>
        <v>30741.458873582193</v>
      </c>
      <c r="G19" s="125">
        <f>'Cash Flow'!G28</f>
        <v>40095.664443331683</v>
      </c>
      <c r="H19" s="125">
        <f>'Cash Flow'!H28</f>
        <v>50351.006918543579</v>
      </c>
      <c r="I19" s="125">
        <f>'Cash Flow'!I28</f>
        <v>61611.034510965605</v>
      </c>
      <c r="J19" s="125">
        <f>'Cash Flow'!J28</f>
        <v>73876.281376325569</v>
      </c>
    </row>
    <row r="20" spans="1:10" ht="15" customHeight="1" x14ac:dyDescent="0.3">
      <c r="A20" s="76" t="s">
        <v>690</v>
      </c>
      <c r="C20" s="124">
        <v>31538</v>
      </c>
      <c r="D20" s="124">
        <v>29004</v>
      </c>
      <c r="E20" s="124">
        <v>33104</v>
      </c>
      <c r="F20" s="125">
        <f>'WC &amp; PPE Schedule'!F8</f>
        <v>36658.980000000003</v>
      </c>
      <c r="G20" s="125">
        <f>'WC &amp; PPE Schedule'!G8</f>
        <v>39774.993300000002</v>
      </c>
      <c r="H20" s="125">
        <f>'WC &amp; PPE Schedule'!H8</f>
        <v>43354.742697000001</v>
      </c>
      <c r="I20" s="125">
        <f>'WC &amp; PPE Schedule'!I8</f>
        <v>47256.669539730006</v>
      </c>
      <c r="J20" s="125">
        <f>'WC &amp; PPE Schedule'!J8</f>
        <v>51273.486450607059</v>
      </c>
    </row>
    <row r="21" spans="1:10" ht="15" customHeight="1" x14ac:dyDescent="0.3">
      <c r="A21" s="81" t="s">
        <v>65</v>
      </c>
      <c r="C21" s="126">
        <f t="shared" ref="C21:J21" si="1">C17+C18+C19+C20</f>
        <v>89432</v>
      </c>
      <c r="D21" s="126">
        <f t="shared" si="1"/>
        <v>97099</v>
      </c>
      <c r="E21" s="126">
        <f t="shared" si="1"/>
        <v>103489</v>
      </c>
      <c r="F21" s="126">
        <f t="shared" si="1"/>
        <v>117881.62243522602</v>
      </c>
      <c r="G21" s="126">
        <f t="shared" si="1"/>
        <v>133541.99190771524</v>
      </c>
      <c r="H21" s="126">
        <f t="shared" si="1"/>
        <v>151042.00385472167</v>
      </c>
      <c r="I21" s="126">
        <f t="shared" si="1"/>
        <v>170198.72117139972</v>
      </c>
      <c r="J21" s="126">
        <f t="shared" si="1"/>
        <v>190593.17140289658</v>
      </c>
    </row>
    <row r="22" spans="1:10" ht="15" customHeight="1" x14ac:dyDescent="0.3">
      <c r="A22" s="81" t="s">
        <v>66</v>
      </c>
      <c r="C22" s="133">
        <f t="shared" ref="C22:J22" si="2">C14+C21</f>
        <v>137814</v>
      </c>
      <c r="D22" s="133">
        <f t="shared" si="2"/>
        <v>148903</v>
      </c>
      <c r="E22" s="133">
        <f t="shared" si="2"/>
        <v>155967</v>
      </c>
      <c r="F22" s="133">
        <f t="shared" si="2"/>
        <v>168044.31843522601</v>
      </c>
      <c r="G22" s="133">
        <f t="shared" si="2"/>
        <v>181192.58306771523</v>
      </c>
      <c r="H22" s="133">
        <f t="shared" si="2"/>
        <v>195954.40073912166</v>
      </c>
      <c r="I22" s="133">
        <f t="shared" si="2"/>
        <v>212126.48629539571</v>
      </c>
      <c r="J22" s="133">
        <f t="shared" si="2"/>
        <v>229282.61106685424</v>
      </c>
    </row>
    <row r="24" spans="1:10" ht="15" customHeight="1" x14ac:dyDescent="0.3">
      <c r="A24" s="158" t="s">
        <v>67</v>
      </c>
      <c r="B24" s="158"/>
      <c r="C24" s="158"/>
      <c r="D24" s="158"/>
      <c r="E24" s="158"/>
      <c r="F24" s="158"/>
      <c r="G24" s="158"/>
      <c r="H24" s="158"/>
      <c r="I24" s="158"/>
      <c r="J24" s="158"/>
    </row>
    <row r="25" spans="1:10" ht="15" customHeight="1" x14ac:dyDescent="0.3">
      <c r="A25" s="158" t="s">
        <v>68</v>
      </c>
      <c r="B25" s="158"/>
      <c r="C25" s="158"/>
      <c r="D25" s="158"/>
      <c r="E25" s="158"/>
      <c r="F25" s="158"/>
      <c r="G25" s="158"/>
      <c r="H25" s="158"/>
      <c r="I25" s="158"/>
      <c r="J25" s="158"/>
    </row>
    <row r="26" spans="1:10" ht="15" customHeight="1" x14ac:dyDescent="0.3">
      <c r="A26" s="76" t="s">
        <v>69</v>
      </c>
      <c r="C26" s="124">
        <v>2071</v>
      </c>
      <c r="D26" s="124">
        <v>2073</v>
      </c>
      <c r="E26" s="124">
        <v>2024</v>
      </c>
      <c r="F26" s="132">
        <f>$E$26</f>
        <v>2024</v>
      </c>
      <c r="G26" s="132">
        <f>$E$26</f>
        <v>2024</v>
      </c>
      <c r="H26" s="132">
        <f>$E$26</f>
        <v>2024</v>
      </c>
      <c r="I26" s="132">
        <f>$E$26</f>
        <v>2024</v>
      </c>
      <c r="J26" s="132">
        <f>$E$26</f>
        <v>2024</v>
      </c>
    </row>
    <row r="27" spans="1:10" ht="15" customHeight="1" x14ac:dyDescent="0.3">
      <c r="A27" s="76" t="s">
        <v>581</v>
      </c>
      <c r="C27" s="124">
        <v>86045</v>
      </c>
      <c r="D27" s="124">
        <v>93745</v>
      </c>
      <c r="E27" s="124">
        <v>90828</v>
      </c>
      <c r="F27" s="132">
        <f>E27+'Income Statement'!F28-'Cash Flow'!F32</f>
        <v>98768.018453673241</v>
      </c>
      <c r="G27" s="132">
        <f>F27+'Income Statement'!G28-'Cash Flow'!G32</f>
        <v>107343.2246914962</v>
      </c>
      <c r="H27" s="132">
        <f>G27+'Income Statement'!H28-'Cash Flow'!H32</f>
        <v>116853.47268571355</v>
      </c>
      <c r="I27" s="132">
        <f>H27+'Income Statement'!I28-'Cash Flow'!I32</f>
        <v>127300.63918996634</v>
      </c>
      <c r="J27" s="132">
        <f>I27+'Income Statement'!J28-'Cash Flow'!J32</f>
        <v>138559.89429202952</v>
      </c>
    </row>
    <row r="28" spans="1:10" ht="15" customHeight="1" x14ac:dyDescent="0.3">
      <c r="A28" s="81" t="s">
        <v>71</v>
      </c>
      <c r="C28" s="126">
        <f t="shared" ref="C28:J28" si="3">C26+C27</f>
        <v>88116</v>
      </c>
      <c r="D28" s="126">
        <f t="shared" si="3"/>
        <v>95818</v>
      </c>
      <c r="E28" s="126">
        <f t="shared" si="3"/>
        <v>92852</v>
      </c>
      <c r="F28" s="126">
        <f t="shared" si="3"/>
        <v>100792.01845367324</v>
      </c>
      <c r="G28" s="126">
        <f t="shared" si="3"/>
        <v>109367.2246914962</v>
      </c>
      <c r="H28" s="126">
        <f t="shared" si="3"/>
        <v>118877.47268571355</v>
      </c>
      <c r="I28" s="126">
        <f t="shared" si="3"/>
        <v>129324.63918996634</v>
      </c>
      <c r="J28" s="126">
        <f t="shared" si="3"/>
        <v>140583.89429202952</v>
      </c>
    </row>
    <row r="29" spans="1:10" ht="15" customHeight="1" x14ac:dyDescent="0.3">
      <c r="A29" s="76" t="s">
        <v>72</v>
      </c>
      <c r="C29" s="124">
        <v>345</v>
      </c>
      <c r="D29" s="124">
        <v>385</v>
      </c>
      <c r="E29" s="124">
        <v>445</v>
      </c>
      <c r="F29" s="132">
        <f>E29+'Income Statement'!F27</f>
        <v>487.02189936100001</v>
      </c>
      <c r="G29" s="132">
        <f>F29+'Income Statement'!G27</f>
        <v>533.21165704097496</v>
      </c>
      <c r="H29" s="132">
        <f>G29+'Income Statement'!H27</f>
        <v>584.20812950403376</v>
      </c>
      <c r="I29" s="132">
        <f>H29+'Income Statement'!I27</f>
        <v>640.50238837392374</v>
      </c>
      <c r="J29" s="132">
        <f>I29+'Income Statement'!J27</f>
        <v>701.8377568195524</v>
      </c>
    </row>
    <row r="30" spans="1:10" ht="15" customHeight="1" x14ac:dyDescent="0.3">
      <c r="A30" s="81" t="s">
        <v>73</v>
      </c>
      <c r="C30" s="127">
        <f t="shared" ref="C30:J30" si="4">C28+C29</f>
        <v>88461</v>
      </c>
      <c r="D30" s="127">
        <f t="shared" si="4"/>
        <v>96203</v>
      </c>
      <c r="E30" s="127">
        <f t="shared" si="4"/>
        <v>93297</v>
      </c>
      <c r="F30" s="127">
        <f t="shared" si="4"/>
        <v>101279.04035303424</v>
      </c>
      <c r="G30" s="127">
        <f t="shared" si="4"/>
        <v>109900.43634853717</v>
      </c>
      <c r="H30" s="127">
        <f t="shared" si="4"/>
        <v>119461.68081521759</v>
      </c>
      <c r="I30" s="127">
        <f t="shared" si="4"/>
        <v>129965.14157834026</v>
      </c>
      <c r="J30" s="127">
        <f t="shared" si="4"/>
        <v>141285.73204884908</v>
      </c>
    </row>
    <row r="32" spans="1:10" ht="15" customHeight="1" x14ac:dyDescent="0.3">
      <c r="A32" s="158" t="s">
        <v>74</v>
      </c>
      <c r="B32" s="158"/>
      <c r="C32" s="158"/>
      <c r="D32" s="158"/>
      <c r="E32" s="158"/>
      <c r="F32" s="158"/>
      <c r="G32" s="158"/>
      <c r="H32" s="158"/>
      <c r="I32" s="158"/>
      <c r="J32" s="158"/>
    </row>
    <row r="33" spans="1:10" ht="15" customHeight="1" x14ac:dyDescent="0.3">
      <c r="A33" s="76" t="s">
        <v>583</v>
      </c>
      <c r="C33" s="124">
        <v>6400</v>
      </c>
      <c r="D33" s="124">
        <v>5772</v>
      </c>
      <c r="E33" s="124">
        <v>6016</v>
      </c>
      <c r="F33" s="132">
        <f>$E$33</f>
        <v>6016</v>
      </c>
      <c r="G33" s="132">
        <f>$E$33</f>
        <v>6016</v>
      </c>
      <c r="H33" s="132">
        <f>$E$33</f>
        <v>6016</v>
      </c>
      <c r="I33" s="132">
        <f>$E$33</f>
        <v>6016</v>
      </c>
      <c r="J33" s="132">
        <f>$E$33</f>
        <v>6016</v>
      </c>
    </row>
    <row r="34" spans="1:10" ht="15" customHeight="1" x14ac:dyDescent="0.3">
      <c r="A34" s="76" t="s">
        <v>691</v>
      </c>
      <c r="C34" s="124">
        <v>4159</v>
      </c>
      <c r="D34" s="124">
        <v>4078</v>
      </c>
      <c r="E34" s="124">
        <v>4332</v>
      </c>
      <c r="F34" s="132">
        <f>$E$34</f>
        <v>4332</v>
      </c>
      <c r="G34" s="132">
        <f>$E$34</f>
        <v>4332</v>
      </c>
      <c r="H34" s="132">
        <f>$E$34</f>
        <v>4332</v>
      </c>
      <c r="I34" s="132">
        <f>$E$34</f>
        <v>4332</v>
      </c>
      <c r="J34" s="132">
        <f>$E$34</f>
        <v>4332</v>
      </c>
    </row>
    <row r="35" spans="1:10" ht="15" customHeight="1" x14ac:dyDescent="0.3">
      <c r="A35" s="81" t="s">
        <v>79</v>
      </c>
      <c r="C35" s="126">
        <f t="shared" ref="C35:J35" si="5">C33+C34</f>
        <v>10559</v>
      </c>
      <c r="D35" s="126">
        <f t="shared" si="5"/>
        <v>9850</v>
      </c>
      <c r="E35" s="126">
        <f t="shared" si="5"/>
        <v>10348</v>
      </c>
      <c r="F35" s="126">
        <f t="shared" si="5"/>
        <v>10348</v>
      </c>
      <c r="G35" s="126">
        <f t="shared" si="5"/>
        <v>10348</v>
      </c>
      <c r="H35" s="126">
        <f t="shared" si="5"/>
        <v>10348</v>
      </c>
      <c r="I35" s="126">
        <f t="shared" si="5"/>
        <v>10348</v>
      </c>
      <c r="J35" s="126">
        <f t="shared" si="5"/>
        <v>10348</v>
      </c>
    </row>
    <row r="37" spans="1:10" ht="15" customHeight="1" x14ac:dyDescent="0.3">
      <c r="A37" s="158" t="s">
        <v>80</v>
      </c>
      <c r="B37" s="158"/>
      <c r="C37" s="158"/>
      <c r="D37" s="158"/>
      <c r="E37" s="158"/>
      <c r="F37" s="158"/>
      <c r="G37" s="158"/>
      <c r="H37" s="158"/>
      <c r="I37" s="158"/>
      <c r="J37" s="158"/>
    </row>
    <row r="38" spans="1:10" ht="15" customHeight="1" x14ac:dyDescent="0.3">
      <c r="A38" s="76" t="s">
        <v>583</v>
      </c>
      <c r="C38" s="124">
        <v>1959</v>
      </c>
      <c r="D38" s="124">
        <v>2455</v>
      </c>
      <c r="E38" s="124">
        <v>3160</v>
      </c>
      <c r="F38" s="132">
        <f>$E$38</f>
        <v>3160</v>
      </c>
      <c r="G38" s="132">
        <f>$E$38</f>
        <v>3160</v>
      </c>
      <c r="H38" s="132">
        <f>$E$38</f>
        <v>3160</v>
      </c>
      <c r="I38" s="132">
        <f>$E$38</f>
        <v>3160</v>
      </c>
      <c r="J38" s="132">
        <f>$E$38</f>
        <v>3160</v>
      </c>
    </row>
    <row r="39" spans="1:10" ht="15" customHeight="1" x14ac:dyDescent="0.3">
      <c r="A39" s="76" t="s">
        <v>82</v>
      </c>
      <c r="C39" s="124">
        <v>3956</v>
      </c>
      <c r="D39" s="124">
        <v>4164</v>
      </c>
      <c r="E39" s="124">
        <v>4744</v>
      </c>
      <c r="F39" s="125">
        <f>'WC &amp; PPE Schedule'!F7</f>
        <v>5021.7780821917804</v>
      </c>
      <c r="G39" s="125">
        <f>'WC &amp; PPE Schedule'!G7</f>
        <v>5448.6292191780822</v>
      </c>
      <c r="H39" s="125">
        <f>'WC &amp; PPE Schedule'!H7</f>
        <v>5939.0058489041094</v>
      </c>
      <c r="I39" s="125">
        <f>'WC &amp; PPE Schedule'!I7</f>
        <v>6473.5163753054803</v>
      </c>
      <c r="J39" s="125">
        <f>'WC &amp; PPE Schedule'!J7</f>
        <v>7023.7652672064469</v>
      </c>
    </row>
    <row r="40" spans="1:10" ht="15" customHeight="1" x14ac:dyDescent="0.3">
      <c r="A40" s="76" t="s">
        <v>692</v>
      </c>
      <c r="C40" s="124">
        <v>32879</v>
      </c>
      <c r="D40" s="124">
        <v>36231</v>
      </c>
      <c r="E40" s="124">
        <v>44418</v>
      </c>
      <c r="F40" s="125">
        <f>'WC &amp; PPE Schedule'!F9</f>
        <v>48235.5</v>
      </c>
      <c r="G40" s="125">
        <f>'WC &amp; PPE Schedule'!G9</f>
        <v>52335.517500000002</v>
      </c>
      <c r="H40" s="125">
        <f>'WC &amp; PPE Schedule'!H9</f>
        <v>57045.714075000004</v>
      </c>
      <c r="I40" s="125">
        <f>'WC &amp; PPE Schedule'!I9</f>
        <v>62179.828341750006</v>
      </c>
      <c r="J40" s="125">
        <f>'WC &amp; PPE Schedule'!J9</f>
        <v>67465.113750798759</v>
      </c>
    </row>
    <row r="41" spans="1:10" ht="15" customHeight="1" x14ac:dyDescent="0.3">
      <c r="A41" s="81" t="s">
        <v>87</v>
      </c>
      <c r="C41" s="126">
        <f t="shared" ref="C41:J41" si="6">C38+C39+C40</f>
        <v>38794</v>
      </c>
      <c r="D41" s="126">
        <f t="shared" si="6"/>
        <v>42850</v>
      </c>
      <c r="E41" s="126">
        <f t="shared" si="6"/>
        <v>52322</v>
      </c>
      <c r="F41" s="126">
        <f t="shared" si="6"/>
        <v>56417.278082191784</v>
      </c>
      <c r="G41" s="126">
        <f t="shared" si="6"/>
        <v>60944.146719178083</v>
      </c>
      <c r="H41" s="126">
        <f t="shared" si="6"/>
        <v>66144.719923904107</v>
      </c>
      <c r="I41" s="126">
        <f t="shared" si="6"/>
        <v>71813.344717055486</v>
      </c>
      <c r="J41" s="126">
        <f t="shared" si="6"/>
        <v>77648.879018005202</v>
      </c>
    </row>
    <row r="42" spans="1:10" ht="15" customHeight="1" x14ac:dyDescent="0.3">
      <c r="A42" s="81" t="s">
        <v>585</v>
      </c>
      <c r="C42" s="128">
        <f t="shared" ref="C42:J42" si="7">C35+C41</f>
        <v>49353</v>
      </c>
      <c r="D42" s="128">
        <f t="shared" si="7"/>
        <v>52700</v>
      </c>
      <c r="E42" s="128">
        <f t="shared" si="7"/>
        <v>62670</v>
      </c>
      <c r="F42" s="128">
        <f t="shared" si="7"/>
        <v>66765.278082191784</v>
      </c>
      <c r="G42" s="128">
        <f t="shared" si="7"/>
        <v>71292.146719178083</v>
      </c>
      <c r="H42" s="128">
        <f t="shared" si="7"/>
        <v>76492.719923904107</v>
      </c>
      <c r="I42" s="128">
        <f t="shared" si="7"/>
        <v>82161.344717055486</v>
      </c>
      <c r="J42" s="128">
        <f t="shared" si="7"/>
        <v>87996.879018005202</v>
      </c>
    </row>
    <row r="43" spans="1:10" ht="15" customHeight="1" x14ac:dyDescent="0.3">
      <c r="A43" s="81" t="s">
        <v>88</v>
      </c>
      <c r="C43" s="133">
        <f t="shared" ref="C43:J43" si="8">C30+C42</f>
        <v>137814</v>
      </c>
      <c r="D43" s="133">
        <f t="shared" si="8"/>
        <v>148903</v>
      </c>
      <c r="E43" s="133">
        <f t="shared" si="8"/>
        <v>155967</v>
      </c>
      <c r="F43" s="133">
        <f t="shared" si="8"/>
        <v>168044.31843522604</v>
      </c>
      <c r="G43" s="133">
        <f t="shared" si="8"/>
        <v>181192.58306771526</v>
      </c>
      <c r="H43" s="133">
        <f t="shared" si="8"/>
        <v>195954.40073912172</v>
      </c>
      <c r="I43" s="133">
        <f t="shared" si="8"/>
        <v>212126.48629539576</v>
      </c>
      <c r="J43" s="133">
        <f t="shared" si="8"/>
        <v>229282.61106685427</v>
      </c>
    </row>
    <row r="45" spans="1:10" ht="15" customHeight="1" x14ac:dyDescent="0.3">
      <c r="A45" s="81" t="s">
        <v>586</v>
      </c>
      <c r="C45" s="128">
        <f t="shared" ref="C45:J45" si="9">C22-C43</f>
        <v>0</v>
      </c>
      <c r="D45" s="128">
        <f t="shared" si="9"/>
        <v>0</v>
      </c>
      <c r="E45" s="128">
        <f t="shared" si="9"/>
        <v>0</v>
      </c>
      <c r="F45" s="128">
        <f t="shared" si="9"/>
        <v>0</v>
      </c>
      <c r="G45" s="128">
        <f t="shared" si="9"/>
        <v>0</v>
      </c>
      <c r="H45" s="128">
        <f t="shared" si="9"/>
        <v>0</v>
      </c>
      <c r="I45" s="128">
        <f t="shared" si="9"/>
        <v>0</v>
      </c>
      <c r="J45" s="128">
        <f t="shared" si="9"/>
        <v>0</v>
      </c>
    </row>
    <row r="47" spans="1:10" ht="99.75" customHeight="1" x14ac:dyDescent="0.3">
      <c r="A47" s="120" t="s">
        <v>693</v>
      </c>
    </row>
  </sheetData>
  <mergeCells count="9">
    <mergeCell ref="A24:J24"/>
    <mergeCell ref="A25:J25"/>
    <mergeCell ref="A32:J32"/>
    <mergeCell ref="A37:J37"/>
    <mergeCell ref="A1:J1"/>
    <mergeCell ref="A2:J2"/>
    <mergeCell ref="A5:J5"/>
    <mergeCell ref="A6:J6"/>
    <mergeCell ref="A16:J16"/>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35"/>
  <sheetViews>
    <sheetView showGridLines="0" zoomScaleNormal="100" workbookViewId="0">
      <pane xSplit="2" ySplit="5" topLeftCell="C6" activePane="bottomRight" state="frozen"/>
      <selection pane="topRight" activeCell="C1" sqref="C1"/>
      <selection pane="bottomLeft" activeCell="A6" sqref="A6"/>
      <selection pane="bottomRight" activeCell="A2" sqref="A2:J2"/>
    </sheetView>
  </sheetViews>
  <sheetFormatPr defaultColWidth="8.6640625" defaultRowHeight="14.4" x14ac:dyDescent="0.3"/>
  <cols>
    <col min="1" max="1" width="42" customWidth="1"/>
    <col min="2" max="2" width="3" customWidth="1"/>
    <col min="3" max="3" width="13.44140625" customWidth="1"/>
  </cols>
  <sheetData>
    <row r="1" spans="1:10" ht="25.5" customHeight="1" x14ac:dyDescent="0.3">
      <c r="A1" s="159" t="s">
        <v>789</v>
      </c>
      <c r="B1" s="159"/>
      <c r="C1" s="159"/>
      <c r="D1" s="159"/>
      <c r="E1" s="159"/>
      <c r="F1" s="159"/>
      <c r="G1" s="159"/>
      <c r="H1" s="159"/>
      <c r="I1" s="159"/>
      <c r="J1" s="159"/>
    </row>
    <row r="2" spans="1:10" ht="15.75" customHeight="1" x14ac:dyDescent="0.3">
      <c r="A2" s="160" t="s">
        <v>694</v>
      </c>
      <c r="B2" s="160"/>
      <c r="C2" s="160"/>
      <c r="D2" s="160"/>
      <c r="E2" s="160"/>
      <c r="F2" s="160"/>
      <c r="G2" s="160"/>
      <c r="H2" s="160"/>
      <c r="I2" s="160"/>
      <c r="J2" s="160"/>
    </row>
    <row r="4" spans="1:10" ht="15.75" customHeight="1" x14ac:dyDescent="0.3">
      <c r="A4" s="74" t="s">
        <v>487</v>
      </c>
      <c r="C4" s="75" t="s">
        <v>488</v>
      </c>
      <c r="D4" s="75" t="s">
        <v>489</v>
      </c>
      <c r="E4" s="75" t="s">
        <v>490</v>
      </c>
      <c r="F4" s="75" t="s">
        <v>491</v>
      </c>
      <c r="G4" s="75" t="s">
        <v>492</v>
      </c>
      <c r="H4" s="75" t="s">
        <v>493</v>
      </c>
      <c r="I4" s="75" t="s">
        <v>494</v>
      </c>
      <c r="J4" s="75" t="s">
        <v>495</v>
      </c>
    </row>
    <row r="5" spans="1:10" ht="15" customHeight="1" x14ac:dyDescent="0.3">
      <c r="A5" s="158" t="s">
        <v>588</v>
      </c>
      <c r="B5" s="158"/>
      <c r="C5" s="158"/>
      <c r="D5" s="158"/>
      <c r="E5" s="158"/>
      <c r="F5" s="158"/>
      <c r="G5" s="158"/>
      <c r="H5" s="158"/>
      <c r="I5" s="158"/>
      <c r="J5" s="158"/>
    </row>
    <row r="6" spans="1:10" ht="15" customHeight="1" x14ac:dyDescent="0.3">
      <c r="A6" s="76" t="s">
        <v>589</v>
      </c>
      <c r="C6" s="124">
        <v>26248</v>
      </c>
      <c r="D6" s="124">
        <v>26750</v>
      </c>
      <c r="E6" s="124">
        <v>29474</v>
      </c>
      <c r="F6" s="125">
        <f>'Income Statement'!F26</f>
        <v>32324.537970000005</v>
      </c>
      <c r="G6" s="125">
        <f>'Income Statement'!G26</f>
        <v>35530.582830749991</v>
      </c>
      <c r="H6" s="125">
        <f>'Income Statement'!H26</f>
        <v>39228.055740814496</v>
      </c>
      <c r="I6" s="125">
        <f>'Income Statement'!I26</f>
        <v>43303.276053761518</v>
      </c>
      <c r="J6" s="125">
        <f>'Income Statement'!J26</f>
        <v>47181.052650483602</v>
      </c>
    </row>
    <row r="7" spans="1:10" ht="15" customHeight="1" x14ac:dyDescent="0.3">
      <c r="A7" s="76" t="s">
        <v>590</v>
      </c>
      <c r="C7" s="124">
        <v>4678</v>
      </c>
      <c r="D7" s="124">
        <v>4812</v>
      </c>
      <c r="E7" s="124">
        <v>4902</v>
      </c>
      <c r="F7" s="125">
        <f>'Income Statement'!F10</f>
        <v>5209.4340000000002</v>
      </c>
      <c r="G7" s="125">
        <f>'Income Statement'!G10</f>
        <v>5652.2358899999999</v>
      </c>
      <c r="H7" s="125">
        <f>'Income Statement'!H10</f>
        <v>6160.9371201000004</v>
      </c>
      <c r="I7" s="125">
        <f>'Income Statement'!I10</f>
        <v>6715.4214609090004</v>
      </c>
      <c r="J7" s="125">
        <f>'Income Statement'!J10</f>
        <v>7286.2322850862656</v>
      </c>
    </row>
    <row r="8" spans="1:10" ht="15" customHeight="1" x14ac:dyDescent="0.3">
      <c r="A8" s="76" t="s">
        <v>695</v>
      </c>
      <c r="C8" s="77" t="s">
        <v>592</v>
      </c>
      <c r="D8" s="77" t="s">
        <v>592</v>
      </c>
      <c r="E8" s="77" t="s">
        <v>592</v>
      </c>
      <c r="F8" s="125">
        <v>0</v>
      </c>
      <c r="G8" s="125">
        <v>0</v>
      </c>
      <c r="H8" s="125">
        <v>0</v>
      </c>
      <c r="I8" s="125">
        <v>0</v>
      </c>
      <c r="J8" s="125">
        <v>0</v>
      </c>
    </row>
    <row r="9" spans="1:10" ht="15" customHeight="1" x14ac:dyDescent="0.3">
      <c r="A9" s="76" t="s">
        <v>696</v>
      </c>
      <c r="C9" s="77" t="s">
        <v>592</v>
      </c>
      <c r="D9" s="77" t="s">
        <v>592</v>
      </c>
      <c r="E9" s="77" t="s">
        <v>592</v>
      </c>
      <c r="F9" s="125">
        <f>-'Income Statement'!F17</f>
        <v>-4244.7240000000002</v>
      </c>
      <c r="G9" s="125">
        <f>-'Income Statement'!G17</f>
        <v>-4605.5255399999996</v>
      </c>
      <c r="H9" s="125">
        <f>-'Income Statement'!H17</f>
        <v>-5020.0228385999999</v>
      </c>
      <c r="I9" s="125">
        <f>-'Income Statement'!I17</f>
        <v>-5471.8248940740004</v>
      </c>
      <c r="J9" s="125">
        <f>-'Income Statement'!J17</f>
        <v>-5936.9300100702903</v>
      </c>
    </row>
    <row r="10" spans="1:10" ht="15" customHeight="1" x14ac:dyDescent="0.3">
      <c r="A10" s="76" t="s">
        <v>594</v>
      </c>
      <c r="C10" s="77" t="s">
        <v>592</v>
      </c>
      <c r="D10" s="77" t="s">
        <v>592</v>
      </c>
      <c r="E10" s="77" t="s">
        <v>592</v>
      </c>
      <c r="F10" s="125">
        <f>'WC &amp; PPE Schedule'!F11</f>
        <v>-1756.8854794520448</v>
      </c>
      <c r="G10" s="125">
        <f>'WC &amp; PPE Schedule'!G11</f>
        <v>-1779.2952657534333</v>
      </c>
      <c r="H10" s="125">
        <f>'WC &amp; PPE Schedule'!H11</f>
        <v>-2044.0962670685039</v>
      </c>
      <c r="I10" s="125">
        <f>'WC &amp; PPE Schedule'!I11</f>
        <v>-2228.0649311046509</v>
      </c>
      <c r="J10" s="125">
        <f>'WC &amp; PPE Schedule'!J11</f>
        <v>-2293.6690651871904</v>
      </c>
    </row>
    <row r="11" spans="1:10" ht="15" customHeight="1" x14ac:dyDescent="0.3">
      <c r="A11" s="76" t="s">
        <v>595</v>
      </c>
      <c r="C11" s="132">
        <f>C12-C6-C7</f>
        <v>-5716</v>
      </c>
      <c r="D11" s="132">
        <f>D12-D6-D7</f>
        <v>4132</v>
      </c>
      <c r="E11" s="132">
        <f>E12-E6-E7</f>
        <v>-390</v>
      </c>
      <c r="F11" s="124">
        <v>0</v>
      </c>
      <c r="G11" s="124">
        <v>0</v>
      </c>
      <c r="H11" s="124">
        <v>0</v>
      </c>
      <c r="I11" s="124">
        <v>0</v>
      </c>
      <c r="J11" s="124">
        <v>0</v>
      </c>
    </row>
    <row r="12" spans="1:10" ht="15" customHeight="1" x14ac:dyDescent="0.3">
      <c r="A12" s="81" t="s">
        <v>173</v>
      </c>
      <c r="C12" s="134">
        <v>25210</v>
      </c>
      <c r="D12" s="134">
        <v>35694</v>
      </c>
      <c r="E12" s="134">
        <v>33986</v>
      </c>
      <c r="F12" s="126">
        <f>F6+F7+F9+F10+F11</f>
        <v>31532.362490547959</v>
      </c>
      <c r="G12" s="126">
        <f>G6+G7+G9+G10+G11</f>
        <v>34797.997914996551</v>
      </c>
      <c r="H12" s="126">
        <f>H6+H7+H9+H10+H11</f>
        <v>38324.873755245993</v>
      </c>
      <c r="I12" s="126">
        <f>I6+I7+I9+I10+I11</f>
        <v>42318.807689491863</v>
      </c>
      <c r="J12" s="126">
        <f>J6+J7+J9+J10+J11</f>
        <v>46236.685860312391</v>
      </c>
    </row>
    <row r="14" spans="1:10" ht="15" customHeight="1" x14ac:dyDescent="0.3">
      <c r="A14" s="158" t="s">
        <v>596</v>
      </c>
      <c r="B14" s="158"/>
      <c r="C14" s="158"/>
      <c r="D14" s="158"/>
      <c r="E14" s="158"/>
      <c r="F14" s="158"/>
      <c r="G14" s="158"/>
      <c r="H14" s="158"/>
      <c r="I14" s="158"/>
      <c r="J14" s="158"/>
    </row>
    <row r="15" spans="1:10" ht="15" customHeight="1" x14ac:dyDescent="0.3">
      <c r="A15" s="76" t="s">
        <v>697</v>
      </c>
      <c r="C15" s="124">
        <v>2201</v>
      </c>
      <c r="D15" s="124">
        <v>2237</v>
      </c>
      <c r="E15" s="124">
        <v>2727</v>
      </c>
      <c r="F15" s="125">
        <f>'WC &amp; PPE Schedule'!F15</f>
        <v>2894.13</v>
      </c>
      <c r="G15" s="125">
        <f>'WC &amp; PPE Schedule'!G15</f>
        <v>3140.13105</v>
      </c>
      <c r="H15" s="125">
        <f>'WC &amp; PPE Schedule'!H15</f>
        <v>3422.7428445</v>
      </c>
      <c r="I15" s="125">
        <f>'WC &amp; PPE Schedule'!I15</f>
        <v>3730.7897005050004</v>
      </c>
      <c r="J15" s="125">
        <f>'WC &amp; PPE Schedule'!J15</f>
        <v>4047.9068250479254</v>
      </c>
    </row>
    <row r="16" spans="1:10" ht="15" customHeight="1" x14ac:dyDescent="0.3">
      <c r="A16" s="76" t="s">
        <v>698</v>
      </c>
      <c r="C16" s="132">
        <f>C17+C15</f>
        <v>-2808</v>
      </c>
      <c r="D16" s="132">
        <f>D17+D15</f>
        <v>291</v>
      </c>
      <c r="E16" s="132">
        <f>E17+E15</f>
        <v>4673</v>
      </c>
      <c r="F16" s="125">
        <f>'Income Statement'!F17</f>
        <v>4244.7240000000002</v>
      </c>
      <c r="G16" s="125">
        <f>'Income Statement'!G17</f>
        <v>4605.5255399999996</v>
      </c>
      <c r="H16" s="125">
        <f>'Income Statement'!H17</f>
        <v>5020.0228385999999</v>
      </c>
      <c r="I16" s="125">
        <f>'Income Statement'!I17</f>
        <v>5471.8248940740004</v>
      </c>
      <c r="J16" s="125">
        <f>'Income Statement'!J17</f>
        <v>5936.9300100702903</v>
      </c>
    </row>
    <row r="17" spans="1:10" ht="15" customHeight="1" x14ac:dyDescent="0.3">
      <c r="A17" s="81" t="s">
        <v>121</v>
      </c>
      <c r="C17" s="134">
        <v>-5009</v>
      </c>
      <c r="D17" s="134">
        <v>-1946</v>
      </c>
      <c r="E17" s="134">
        <v>1946</v>
      </c>
      <c r="F17" s="126">
        <f>-F15+F16</f>
        <v>1350.5940000000001</v>
      </c>
      <c r="G17" s="126">
        <f>-G15+G16</f>
        <v>1465.3944899999997</v>
      </c>
      <c r="H17" s="126">
        <f>-H15+H16</f>
        <v>1597.2799940999998</v>
      </c>
      <c r="I17" s="126">
        <f>-I15+I16</f>
        <v>1741.0351935690001</v>
      </c>
      <c r="J17" s="126">
        <f>-J15+J16</f>
        <v>1889.0231850223649</v>
      </c>
    </row>
    <row r="19" spans="1:10" ht="15" customHeight="1" x14ac:dyDescent="0.3">
      <c r="A19" s="158" t="s">
        <v>600</v>
      </c>
      <c r="B19" s="158"/>
      <c r="C19" s="158"/>
      <c r="D19" s="158"/>
      <c r="E19" s="158"/>
      <c r="F19" s="158"/>
      <c r="G19" s="158"/>
      <c r="H19" s="158"/>
      <c r="I19" s="158"/>
      <c r="J19" s="158"/>
    </row>
    <row r="20" spans="1:10" ht="15" customHeight="1" x14ac:dyDescent="0.3">
      <c r="A20" s="76" t="s">
        <v>601</v>
      </c>
      <c r="C20" s="124">
        <v>14692</v>
      </c>
      <c r="D20" s="124">
        <v>20287</v>
      </c>
      <c r="E20" s="124">
        <v>18653</v>
      </c>
      <c r="F20" s="125">
        <f>F32*0.6</f>
        <v>14605.498570179458</v>
      </c>
      <c r="G20" s="125">
        <f>G32*0.6</f>
        <v>16145.512101148239</v>
      </c>
      <c r="H20" s="125">
        <f>H32*0.6</f>
        <v>17800.086764480457</v>
      </c>
      <c r="I20" s="125">
        <f>I32*0.6</f>
        <v>19679.889174383297</v>
      </c>
      <c r="J20" s="125">
        <f>J32*0.6</f>
        <v>21516.277307984878</v>
      </c>
    </row>
    <row r="21" spans="1:10" ht="15" customHeight="1" x14ac:dyDescent="0.3">
      <c r="A21" s="76" t="s">
        <v>602</v>
      </c>
      <c r="C21" s="124">
        <v>0</v>
      </c>
      <c r="D21" s="124">
        <v>0</v>
      </c>
      <c r="E21" s="124">
        <v>18058</v>
      </c>
      <c r="F21" s="125">
        <f>F32*0.4</f>
        <v>9736.9990467863063</v>
      </c>
      <c r="G21" s="125">
        <f>G32*0.4</f>
        <v>10763.674734098828</v>
      </c>
      <c r="H21" s="125">
        <f>H32*0.4</f>
        <v>11866.724509653639</v>
      </c>
      <c r="I21" s="125">
        <f>I32*0.4</f>
        <v>13119.926116255532</v>
      </c>
      <c r="J21" s="125">
        <f>J32*0.4</f>
        <v>14344.184871989921</v>
      </c>
    </row>
    <row r="22" spans="1:10" ht="15" customHeight="1" x14ac:dyDescent="0.3">
      <c r="A22" s="76" t="s">
        <v>699</v>
      </c>
      <c r="C22" s="132">
        <f>C23+C20+C21</f>
        <v>-2812</v>
      </c>
      <c r="D22" s="132">
        <f>D23+D20+D21</f>
        <v>-3874</v>
      </c>
      <c r="E22" s="132">
        <f>E23+E20+E21</f>
        <v>-3075</v>
      </c>
      <c r="F22" s="124">
        <v>0</v>
      </c>
      <c r="G22" s="124">
        <v>0</v>
      </c>
      <c r="H22" s="124">
        <v>0</v>
      </c>
      <c r="I22" s="124">
        <v>0</v>
      </c>
      <c r="J22" s="124">
        <v>0</v>
      </c>
    </row>
    <row r="23" spans="1:10" ht="15" customHeight="1" x14ac:dyDescent="0.3">
      <c r="A23" s="81" t="s">
        <v>122</v>
      </c>
      <c r="C23" s="134">
        <v>-17504</v>
      </c>
      <c r="D23" s="134">
        <v>-24161</v>
      </c>
      <c r="E23" s="134">
        <v>-39786</v>
      </c>
      <c r="F23" s="126">
        <f>-F20-F21-F22</f>
        <v>-24342.497616965764</v>
      </c>
      <c r="G23" s="126">
        <f>-G20-G21-G22</f>
        <v>-26909.186835247066</v>
      </c>
      <c r="H23" s="126">
        <f>-H20-H21-H22</f>
        <v>-29666.811274134096</v>
      </c>
      <c r="I23" s="126">
        <f>-I20-I21-I22</f>
        <v>-32799.815290638828</v>
      </c>
      <c r="J23" s="126">
        <f>-J20-J21-J22</f>
        <v>-35860.462179974798</v>
      </c>
    </row>
    <row r="25" spans="1:10" ht="15" customHeight="1" x14ac:dyDescent="0.3">
      <c r="A25" s="81" t="s">
        <v>123</v>
      </c>
      <c r="C25" s="126">
        <f t="shared" ref="C25:J25" si="0">C12+C17+C23</f>
        <v>2697</v>
      </c>
      <c r="D25" s="126">
        <f t="shared" si="0"/>
        <v>9587</v>
      </c>
      <c r="E25" s="126">
        <f t="shared" si="0"/>
        <v>-3854</v>
      </c>
      <c r="F25" s="126">
        <f t="shared" si="0"/>
        <v>8540.4588735821926</v>
      </c>
      <c r="G25" s="126">
        <f t="shared" si="0"/>
        <v>9354.2055697494834</v>
      </c>
      <c r="H25" s="126">
        <f t="shared" si="0"/>
        <v>10255.342475211895</v>
      </c>
      <c r="I25" s="126">
        <f t="shared" si="0"/>
        <v>11260.027592422033</v>
      </c>
      <c r="J25" s="126">
        <f t="shared" si="0"/>
        <v>12265.246865359957</v>
      </c>
    </row>
    <row r="26" spans="1:10" ht="15" customHeight="1" x14ac:dyDescent="0.3">
      <c r="A26" s="76" t="s">
        <v>605</v>
      </c>
      <c r="C26" s="77" t="s">
        <v>498</v>
      </c>
      <c r="D26" s="124">
        <v>82</v>
      </c>
      <c r="E26" s="124">
        <v>1600</v>
      </c>
      <c r="F26" s="125">
        <v>0</v>
      </c>
      <c r="G26" s="125">
        <v>0</v>
      </c>
      <c r="H26" s="125">
        <v>0</v>
      </c>
      <c r="I26" s="125">
        <v>0</v>
      </c>
      <c r="J26" s="125">
        <v>0</v>
      </c>
    </row>
    <row r="27" spans="1:10" ht="15" customHeight="1" x14ac:dyDescent="0.3">
      <c r="A27" s="76" t="s">
        <v>700</v>
      </c>
      <c r="C27" s="77" t="s">
        <v>498</v>
      </c>
      <c r="D27" s="132">
        <f t="shared" ref="D27:J27" si="1">C28</f>
        <v>14786</v>
      </c>
      <c r="E27" s="132">
        <f t="shared" si="1"/>
        <v>24455</v>
      </c>
      <c r="F27" s="132">
        <f t="shared" si="1"/>
        <v>22201</v>
      </c>
      <c r="G27" s="132">
        <f t="shared" si="1"/>
        <v>30741.458873582193</v>
      </c>
      <c r="H27" s="132">
        <f t="shared" si="1"/>
        <v>40095.664443331683</v>
      </c>
      <c r="I27" s="132">
        <f t="shared" si="1"/>
        <v>50351.006918543579</v>
      </c>
      <c r="J27" s="132">
        <f t="shared" si="1"/>
        <v>61611.034510965605</v>
      </c>
    </row>
    <row r="28" spans="1:10" ht="15" customHeight="1" x14ac:dyDescent="0.3">
      <c r="A28" s="81" t="s">
        <v>701</v>
      </c>
      <c r="C28" s="135">
        <v>14786</v>
      </c>
      <c r="D28" s="135">
        <v>24455</v>
      </c>
      <c r="E28" s="135">
        <v>22201</v>
      </c>
      <c r="F28" s="133">
        <f>F27+F12+F17+F23+F26</f>
        <v>30741.458873582193</v>
      </c>
      <c r="G28" s="133">
        <f>G27+G12+G17+G23+G26</f>
        <v>40095.664443331683</v>
      </c>
      <c r="H28" s="133">
        <f>H27+H12+H17+H23+H26</f>
        <v>50351.006918543579</v>
      </c>
      <c r="I28" s="133">
        <f>I27+I12+I17+I23+I26</f>
        <v>61611.034510965605</v>
      </c>
      <c r="J28" s="133">
        <f>J27+J12+J17+J23+J26</f>
        <v>73876.281376325569</v>
      </c>
    </row>
    <row r="30" spans="1:10" ht="15" customHeight="1" x14ac:dyDescent="0.3">
      <c r="A30" s="158" t="s">
        <v>702</v>
      </c>
      <c r="B30" s="158"/>
      <c r="C30" s="158"/>
      <c r="D30" s="158"/>
      <c r="E30" s="158"/>
      <c r="F30" s="158"/>
      <c r="G30" s="158"/>
      <c r="H30" s="158"/>
      <c r="I30" s="158"/>
      <c r="J30" s="158"/>
    </row>
    <row r="31" spans="1:10" ht="15" customHeight="1" x14ac:dyDescent="0.3">
      <c r="A31" s="81" t="s">
        <v>609</v>
      </c>
      <c r="C31" s="127">
        <f t="shared" ref="C31:J31" si="2">C12-C15</f>
        <v>23009</v>
      </c>
      <c r="D31" s="127">
        <f t="shared" si="2"/>
        <v>33457</v>
      </c>
      <c r="E31" s="127">
        <f t="shared" si="2"/>
        <v>31259</v>
      </c>
      <c r="F31" s="127">
        <f t="shared" si="2"/>
        <v>28638.232490547958</v>
      </c>
      <c r="G31" s="127">
        <f t="shared" si="2"/>
        <v>31657.866864996551</v>
      </c>
      <c r="H31" s="127">
        <f t="shared" si="2"/>
        <v>34902.130910745997</v>
      </c>
      <c r="I31" s="127">
        <f t="shared" si="2"/>
        <v>38588.01798898686</v>
      </c>
      <c r="J31" s="127">
        <f t="shared" si="2"/>
        <v>42188.779035264466</v>
      </c>
    </row>
    <row r="32" spans="1:10" ht="15" customHeight="1" x14ac:dyDescent="0.3">
      <c r="A32" s="81" t="s">
        <v>610</v>
      </c>
      <c r="C32" s="128">
        <f>C20+C21</f>
        <v>14692</v>
      </c>
      <c r="D32" s="128">
        <f>D20+D21</f>
        <v>20287</v>
      </c>
      <c r="E32" s="128">
        <f>E20+E21</f>
        <v>36711</v>
      </c>
      <c r="F32" s="123">
        <f>F31*Assumptions!F27</f>
        <v>24342.497616965764</v>
      </c>
      <c r="G32" s="123">
        <f>G31*Assumptions!G27</f>
        <v>26909.186835247066</v>
      </c>
      <c r="H32" s="123">
        <f>H31*Assumptions!H27</f>
        <v>29666.811274134096</v>
      </c>
      <c r="I32" s="123">
        <f>I31*Assumptions!I27</f>
        <v>32799.815290638828</v>
      </c>
      <c r="J32" s="123">
        <f>J31*Assumptions!J27</f>
        <v>35860.462179974798</v>
      </c>
    </row>
    <row r="33" spans="1:10" ht="15" customHeight="1" x14ac:dyDescent="0.3">
      <c r="A33" s="97" t="s">
        <v>611</v>
      </c>
      <c r="C33" s="78">
        <f t="shared" ref="C33:J33" si="3">C32/C31</f>
        <v>0.63853274805510885</v>
      </c>
      <c r="D33" s="78">
        <f t="shared" si="3"/>
        <v>0.60636040290522164</v>
      </c>
      <c r="E33" s="78">
        <f t="shared" si="3"/>
        <v>1.1744137688345757</v>
      </c>
      <c r="F33" s="78">
        <f t="shared" si="3"/>
        <v>0.85</v>
      </c>
      <c r="G33" s="78">
        <f t="shared" si="3"/>
        <v>0.85</v>
      </c>
      <c r="H33" s="78">
        <f t="shared" si="3"/>
        <v>0.85</v>
      </c>
      <c r="I33" s="78">
        <f t="shared" si="3"/>
        <v>0.85</v>
      </c>
      <c r="J33" s="78">
        <f t="shared" si="3"/>
        <v>0.85000000000000009</v>
      </c>
    </row>
    <row r="35" spans="1:10" ht="117.75" customHeight="1" x14ac:dyDescent="0.3">
      <c r="A35" s="120" t="s">
        <v>703</v>
      </c>
    </row>
  </sheetData>
  <mergeCells count="6">
    <mergeCell ref="A30:J30"/>
    <mergeCell ref="A1:J1"/>
    <mergeCell ref="A2:J2"/>
    <mergeCell ref="A5:J5"/>
    <mergeCell ref="A14:J14"/>
    <mergeCell ref="A19:J19"/>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25"/>
  <sheetViews>
    <sheetView showGridLines="0" zoomScaleNormal="100" workbookViewId="0">
      <pane xSplit="2" ySplit="5" topLeftCell="C6" activePane="bottomRight" state="frozen"/>
      <selection pane="topRight" activeCell="C1" sqref="C1"/>
      <selection pane="bottomLeft" activeCell="A6" sqref="A6"/>
      <selection pane="bottomRight" sqref="A1:J1"/>
    </sheetView>
  </sheetViews>
  <sheetFormatPr defaultColWidth="8.6640625" defaultRowHeight="14.4" x14ac:dyDescent="0.3"/>
  <cols>
    <col min="1" max="1" width="42" customWidth="1"/>
    <col min="2" max="2" width="3" customWidth="1"/>
    <col min="3" max="3" width="13.44140625" customWidth="1"/>
  </cols>
  <sheetData>
    <row r="1" spans="1:10" ht="25.5" customHeight="1" x14ac:dyDescent="0.3">
      <c r="A1" s="159" t="s">
        <v>647</v>
      </c>
      <c r="B1" s="159"/>
      <c r="C1" s="159"/>
      <c r="D1" s="159"/>
      <c r="E1" s="159"/>
      <c r="F1" s="159"/>
      <c r="G1" s="159"/>
      <c r="H1" s="159"/>
      <c r="I1" s="159"/>
      <c r="J1" s="159"/>
    </row>
    <row r="2" spans="1:10" ht="15.75" customHeight="1" x14ac:dyDescent="0.3">
      <c r="A2" s="160" t="s">
        <v>704</v>
      </c>
      <c r="B2" s="160"/>
      <c r="C2" s="160"/>
      <c r="D2" s="160"/>
      <c r="E2" s="160"/>
      <c r="F2" s="160"/>
      <c r="G2" s="160"/>
      <c r="H2" s="160"/>
      <c r="I2" s="160"/>
      <c r="J2" s="160"/>
    </row>
    <row r="4" spans="1:10" ht="15.75" customHeight="1" x14ac:dyDescent="0.3">
      <c r="A4" s="74" t="s">
        <v>487</v>
      </c>
      <c r="C4" s="75" t="s">
        <v>488</v>
      </c>
      <c r="D4" s="75" t="s">
        <v>489</v>
      </c>
      <c r="E4" s="75" t="s">
        <v>490</v>
      </c>
      <c r="F4" s="75" t="s">
        <v>491</v>
      </c>
      <c r="G4" s="75" t="s">
        <v>492</v>
      </c>
      <c r="H4" s="75" t="s">
        <v>493</v>
      </c>
      <c r="I4" s="75" t="s">
        <v>494</v>
      </c>
      <c r="J4" s="75" t="s">
        <v>495</v>
      </c>
    </row>
    <row r="5" spans="1:10" ht="15" customHeight="1" x14ac:dyDescent="0.3">
      <c r="A5" s="158" t="s">
        <v>550</v>
      </c>
      <c r="B5" s="158"/>
      <c r="C5" s="158"/>
      <c r="D5" s="158"/>
      <c r="E5" s="158"/>
      <c r="F5" s="158"/>
      <c r="G5" s="158"/>
      <c r="H5" s="158"/>
      <c r="I5" s="158"/>
      <c r="J5" s="158"/>
    </row>
    <row r="6" spans="1:10" ht="15" customHeight="1" x14ac:dyDescent="0.3">
      <c r="A6" s="76" t="s">
        <v>551</v>
      </c>
      <c r="C6" s="124">
        <v>30193</v>
      </c>
      <c r="D6" s="124">
        <v>31158</v>
      </c>
      <c r="E6" s="124">
        <v>35234</v>
      </c>
      <c r="F6" s="125">
        <f>'Income Statement'!F5*Assumptions!F18/365</f>
        <v>37531.183561643833</v>
      </c>
      <c r="G6" s="125">
        <f>'Income Statement'!G5*Assumptions!G18/365</f>
        <v>40721.334164383567</v>
      </c>
      <c r="H6" s="125">
        <f>'Income Statement'!H5*Assumptions!H18/365</f>
        <v>44386.254239178088</v>
      </c>
      <c r="I6" s="125">
        <f>'Income Statement'!I5*Assumptions!I18/365</f>
        <v>48381.017120704113</v>
      </c>
      <c r="J6" s="125">
        <f>'Income Statement'!J5*Assumptions!J18/365</f>
        <v>52493.403575963966</v>
      </c>
    </row>
    <row r="7" spans="1:10" ht="15" customHeight="1" x14ac:dyDescent="0.3">
      <c r="A7" s="76" t="s">
        <v>552</v>
      </c>
      <c r="C7" s="124">
        <v>3956</v>
      </c>
      <c r="D7" s="124">
        <v>4164</v>
      </c>
      <c r="E7" s="124">
        <v>4744</v>
      </c>
      <c r="F7" s="125">
        <f>'Income Statement'!F5*Assumptions!F19/365</f>
        <v>5021.7780821917804</v>
      </c>
      <c r="G7" s="125">
        <f>'Income Statement'!G5*Assumptions!G19/365</f>
        <v>5448.6292191780822</v>
      </c>
      <c r="H7" s="125">
        <f>'Income Statement'!H5*Assumptions!H19/365</f>
        <v>5939.0058489041094</v>
      </c>
      <c r="I7" s="125">
        <f>'Income Statement'!I5*Assumptions!I19/365</f>
        <v>6473.5163753054803</v>
      </c>
      <c r="J7" s="125">
        <f>'Income Statement'!J5*Assumptions!J19/365</f>
        <v>7023.7652672064469</v>
      </c>
    </row>
    <row r="8" spans="1:10" ht="15" customHeight="1" x14ac:dyDescent="0.3">
      <c r="A8" s="76" t="s">
        <v>705</v>
      </c>
      <c r="C8" s="124">
        <v>31538</v>
      </c>
      <c r="D8" s="124">
        <v>29004</v>
      </c>
      <c r="E8" s="124">
        <v>33104</v>
      </c>
      <c r="F8" s="125">
        <f>'Income Statement'!F5*Assumptions!F20</f>
        <v>36658.980000000003</v>
      </c>
      <c r="G8" s="125">
        <f>'Income Statement'!G5*Assumptions!G20</f>
        <v>39774.993300000002</v>
      </c>
      <c r="H8" s="125">
        <f>'Income Statement'!H5*Assumptions!H20</f>
        <v>43354.742697000001</v>
      </c>
      <c r="I8" s="125">
        <f>'Income Statement'!I5*Assumptions!I20</f>
        <v>47256.669539730006</v>
      </c>
      <c r="J8" s="125">
        <f>'Income Statement'!J5*Assumptions!J20</f>
        <v>51273.486450607059</v>
      </c>
    </row>
    <row r="9" spans="1:10" ht="15" customHeight="1" x14ac:dyDescent="0.3">
      <c r="A9" s="76" t="s">
        <v>706</v>
      </c>
      <c r="C9" s="124">
        <v>32879</v>
      </c>
      <c r="D9" s="124">
        <v>36231</v>
      </c>
      <c r="E9" s="124">
        <v>44418</v>
      </c>
      <c r="F9" s="125">
        <f>'Income Statement'!F5*Assumptions!F21</f>
        <v>48235.5</v>
      </c>
      <c r="G9" s="125">
        <f>'Income Statement'!G5*Assumptions!G21</f>
        <v>52335.517500000002</v>
      </c>
      <c r="H9" s="125">
        <f>'Income Statement'!H5*Assumptions!H21</f>
        <v>57045.714075000004</v>
      </c>
      <c r="I9" s="125">
        <f>'Income Statement'!I5*Assumptions!I21</f>
        <v>62179.828341750006</v>
      </c>
      <c r="J9" s="125">
        <f>'Income Statement'!J5*Assumptions!J21</f>
        <v>67465.113750798759</v>
      </c>
    </row>
    <row r="10" spans="1:10" ht="15" customHeight="1" x14ac:dyDescent="0.3">
      <c r="A10" s="81" t="s">
        <v>555</v>
      </c>
      <c r="C10" s="126">
        <f t="shared" ref="C10:J10" si="0">C6+C8-C7-C9</f>
        <v>24896</v>
      </c>
      <c r="D10" s="126">
        <f t="shared" si="0"/>
        <v>19767</v>
      </c>
      <c r="E10" s="126">
        <f t="shared" si="0"/>
        <v>19176</v>
      </c>
      <c r="F10" s="126">
        <f t="shared" si="0"/>
        <v>20932.885479452045</v>
      </c>
      <c r="G10" s="126">
        <f t="shared" si="0"/>
        <v>22712.180745205478</v>
      </c>
      <c r="H10" s="126">
        <f t="shared" si="0"/>
        <v>24756.277012273982</v>
      </c>
      <c r="I10" s="126">
        <f t="shared" si="0"/>
        <v>26984.341943378633</v>
      </c>
      <c r="J10" s="126">
        <f t="shared" si="0"/>
        <v>29278.011008565823</v>
      </c>
    </row>
    <row r="11" spans="1:10" ht="15" customHeight="1" x14ac:dyDescent="0.3">
      <c r="A11" s="81" t="s">
        <v>707</v>
      </c>
      <c r="C11" s="77" t="s">
        <v>498</v>
      </c>
      <c r="D11" s="127">
        <f t="shared" ref="D11:J11" si="1">-(D10-C10)</f>
        <v>5129</v>
      </c>
      <c r="E11" s="127">
        <f t="shared" si="1"/>
        <v>591</v>
      </c>
      <c r="F11" s="127">
        <f t="shared" si="1"/>
        <v>-1756.8854794520448</v>
      </c>
      <c r="G11" s="127">
        <f t="shared" si="1"/>
        <v>-1779.2952657534333</v>
      </c>
      <c r="H11" s="127">
        <f t="shared" si="1"/>
        <v>-2044.0962670685039</v>
      </c>
      <c r="I11" s="127">
        <f t="shared" si="1"/>
        <v>-2228.0649311046509</v>
      </c>
      <c r="J11" s="127">
        <f t="shared" si="1"/>
        <v>-2293.6690651871904</v>
      </c>
    </row>
    <row r="13" spans="1:10" ht="15" customHeight="1" x14ac:dyDescent="0.3">
      <c r="A13" s="158" t="s">
        <v>708</v>
      </c>
      <c r="B13" s="158"/>
      <c r="C13" s="158"/>
      <c r="D13" s="158"/>
      <c r="E13" s="158"/>
      <c r="F13" s="158"/>
      <c r="G13" s="158"/>
      <c r="H13" s="158"/>
      <c r="I13" s="158"/>
      <c r="J13" s="158"/>
    </row>
    <row r="14" spans="1:10" ht="15" customHeight="1" x14ac:dyDescent="0.3">
      <c r="A14" s="76" t="s">
        <v>709</v>
      </c>
      <c r="C14" s="77" t="s">
        <v>498</v>
      </c>
      <c r="D14" s="132">
        <f t="shared" ref="D14:J14" si="2">C17</f>
        <v>12370</v>
      </c>
      <c r="E14" s="132">
        <f t="shared" si="2"/>
        <v>11778</v>
      </c>
      <c r="F14" s="132">
        <f t="shared" si="2"/>
        <v>12651</v>
      </c>
      <c r="G14" s="132">
        <f t="shared" si="2"/>
        <v>10335.696</v>
      </c>
      <c r="H14" s="132">
        <f t="shared" si="2"/>
        <v>7823.5911599999999</v>
      </c>
      <c r="I14" s="132">
        <f t="shared" si="2"/>
        <v>5085.3968844000001</v>
      </c>
      <c r="J14" s="132">
        <f t="shared" si="2"/>
        <v>2100.7651239960005</v>
      </c>
    </row>
    <row r="15" spans="1:10" ht="15" customHeight="1" x14ac:dyDescent="0.3">
      <c r="A15" s="76" t="s">
        <v>710</v>
      </c>
      <c r="C15" s="124">
        <v>2201</v>
      </c>
      <c r="D15" s="124">
        <v>2237</v>
      </c>
      <c r="E15" s="124">
        <v>2727</v>
      </c>
      <c r="F15" s="125">
        <f>'Income Statement'!F5*Assumptions!F24</f>
        <v>2894.13</v>
      </c>
      <c r="G15" s="125">
        <f>'Income Statement'!G5*Assumptions!G24</f>
        <v>3140.13105</v>
      </c>
      <c r="H15" s="125">
        <f>'Income Statement'!H5*Assumptions!H24</f>
        <v>3422.7428445</v>
      </c>
      <c r="I15" s="125">
        <f>'Income Statement'!I5*Assumptions!I24</f>
        <v>3730.7897005050004</v>
      </c>
      <c r="J15" s="125">
        <f>'Income Statement'!J5*Assumptions!J24</f>
        <v>4047.9068250479254</v>
      </c>
    </row>
    <row r="16" spans="1:10" ht="15" customHeight="1" x14ac:dyDescent="0.3">
      <c r="A16" s="76" t="s">
        <v>711</v>
      </c>
      <c r="C16" s="125">
        <f>-'Income Statement'!C10</f>
        <v>-4678</v>
      </c>
      <c r="D16" s="125">
        <f>-'Income Statement'!D10</f>
        <v>-4812</v>
      </c>
      <c r="E16" s="125">
        <f>-'Income Statement'!E10</f>
        <v>-4902</v>
      </c>
      <c r="F16" s="125">
        <f>-'Income Statement'!F10</f>
        <v>-5209.4340000000002</v>
      </c>
      <c r="G16" s="125">
        <f>-'Income Statement'!G10</f>
        <v>-5652.2358899999999</v>
      </c>
      <c r="H16" s="125">
        <f>-'Income Statement'!H10</f>
        <v>-6160.9371201000004</v>
      </c>
      <c r="I16" s="125">
        <f>-'Income Statement'!I10</f>
        <v>-6715.4214609090004</v>
      </c>
      <c r="J16" s="125">
        <f>-'Income Statement'!J10</f>
        <v>-7286.2322850862656</v>
      </c>
    </row>
    <row r="17" spans="1:10" ht="15" customHeight="1" x14ac:dyDescent="0.3">
      <c r="A17" s="81" t="s">
        <v>561</v>
      </c>
      <c r="C17" s="134">
        <v>12370</v>
      </c>
      <c r="D17" s="134">
        <v>11778</v>
      </c>
      <c r="E17" s="134">
        <v>12651</v>
      </c>
      <c r="F17" s="136">
        <f>F14+F15+F16</f>
        <v>10335.696</v>
      </c>
      <c r="G17" s="136">
        <f>G14+G15+G16</f>
        <v>7823.5911599999999</v>
      </c>
      <c r="H17" s="136">
        <f>H14+H15+H16</f>
        <v>5085.3968844000001</v>
      </c>
      <c r="I17" s="136">
        <f>I14+I15+I16</f>
        <v>2100.7651239960005</v>
      </c>
      <c r="J17" s="136">
        <f>J14+J15+J16</f>
        <v>-1137.5603360423393</v>
      </c>
    </row>
    <row r="19" spans="1:10" ht="15" customHeight="1" x14ac:dyDescent="0.3">
      <c r="A19" s="158" t="s">
        <v>712</v>
      </c>
      <c r="B19" s="158"/>
      <c r="C19" s="158"/>
      <c r="D19" s="158"/>
      <c r="E19" s="158"/>
      <c r="F19" s="158"/>
      <c r="G19" s="158"/>
      <c r="H19" s="158"/>
      <c r="I19" s="158"/>
      <c r="J19" s="158"/>
    </row>
    <row r="20" spans="1:10" ht="15" customHeight="1" x14ac:dyDescent="0.3">
      <c r="A20" s="76" t="s">
        <v>47</v>
      </c>
      <c r="C20" s="124">
        <v>293</v>
      </c>
      <c r="D20" s="124">
        <v>814</v>
      </c>
      <c r="E20" s="124">
        <v>526</v>
      </c>
      <c r="F20" s="132">
        <f>$E$20</f>
        <v>526</v>
      </c>
      <c r="G20" s="132">
        <f>$E$20</f>
        <v>526</v>
      </c>
      <c r="H20" s="132">
        <f>$E$20</f>
        <v>526</v>
      </c>
      <c r="I20" s="132">
        <f>$E$20</f>
        <v>526</v>
      </c>
      <c r="J20" s="132">
        <f>$E$20</f>
        <v>526</v>
      </c>
    </row>
    <row r="21" spans="1:10" ht="15" customHeight="1" x14ac:dyDescent="0.3">
      <c r="A21" s="76" t="s">
        <v>46</v>
      </c>
      <c r="C21" s="124">
        <v>6552</v>
      </c>
      <c r="D21" s="124">
        <v>6311</v>
      </c>
      <c r="E21" s="124">
        <v>6177</v>
      </c>
      <c r="F21" s="132">
        <f>$E$21</f>
        <v>6177</v>
      </c>
      <c r="G21" s="132">
        <f>$E$21</f>
        <v>6177</v>
      </c>
      <c r="H21" s="132">
        <f>$E$21</f>
        <v>6177</v>
      </c>
      <c r="I21" s="132">
        <f>$E$21</f>
        <v>6177</v>
      </c>
      <c r="J21" s="132">
        <f>$E$21</f>
        <v>6177</v>
      </c>
    </row>
    <row r="22" spans="1:10" ht="15" customHeight="1" x14ac:dyDescent="0.3">
      <c r="A22" s="76" t="s">
        <v>48</v>
      </c>
      <c r="C22" s="124">
        <v>7303</v>
      </c>
      <c r="D22" s="124">
        <v>10106</v>
      </c>
      <c r="E22" s="124">
        <v>12117</v>
      </c>
      <c r="F22" s="132">
        <f>$E$22</f>
        <v>12117</v>
      </c>
      <c r="G22" s="132">
        <f>$E$22</f>
        <v>12117</v>
      </c>
      <c r="H22" s="132">
        <f>$E$22</f>
        <v>12117</v>
      </c>
      <c r="I22" s="132">
        <f>$E$22</f>
        <v>12117</v>
      </c>
      <c r="J22" s="132">
        <f>$E$22</f>
        <v>12117</v>
      </c>
    </row>
    <row r="23" spans="1:10" ht="15" customHeight="1" x14ac:dyDescent="0.3">
      <c r="A23" s="76" t="s">
        <v>49</v>
      </c>
      <c r="C23" s="124">
        <v>1397</v>
      </c>
      <c r="D23" s="124">
        <v>2766</v>
      </c>
      <c r="E23" s="124">
        <v>2825</v>
      </c>
      <c r="F23" s="132">
        <f>$E$23</f>
        <v>2825</v>
      </c>
      <c r="G23" s="132">
        <f>$E$23</f>
        <v>2825</v>
      </c>
      <c r="H23" s="132">
        <f>$E$23</f>
        <v>2825</v>
      </c>
      <c r="I23" s="132">
        <f>$E$23</f>
        <v>2825</v>
      </c>
      <c r="J23" s="132">
        <f>$E$23</f>
        <v>2825</v>
      </c>
    </row>
    <row r="25" spans="1:10" ht="108.75" customHeight="1" x14ac:dyDescent="0.3">
      <c r="A25" s="120" t="s">
        <v>713</v>
      </c>
    </row>
  </sheetData>
  <mergeCells count="5">
    <mergeCell ref="A1:J1"/>
    <mergeCell ref="A2:J2"/>
    <mergeCell ref="A5:J5"/>
    <mergeCell ref="A13:J13"/>
    <mergeCell ref="A19:J19"/>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29"/>
  <sheetViews>
    <sheetView showGridLines="0" zoomScaleNormal="100" workbookViewId="0">
      <pane xSplit="2" ySplit="5" topLeftCell="C6" activePane="bottomRight" state="frozen"/>
      <selection pane="topRight" activeCell="C1" sqref="C1"/>
      <selection pane="bottomLeft" activeCell="A6" sqref="A6"/>
      <selection pane="bottomRight" sqref="A1:J1"/>
    </sheetView>
  </sheetViews>
  <sheetFormatPr defaultColWidth="8.6640625" defaultRowHeight="14.4" x14ac:dyDescent="0.3"/>
  <cols>
    <col min="1" max="1" width="42" customWidth="1"/>
    <col min="2" max="2" width="3" customWidth="1"/>
    <col min="3" max="3" width="13.44140625" customWidth="1"/>
  </cols>
  <sheetData>
    <row r="1" spans="1:10" ht="25.5" customHeight="1" x14ac:dyDescent="0.3">
      <c r="A1" s="159" t="s">
        <v>647</v>
      </c>
      <c r="B1" s="159"/>
      <c r="C1" s="159"/>
      <c r="D1" s="159"/>
      <c r="E1" s="159"/>
      <c r="F1" s="159"/>
      <c r="G1" s="159"/>
      <c r="H1" s="159"/>
      <c r="I1" s="159"/>
      <c r="J1" s="159"/>
    </row>
    <row r="2" spans="1:10" ht="15.75" customHeight="1" x14ac:dyDescent="0.3">
      <c r="A2" s="160" t="s">
        <v>714</v>
      </c>
      <c r="B2" s="160"/>
      <c r="C2" s="160"/>
      <c r="D2" s="160"/>
      <c r="E2" s="160"/>
      <c r="F2" s="160"/>
      <c r="G2" s="160"/>
      <c r="H2" s="160"/>
      <c r="I2" s="160"/>
      <c r="J2" s="160"/>
    </row>
    <row r="4" spans="1:10" ht="15.75" customHeight="1" x14ac:dyDescent="0.3">
      <c r="A4" s="74" t="s">
        <v>487</v>
      </c>
      <c r="C4" s="75" t="s">
        <v>488</v>
      </c>
      <c r="D4" s="75" t="s">
        <v>489</v>
      </c>
      <c r="E4" s="75" t="s">
        <v>490</v>
      </c>
      <c r="F4" s="75" t="s">
        <v>491</v>
      </c>
      <c r="G4" s="75" t="s">
        <v>492</v>
      </c>
      <c r="H4" s="75" t="s">
        <v>493</v>
      </c>
      <c r="I4" s="75" t="s">
        <v>494</v>
      </c>
      <c r="J4" s="75" t="s">
        <v>495</v>
      </c>
    </row>
    <row r="5" spans="1:10" ht="15" customHeight="1" x14ac:dyDescent="0.3">
      <c r="A5" s="158" t="s">
        <v>564</v>
      </c>
      <c r="B5" s="158"/>
      <c r="C5" s="158"/>
      <c r="D5" s="158"/>
      <c r="E5" s="158"/>
      <c r="F5" s="158"/>
      <c r="G5" s="158"/>
      <c r="H5" s="158"/>
      <c r="I5" s="158"/>
      <c r="J5" s="158"/>
    </row>
    <row r="6" spans="1:10" ht="15" customHeight="1" x14ac:dyDescent="0.3">
      <c r="A6" s="76" t="s">
        <v>565</v>
      </c>
      <c r="C6" s="124">
        <v>6400</v>
      </c>
      <c r="D6" s="124">
        <v>5772</v>
      </c>
      <c r="E6" s="124">
        <v>6016</v>
      </c>
      <c r="F6" s="132">
        <f>$E$6</f>
        <v>6016</v>
      </c>
      <c r="G6" s="132">
        <f>$E$6</f>
        <v>6016</v>
      </c>
      <c r="H6" s="132">
        <f>$E$6</f>
        <v>6016</v>
      </c>
      <c r="I6" s="132">
        <f>$E$6</f>
        <v>6016</v>
      </c>
      <c r="J6" s="132">
        <f>$E$6</f>
        <v>6016</v>
      </c>
    </row>
    <row r="7" spans="1:10" ht="15" customHeight="1" x14ac:dyDescent="0.3">
      <c r="A7" s="76" t="s">
        <v>566</v>
      </c>
      <c r="C7" s="124">
        <v>1959</v>
      </c>
      <c r="D7" s="124">
        <v>2455</v>
      </c>
      <c r="E7" s="124">
        <v>3160</v>
      </c>
      <c r="F7" s="132">
        <f>$E$7</f>
        <v>3160</v>
      </c>
      <c r="G7" s="132">
        <f>$E$7</f>
        <v>3160</v>
      </c>
      <c r="H7" s="132">
        <f>$E$7</f>
        <v>3160</v>
      </c>
      <c r="I7" s="132">
        <f>$E$7</f>
        <v>3160</v>
      </c>
      <c r="J7" s="132">
        <f>$E$7</f>
        <v>3160</v>
      </c>
    </row>
    <row r="8" spans="1:10" ht="15" customHeight="1" x14ac:dyDescent="0.3">
      <c r="A8" s="81" t="s">
        <v>567</v>
      </c>
      <c r="C8" s="126">
        <f t="shared" ref="C8:J8" si="0">C6+C7</f>
        <v>8359</v>
      </c>
      <c r="D8" s="126">
        <f t="shared" si="0"/>
        <v>8227</v>
      </c>
      <c r="E8" s="126">
        <f t="shared" si="0"/>
        <v>9176</v>
      </c>
      <c r="F8" s="126">
        <f t="shared" si="0"/>
        <v>9176</v>
      </c>
      <c r="G8" s="126">
        <f t="shared" si="0"/>
        <v>9176</v>
      </c>
      <c r="H8" s="126">
        <f t="shared" si="0"/>
        <v>9176</v>
      </c>
      <c r="I8" s="126">
        <f t="shared" si="0"/>
        <v>9176</v>
      </c>
      <c r="J8" s="126">
        <f t="shared" si="0"/>
        <v>9176</v>
      </c>
    </row>
    <row r="10" spans="1:10" ht="15" customHeight="1" x14ac:dyDescent="0.3">
      <c r="A10" s="158" t="s">
        <v>568</v>
      </c>
      <c r="B10" s="158"/>
      <c r="C10" s="158"/>
      <c r="D10" s="158"/>
      <c r="E10" s="158"/>
      <c r="F10" s="158"/>
      <c r="G10" s="158"/>
      <c r="H10" s="158"/>
      <c r="I10" s="158"/>
      <c r="J10" s="158"/>
    </row>
    <row r="11" spans="1:10" ht="15" customHeight="1" x14ac:dyDescent="0.3">
      <c r="A11" s="76" t="s">
        <v>60</v>
      </c>
      <c r="C11" s="124">
        <v>14786</v>
      </c>
      <c r="D11" s="124">
        <v>24455</v>
      </c>
      <c r="E11" s="124">
        <v>22201</v>
      </c>
      <c r="F11" s="125">
        <f>'Balance Sheet'!F19</f>
        <v>30741.458873582193</v>
      </c>
      <c r="G11" s="125">
        <f>'Balance Sheet'!G19</f>
        <v>40095.664443331683</v>
      </c>
      <c r="H11" s="125">
        <f>'Balance Sheet'!H19</f>
        <v>50351.006918543579</v>
      </c>
      <c r="I11" s="125">
        <f>'Balance Sheet'!I19</f>
        <v>61611.034510965605</v>
      </c>
      <c r="J11" s="125">
        <f>'Balance Sheet'!J19</f>
        <v>73876.281376325569</v>
      </c>
    </row>
    <row r="12" spans="1:10" ht="15" customHeight="1" x14ac:dyDescent="0.3">
      <c r="A12" s="76" t="s">
        <v>58</v>
      </c>
      <c r="C12" s="124">
        <v>12915</v>
      </c>
      <c r="D12" s="124">
        <v>12482</v>
      </c>
      <c r="E12" s="124">
        <v>12950</v>
      </c>
      <c r="F12" s="132">
        <f>$E$12</f>
        <v>12950</v>
      </c>
      <c r="G12" s="132">
        <f>$E$12</f>
        <v>12950</v>
      </c>
      <c r="H12" s="132">
        <f>$E$12</f>
        <v>12950</v>
      </c>
      <c r="I12" s="132">
        <f>$E$12</f>
        <v>12950</v>
      </c>
      <c r="J12" s="132">
        <f>$E$12</f>
        <v>12950</v>
      </c>
    </row>
    <row r="13" spans="1:10" ht="15" customHeight="1" x14ac:dyDescent="0.3">
      <c r="A13" s="76" t="s">
        <v>50</v>
      </c>
      <c r="C13" s="124">
        <v>11708</v>
      </c>
      <c r="D13" s="124">
        <v>11059</v>
      </c>
      <c r="E13" s="124">
        <v>8930</v>
      </c>
      <c r="F13" s="132">
        <f>$E$13</f>
        <v>8930</v>
      </c>
      <c r="G13" s="132">
        <f>$E$13</f>
        <v>8930</v>
      </c>
      <c r="H13" s="132">
        <f>$E$13</f>
        <v>8930</v>
      </c>
      <c r="I13" s="132">
        <f>$E$13</f>
        <v>8930</v>
      </c>
      <c r="J13" s="132">
        <f>$E$13</f>
        <v>8930</v>
      </c>
    </row>
    <row r="14" spans="1:10" ht="15" customHeight="1" x14ac:dyDescent="0.3">
      <c r="A14" s="76" t="s">
        <v>715</v>
      </c>
      <c r="C14" s="124">
        <v>12085</v>
      </c>
      <c r="D14" s="124">
        <v>13840</v>
      </c>
      <c r="E14" s="124">
        <v>15890</v>
      </c>
      <c r="F14" s="132">
        <f>$E$14</f>
        <v>15890</v>
      </c>
      <c r="G14" s="132">
        <f>$E$14</f>
        <v>15890</v>
      </c>
      <c r="H14" s="132">
        <f>$E$14</f>
        <v>15890</v>
      </c>
      <c r="I14" s="132">
        <f>$E$14</f>
        <v>15890</v>
      </c>
      <c r="J14" s="132">
        <f>$E$14</f>
        <v>15890</v>
      </c>
    </row>
    <row r="15" spans="1:10" ht="15" customHeight="1" x14ac:dyDescent="0.3">
      <c r="A15" s="76" t="s">
        <v>716</v>
      </c>
      <c r="C15" s="124">
        <v>3105</v>
      </c>
      <c r="D15" s="124">
        <v>3511</v>
      </c>
      <c r="E15" s="124">
        <v>2776</v>
      </c>
      <c r="F15" s="132">
        <f>$E$15</f>
        <v>2776</v>
      </c>
      <c r="G15" s="132">
        <f>$E$15</f>
        <v>2776</v>
      </c>
      <c r="H15" s="132">
        <f>$E$15</f>
        <v>2776</v>
      </c>
      <c r="I15" s="132">
        <f>$E$15</f>
        <v>2776</v>
      </c>
      <c r="J15" s="132">
        <f>$E$15</f>
        <v>2776</v>
      </c>
    </row>
    <row r="16" spans="1:10" ht="15" customHeight="1" x14ac:dyDescent="0.3">
      <c r="A16" s="81" t="s">
        <v>571</v>
      </c>
      <c r="C16" s="126">
        <f t="shared" ref="C16:J16" si="1">C11+C12+C13+C14+C15</f>
        <v>54599</v>
      </c>
      <c r="D16" s="126">
        <f t="shared" si="1"/>
        <v>65347</v>
      </c>
      <c r="E16" s="126">
        <f t="shared" si="1"/>
        <v>62747</v>
      </c>
      <c r="F16" s="126">
        <f t="shared" si="1"/>
        <v>71287.458873582189</v>
      </c>
      <c r="G16" s="126">
        <f t="shared" si="1"/>
        <v>80641.664443331683</v>
      </c>
      <c r="H16" s="126">
        <f t="shared" si="1"/>
        <v>90897.006918543571</v>
      </c>
      <c r="I16" s="126">
        <f t="shared" si="1"/>
        <v>102157.0345109656</v>
      </c>
      <c r="J16" s="126">
        <f t="shared" si="1"/>
        <v>114422.28137632557</v>
      </c>
    </row>
    <row r="17" spans="1:10" ht="15" customHeight="1" x14ac:dyDescent="0.3">
      <c r="A17" s="81" t="s">
        <v>717</v>
      </c>
      <c r="C17" s="127">
        <f t="shared" ref="C17:J17" si="2">C16-C8</f>
        <v>46240</v>
      </c>
      <c r="D17" s="127">
        <f t="shared" si="2"/>
        <v>57120</v>
      </c>
      <c r="E17" s="127">
        <f t="shared" si="2"/>
        <v>53571</v>
      </c>
      <c r="F17" s="127">
        <f t="shared" si="2"/>
        <v>62111.458873582189</v>
      </c>
      <c r="G17" s="127">
        <f t="shared" si="2"/>
        <v>71465.664443331683</v>
      </c>
      <c r="H17" s="127">
        <f t="shared" si="2"/>
        <v>81721.006918543571</v>
      </c>
      <c r="I17" s="127">
        <f t="shared" si="2"/>
        <v>92981.034510965605</v>
      </c>
      <c r="J17" s="127">
        <f t="shared" si="2"/>
        <v>105246.28137632557</v>
      </c>
    </row>
    <row r="19" spans="1:10" ht="15" customHeight="1" x14ac:dyDescent="0.3">
      <c r="A19" s="158" t="s">
        <v>718</v>
      </c>
      <c r="B19" s="158"/>
      <c r="C19" s="158"/>
      <c r="D19" s="158"/>
    </row>
    <row r="20" spans="1:10" ht="15" customHeight="1" x14ac:dyDescent="0.3">
      <c r="A20" s="76" t="s">
        <v>719</v>
      </c>
      <c r="D20" s="123">
        <f>Assumptions!D48</f>
        <v>481712</v>
      </c>
    </row>
    <row r="21" spans="1:10" ht="15" customHeight="1" x14ac:dyDescent="0.3">
      <c r="A21" s="76" t="s">
        <v>720</v>
      </c>
      <c r="D21" s="132">
        <f>E8</f>
        <v>9176</v>
      </c>
    </row>
    <row r="22" spans="1:10" ht="15" customHeight="1" x14ac:dyDescent="0.3">
      <c r="A22" s="81" t="s">
        <v>576</v>
      </c>
      <c r="D22" s="126">
        <f>D20+D21</f>
        <v>490888</v>
      </c>
    </row>
    <row r="23" spans="1:10" ht="15" customHeight="1" x14ac:dyDescent="0.3">
      <c r="A23" s="81" t="s">
        <v>721</v>
      </c>
      <c r="D23" s="137">
        <f>D21/D22</f>
        <v>1.8692654943693876E-2</v>
      </c>
    </row>
    <row r="24" spans="1:10" ht="15" customHeight="1" x14ac:dyDescent="0.3">
      <c r="A24" s="81" t="s">
        <v>722</v>
      </c>
      <c r="D24" s="137">
        <f>D20/D22</f>
        <v>0.98130734505630612</v>
      </c>
    </row>
    <row r="26" spans="1:10" ht="15" customHeight="1" x14ac:dyDescent="0.3">
      <c r="A26" s="158" t="s">
        <v>723</v>
      </c>
      <c r="B26" s="158"/>
      <c r="C26" s="158"/>
      <c r="D26" s="158"/>
      <c r="E26" s="158"/>
      <c r="F26" s="158"/>
      <c r="G26" s="158"/>
      <c r="H26" s="158"/>
      <c r="I26" s="158"/>
      <c r="J26" s="158"/>
    </row>
    <row r="27" spans="1:10" ht="45" customHeight="1" x14ac:dyDescent="0.3">
      <c r="A27" s="202" t="s">
        <v>724</v>
      </c>
      <c r="B27" s="202"/>
      <c r="C27" s="202"/>
      <c r="D27" s="202"/>
      <c r="E27" s="202"/>
      <c r="F27" s="202"/>
      <c r="G27" s="202"/>
      <c r="H27" s="202"/>
      <c r="I27" s="202"/>
      <c r="J27" s="202"/>
    </row>
    <row r="28" spans="1:10" ht="15" customHeight="1" x14ac:dyDescent="0.3">
      <c r="A28" s="202"/>
      <c r="B28" s="202"/>
      <c r="C28" s="202"/>
      <c r="D28" s="202"/>
      <c r="E28" s="202"/>
      <c r="F28" s="202"/>
      <c r="G28" s="202"/>
      <c r="H28" s="202"/>
      <c r="I28" s="202"/>
      <c r="J28" s="202"/>
    </row>
    <row r="29" spans="1:10" ht="15" customHeight="1" x14ac:dyDescent="0.3">
      <c r="A29" s="202"/>
      <c r="B29" s="202"/>
      <c r="C29" s="202"/>
      <c r="D29" s="202"/>
      <c r="E29" s="202"/>
      <c r="F29" s="202"/>
      <c r="G29" s="202"/>
      <c r="H29" s="202"/>
      <c r="I29" s="202"/>
      <c r="J29" s="202"/>
    </row>
  </sheetData>
  <mergeCells count="7">
    <mergeCell ref="A26:J26"/>
    <mergeCell ref="A27:J29"/>
    <mergeCell ref="A1:J1"/>
    <mergeCell ref="A2:J2"/>
    <mergeCell ref="A5:J5"/>
    <mergeCell ref="A10:J10"/>
    <mergeCell ref="A19:D19"/>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53"/>
  <sheetViews>
    <sheetView showGridLines="0" zoomScaleNormal="100" workbookViewId="0">
      <pane xSplit="2" ySplit="6" topLeftCell="C7" activePane="bottomRight" state="frozen"/>
      <selection pane="topRight" activeCell="C1" sqref="C1"/>
      <selection pane="bottomLeft" activeCell="A7" sqref="A7"/>
      <selection pane="bottomRight" sqref="A1:J1"/>
    </sheetView>
  </sheetViews>
  <sheetFormatPr defaultColWidth="8.6640625" defaultRowHeight="14.4" x14ac:dyDescent="0.3"/>
  <cols>
    <col min="1" max="1" width="42" customWidth="1"/>
    <col min="2" max="2" width="11" customWidth="1"/>
    <col min="3" max="3" width="14" customWidth="1"/>
    <col min="8" max="8" width="13.44140625" customWidth="1"/>
  </cols>
  <sheetData>
    <row r="1" spans="1:10" ht="25.5" customHeight="1" x14ac:dyDescent="0.3">
      <c r="A1" s="159" t="s">
        <v>647</v>
      </c>
      <c r="B1" s="159"/>
      <c r="C1" s="159"/>
      <c r="D1" s="159"/>
      <c r="E1" s="159"/>
      <c r="F1" s="159"/>
      <c r="G1" s="159"/>
      <c r="H1" s="159"/>
      <c r="I1" s="159"/>
      <c r="J1" s="159"/>
    </row>
    <row r="2" spans="1:10" ht="15.75" customHeight="1" x14ac:dyDescent="0.3">
      <c r="A2" s="160" t="s">
        <v>725</v>
      </c>
      <c r="B2" s="160"/>
      <c r="C2" s="160"/>
      <c r="D2" s="160"/>
      <c r="E2" s="160"/>
      <c r="F2" s="160"/>
      <c r="G2" s="160"/>
      <c r="H2" s="160"/>
      <c r="I2" s="160"/>
      <c r="J2" s="160"/>
    </row>
    <row r="4" spans="1:10" ht="15.75" customHeight="1" x14ac:dyDescent="0.3">
      <c r="A4" s="74" t="s">
        <v>487</v>
      </c>
      <c r="C4" s="75" t="s">
        <v>491</v>
      </c>
      <c r="D4" s="75" t="s">
        <v>492</v>
      </c>
      <c r="E4" s="75" t="s">
        <v>493</v>
      </c>
      <c r="F4" s="75" t="s">
        <v>494</v>
      </c>
      <c r="G4" s="75" t="s">
        <v>495</v>
      </c>
    </row>
    <row r="5" spans="1:10" ht="15" customHeight="1" x14ac:dyDescent="0.3">
      <c r="A5" s="158" t="s">
        <v>613</v>
      </c>
      <c r="B5" s="158"/>
      <c r="C5" s="158"/>
      <c r="D5" s="158"/>
      <c r="E5" s="158"/>
      <c r="F5" s="158"/>
      <c r="G5" s="158"/>
    </row>
    <row r="6" spans="1:10" ht="15" customHeight="1" x14ac:dyDescent="0.3">
      <c r="A6" s="76" t="s">
        <v>614</v>
      </c>
      <c r="C6" s="125">
        <f>'Income Statement'!F14</f>
        <v>40517.820000000007</v>
      </c>
      <c r="D6" s="125">
        <f>'Income Statement'!G14</f>
        <v>44589.860909999989</v>
      </c>
      <c r="E6" s="125">
        <f>'Income Statement'!H14</f>
        <v>49287.496960799996</v>
      </c>
      <c r="F6" s="125">
        <f>'Income Statement'!I14</f>
        <v>54469.529627372976</v>
      </c>
      <c r="G6" s="125">
        <f>'Income Statement'!J14</f>
        <v>59369.300100702909</v>
      </c>
    </row>
    <row r="7" spans="1:10" ht="15" customHeight="1" x14ac:dyDescent="0.3">
      <c r="A7" s="76" t="s">
        <v>726</v>
      </c>
      <c r="C7" s="125">
        <f>C6*Assumptions!F14</f>
        <v>10939.811400000002</v>
      </c>
      <c r="D7" s="125">
        <f>D6*Assumptions!G14</f>
        <v>12039.262445699998</v>
      </c>
      <c r="E7" s="125">
        <f>E6*Assumptions!H14</f>
        <v>13307.624179416</v>
      </c>
      <c r="F7" s="125">
        <f>F6*Assumptions!I14</f>
        <v>14706.772999390705</v>
      </c>
      <c r="G7" s="125">
        <f>G6*Assumptions!J14</f>
        <v>16029.711027189787</v>
      </c>
    </row>
    <row r="8" spans="1:10" ht="15" customHeight="1" x14ac:dyDescent="0.3">
      <c r="A8" s="81" t="s">
        <v>727</v>
      </c>
      <c r="C8" s="126">
        <f>C6-C7</f>
        <v>29578.008600000005</v>
      </c>
      <c r="D8" s="126">
        <f>D6-D7</f>
        <v>32550.59846429999</v>
      </c>
      <c r="E8" s="126">
        <f>E6-E7</f>
        <v>35979.872781383994</v>
      </c>
      <c r="F8" s="126">
        <f>F6-F7</f>
        <v>39762.756627982271</v>
      </c>
      <c r="G8" s="126">
        <f>G6-G7</f>
        <v>43339.589073513125</v>
      </c>
    </row>
    <row r="9" spans="1:10" ht="15" customHeight="1" x14ac:dyDescent="0.3">
      <c r="A9" s="76" t="s">
        <v>590</v>
      </c>
      <c r="C9" s="125">
        <f>'Income Statement'!F10</f>
        <v>5209.4340000000002</v>
      </c>
      <c r="D9" s="125">
        <f>'Income Statement'!G10</f>
        <v>5652.2358899999999</v>
      </c>
      <c r="E9" s="125">
        <f>'Income Statement'!H10</f>
        <v>6160.9371201000004</v>
      </c>
      <c r="F9" s="125">
        <f>'Income Statement'!I10</f>
        <v>6715.4214609090004</v>
      </c>
      <c r="G9" s="125">
        <f>'Income Statement'!J10</f>
        <v>7286.2322850862656</v>
      </c>
    </row>
    <row r="10" spans="1:10" ht="15" customHeight="1" x14ac:dyDescent="0.3">
      <c r="A10" s="76" t="s">
        <v>597</v>
      </c>
      <c r="C10" s="125">
        <f>'WC &amp; PPE Schedule'!F15</f>
        <v>2894.13</v>
      </c>
      <c r="D10" s="125">
        <f>'WC &amp; PPE Schedule'!G15</f>
        <v>3140.13105</v>
      </c>
      <c r="E10" s="125">
        <f>'WC &amp; PPE Schedule'!H15</f>
        <v>3422.7428445</v>
      </c>
      <c r="F10" s="125">
        <f>'WC &amp; PPE Schedule'!I15</f>
        <v>3730.7897005050004</v>
      </c>
      <c r="G10" s="125">
        <f>'WC &amp; PPE Schedule'!J15</f>
        <v>4047.9068250479254</v>
      </c>
    </row>
    <row r="11" spans="1:10" ht="15" customHeight="1" x14ac:dyDescent="0.3">
      <c r="A11" s="76" t="s">
        <v>594</v>
      </c>
      <c r="C11" s="125">
        <f>'WC &amp; PPE Schedule'!F11</f>
        <v>-1756.8854794520448</v>
      </c>
      <c r="D11" s="125">
        <f>'WC &amp; PPE Schedule'!G11</f>
        <v>-1779.2952657534333</v>
      </c>
      <c r="E11" s="125">
        <f>'WC &amp; PPE Schedule'!H11</f>
        <v>-2044.0962670685039</v>
      </c>
      <c r="F11" s="125">
        <f>'WC &amp; PPE Schedule'!I11</f>
        <v>-2228.0649311046509</v>
      </c>
      <c r="G11" s="125">
        <f>'WC &amp; PPE Schedule'!J11</f>
        <v>-2293.6690651871904</v>
      </c>
    </row>
    <row r="12" spans="1:10" ht="15" customHeight="1" x14ac:dyDescent="0.3">
      <c r="A12" s="81" t="s">
        <v>728</v>
      </c>
      <c r="C12" s="133">
        <f>C8+C9-C10+C11</f>
        <v>30136.427120547956</v>
      </c>
      <c r="D12" s="133">
        <f>D8+D9-D10+D11</f>
        <v>33283.408038546564</v>
      </c>
      <c r="E12" s="133">
        <f>E8+E9-E10+E11</f>
        <v>36673.970789915496</v>
      </c>
      <c r="F12" s="133">
        <f>F8+F9-F10+F11</f>
        <v>40519.323457281615</v>
      </c>
      <c r="G12" s="133">
        <f>G8+G9-G10+G11</f>
        <v>44284.245468364279</v>
      </c>
    </row>
    <row r="14" spans="1:10" ht="15" customHeight="1" x14ac:dyDescent="0.3">
      <c r="A14" s="158" t="s">
        <v>621</v>
      </c>
      <c r="B14" s="158"/>
      <c r="C14" s="158"/>
      <c r="D14" s="158"/>
      <c r="E14" s="158"/>
      <c r="F14" s="158"/>
      <c r="G14" s="158"/>
    </row>
    <row r="15" spans="1:10" ht="15" customHeight="1" x14ac:dyDescent="0.3">
      <c r="A15" s="76" t="s">
        <v>729</v>
      </c>
      <c r="C15" s="109">
        <v>1</v>
      </c>
      <c r="D15" s="109">
        <v>2</v>
      </c>
      <c r="E15" s="109">
        <v>3</v>
      </c>
      <c r="F15" s="109">
        <v>4</v>
      </c>
      <c r="G15" s="109">
        <v>5</v>
      </c>
    </row>
    <row r="16" spans="1:10" ht="15" customHeight="1" x14ac:dyDescent="0.3">
      <c r="A16" s="76" t="s">
        <v>730</v>
      </c>
      <c r="C16" s="110">
        <f>1/(1+Assumptions!$D$39)^C15</f>
        <v>0.88471252237215836</v>
      </c>
      <c r="D16" s="110">
        <f>1/(1+Assumptions!$D$39)^D15</f>
        <v>0.78271624724210676</v>
      </c>
      <c r="E16" s="110">
        <f>1/(1+Assumptions!$D$39)^E15</f>
        <v>0.6924788653992342</v>
      </c>
      <c r="F16" s="110">
        <f>1/(1+Assumptions!$D$39)^F15</f>
        <v>0.6126447236967667</v>
      </c>
      <c r="G16" s="110">
        <f>1/(1+Assumptions!$D$39)^G15</f>
        <v>0.54201445881976051</v>
      </c>
    </row>
    <row r="17" spans="1:7" ht="15" customHeight="1" x14ac:dyDescent="0.3">
      <c r="A17" s="81" t="s">
        <v>731</v>
      </c>
      <c r="C17" s="127">
        <f>C12*C16</f>
        <v>26662.074453104702</v>
      </c>
      <c r="D17" s="127">
        <f>D12*D16</f>
        <v>26051.464235358937</v>
      </c>
      <c r="E17" s="127">
        <f>E12*E16</f>
        <v>25395.94968228534</v>
      </c>
      <c r="F17" s="127">
        <f>F12*F16</f>
        <v>24823.949723866212</v>
      </c>
      <c r="G17" s="127">
        <f>G12*G16</f>
        <v>24002.701341776898</v>
      </c>
    </row>
    <row r="19" spans="1:7" ht="15" customHeight="1" x14ac:dyDescent="0.3">
      <c r="A19" s="158" t="s">
        <v>625</v>
      </c>
      <c r="B19" s="158"/>
      <c r="C19" s="158"/>
      <c r="D19" s="158"/>
    </row>
    <row r="20" spans="1:7" ht="15" customHeight="1" x14ac:dyDescent="0.3">
      <c r="A20" s="76" t="s">
        <v>626</v>
      </c>
      <c r="D20" s="132">
        <f>G12</f>
        <v>44284.245468364279</v>
      </c>
    </row>
    <row r="21" spans="1:7" ht="15" customHeight="1" x14ac:dyDescent="0.3">
      <c r="A21" s="76" t="s">
        <v>732</v>
      </c>
      <c r="D21" s="123">
        <f>D20*(1+Assumptions!$D$42)/(Assumptions!$D$39-Assumptions!$D$42)</f>
        <v>578982.34826155717</v>
      </c>
    </row>
    <row r="22" spans="1:7" ht="15" customHeight="1" x14ac:dyDescent="0.3">
      <c r="A22" s="76" t="s">
        <v>628</v>
      </c>
      <c r="D22" s="138">
        <f>G16</f>
        <v>0.54201445881976051</v>
      </c>
    </row>
    <row r="23" spans="1:7" ht="15" customHeight="1" x14ac:dyDescent="0.3">
      <c r="A23" s="81" t="s">
        <v>733</v>
      </c>
      <c r="D23" s="127">
        <f>D21*D22</f>
        <v>313816.80415918201</v>
      </c>
    </row>
    <row r="25" spans="1:7" ht="15" customHeight="1" x14ac:dyDescent="0.3">
      <c r="A25" s="158" t="s">
        <v>630</v>
      </c>
      <c r="B25" s="158"/>
      <c r="C25" s="158"/>
      <c r="D25" s="158"/>
    </row>
    <row r="26" spans="1:7" ht="15" customHeight="1" x14ac:dyDescent="0.3">
      <c r="A26" s="76" t="s">
        <v>734</v>
      </c>
      <c r="D26" s="128">
        <f>SUM(C17:G17)</f>
        <v>126936.13943639208</v>
      </c>
    </row>
    <row r="27" spans="1:7" ht="15" customHeight="1" x14ac:dyDescent="0.3">
      <c r="A27" s="76" t="s">
        <v>632</v>
      </c>
      <c r="D27" s="128">
        <f>D23</f>
        <v>313816.80415918201</v>
      </c>
    </row>
    <row r="28" spans="1:7" ht="15" customHeight="1" x14ac:dyDescent="0.3">
      <c r="A28" s="81" t="s">
        <v>633</v>
      </c>
      <c r="D28" s="133">
        <f>D26+D27</f>
        <v>440752.94359557412</v>
      </c>
    </row>
    <row r="29" spans="1:7" ht="15" customHeight="1" x14ac:dyDescent="0.3">
      <c r="A29" s="97" t="s">
        <v>735</v>
      </c>
      <c r="D29" s="78">
        <f>D27/D28</f>
        <v>0.71200160706614335</v>
      </c>
    </row>
    <row r="31" spans="1:7" ht="15" customHeight="1" x14ac:dyDescent="0.3">
      <c r="A31" s="76" t="s">
        <v>736</v>
      </c>
      <c r="D31" s="125">
        <f>'Capital Structure'!$E$16</f>
        <v>62747</v>
      </c>
    </row>
    <row r="32" spans="1:7" ht="15" customHeight="1" x14ac:dyDescent="0.3">
      <c r="A32" s="76" t="s">
        <v>737</v>
      </c>
      <c r="D32" s="125">
        <f>'Capital Structure'!$E$8</f>
        <v>9176</v>
      </c>
    </row>
    <row r="33" spans="1:7" ht="15" customHeight="1" x14ac:dyDescent="0.3">
      <c r="A33" s="76" t="s">
        <v>738</v>
      </c>
      <c r="D33" s="125">
        <f>'Balance Sheet'!$E$29</f>
        <v>445</v>
      </c>
    </row>
    <row r="34" spans="1:7" ht="15" customHeight="1" x14ac:dyDescent="0.3">
      <c r="A34" s="81" t="s">
        <v>638</v>
      </c>
      <c r="D34" s="133">
        <f>D28+D31-D32-D33</f>
        <v>493878.94359557412</v>
      </c>
    </row>
    <row r="36" spans="1:7" ht="15" customHeight="1" x14ac:dyDescent="0.3">
      <c r="A36" s="76" t="s">
        <v>639</v>
      </c>
      <c r="D36" s="139">
        <f>Assumptions!$D$47</f>
        <v>404.8</v>
      </c>
    </row>
    <row r="37" spans="1:7" ht="15.75" customHeight="1" x14ac:dyDescent="0.3">
      <c r="A37" s="81" t="s">
        <v>739</v>
      </c>
      <c r="D37" s="140">
        <f>D34/D36</f>
        <v>1220.0566788428214</v>
      </c>
    </row>
    <row r="39" spans="1:7" ht="15" customHeight="1" x14ac:dyDescent="0.3">
      <c r="A39" s="158" t="s">
        <v>740</v>
      </c>
      <c r="B39" s="158"/>
      <c r="C39" s="158"/>
      <c r="D39" s="158"/>
    </row>
    <row r="40" spans="1:7" ht="15" customHeight="1" x14ac:dyDescent="0.3">
      <c r="A40" s="76" t="s">
        <v>741</v>
      </c>
      <c r="D40" s="141">
        <f>Assumptions!$D$46</f>
        <v>1190</v>
      </c>
    </row>
    <row r="41" spans="1:7" ht="15" customHeight="1" x14ac:dyDescent="0.3">
      <c r="A41" s="81" t="s">
        <v>742</v>
      </c>
      <c r="D41" s="142">
        <f>D37/D40-1</f>
        <v>2.5257713313295183E-2</v>
      </c>
    </row>
    <row r="42" spans="1:7" ht="15" customHeight="1" x14ac:dyDescent="0.3">
      <c r="A42" s="81" t="s">
        <v>220</v>
      </c>
      <c r="D42" s="116" t="str">
        <f>IF(D41&gt;0.15,"UNDERVALUED",IF(D41&lt;-0.15,"OVERVALUED","FAIRLY VALUED"))</f>
        <v>FAIRLY VALUED</v>
      </c>
    </row>
    <row r="44" spans="1:7" ht="15" customHeight="1" x14ac:dyDescent="0.3">
      <c r="A44" s="158" t="s">
        <v>743</v>
      </c>
      <c r="B44" s="158"/>
      <c r="C44" s="158"/>
      <c r="D44" s="158"/>
      <c r="E44" s="158"/>
      <c r="F44" s="158"/>
      <c r="G44" s="158"/>
    </row>
    <row r="45" spans="1:7" ht="15" customHeight="1" x14ac:dyDescent="0.3">
      <c r="A45" s="203" t="s">
        <v>744</v>
      </c>
      <c r="B45" s="203"/>
      <c r="C45" s="203"/>
      <c r="D45" s="203"/>
      <c r="E45" s="203"/>
      <c r="F45" s="203"/>
      <c r="G45" s="203"/>
    </row>
    <row r="46" spans="1:7" ht="15" customHeight="1" x14ac:dyDescent="0.3">
      <c r="B46" s="77" t="s">
        <v>645</v>
      </c>
      <c r="C46" s="117">
        <f>Assumptions!$D$42+(-0.01)</f>
        <v>0.04</v>
      </c>
      <c r="D46" s="117">
        <f>Assumptions!$D$42+(-0.005)</f>
        <v>4.5000000000000005E-2</v>
      </c>
      <c r="E46" s="117">
        <f>Assumptions!$D$42+(0)</f>
        <v>0.05</v>
      </c>
      <c r="F46" s="117">
        <f>Assumptions!$D$42+(0.005)</f>
        <v>5.5E-2</v>
      </c>
      <c r="G46" s="117">
        <f>Assumptions!$D$42+(0.01)</f>
        <v>6.0000000000000005E-2</v>
      </c>
    </row>
    <row r="47" spans="1:7" ht="15" customHeight="1" x14ac:dyDescent="0.3">
      <c r="B47" s="117">
        <f>Assumptions!$D$39+(-0.01)</f>
        <v>0.12031066556933558</v>
      </c>
      <c r="C47" s="118">
        <f>((C12/(1+$B47)^1+D12/(1+$B47)^2+E12/(1+$B47)^3+F12/(1+$B47)^4+G12/(1+$B47)^5+(G12*(1+C$46)/($B47-C$46))/(1+$B47)^5)+'Capital Structure'!$E$16-'Capital Structure'!$E$8-'Balance Sheet'!$E$29)/Assumptions!$D$47</f>
        <v>1255.910543594174</v>
      </c>
      <c r="D47" s="118">
        <f>((C12/(1+$B47)^1+D12/(1+$B47)^2+E12/(1+$B47)^3+F12/(1+$B47)^4+G12/(1+$B47)^5+(G12*(1+D$46)/($B47-D$46))/(1+$B47)^5)+'Capital Structure'!$E$16-'Capital Structure'!$E$8-'Balance Sheet'!$E$29)/Assumptions!$D$47</f>
        <v>1313.3215495718368</v>
      </c>
      <c r="E47" s="118">
        <f>((C12/(1+$B47)^1+D12/(1+$B47)^2+E12/(1+$B47)^3+F12/(1+$B47)^4+G12/(1+$B47)^5+(G12*(1+E$46)/($B47-E$46))/(1+$B47)^5)+'Capital Structure'!$E$16-'Capital Structure'!$E$8-'Balance Sheet'!$E$29)/Assumptions!$D$47</f>
        <v>1378.8978894306085</v>
      </c>
      <c r="F47" s="118">
        <f>((C12/(1+$B47)^1+D12/(1+$B47)^2+E12/(1+$B47)^3+F12/(1+$B47)^4+G12/(1+$B47)^5+(G12*(1+F$46)/($B47-F$46))/(1+$B47)^5)+'Capital Structure'!$E$16-'Capital Structure'!$E$8-'Balance Sheet'!$E$29)/Assumptions!$D$47</f>
        <v>1454.5149078350848</v>
      </c>
      <c r="G47" s="118">
        <f>((C12/(1+$B47)^1+D12/(1+$B47)^2+E12/(1+$B47)^3+F12/(1+$B47)^4+G12/(1+$B47)^5+(G12*(1+G$46)/($B47-G$46))/(1+$B47)^5)+'Capital Structure'!$E$16-'Capital Structure'!$E$8-'Balance Sheet'!$E$29)/Assumptions!$D$47</f>
        <v>1542.6698443160153</v>
      </c>
    </row>
    <row r="48" spans="1:7" ht="15" customHeight="1" x14ac:dyDescent="0.3">
      <c r="B48" s="117">
        <f>Assumptions!$D$39+(-0.005)</f>
        <v>0.12531066556933557</v>
      </c>
      <c r="C48" s="118">
        <f>((C12/(1+$B48)^1+D12/(1+$B48)^2+E12/(1+$B48)^3+F12/(1+$B48)^4+G12/(1+$B48)^5+(G12*(1+C$46)/($B48-C$46))/(1+$B48)^5)+'Capital Structure'!$E$16-'Capital Structure'!$E$8-'Balance Sheet'!$E$29)/Assumptions!$D$47</f>
        <v>1188.0042910341188</v>
      </c>
      <c r="D48" s="118">
        <f>((C12/(1+$B48)^1+D12/(1+$B48)^2+E12/(1+$B48)^3+F12/(1+$B48)^4+G12/(1+$B48)^5+(G12*(1+D$46)/($B48-D$46))/(1+$B48)^5)+'Capital Structure'!$E$16-'Capital Structure'!$E$8-'Balance Sheet'!$E$29)/Assumptions!$D$47</f>
        <v>1237.7908893799536</v>
      </c>
      <c r="E48" s="118">
        <f>((C12/(1+$B48)^1+D12/(1+$B48)^2+E12/(1+$B48)^3+F12/(1+$B48)^4+G12/(1+$B48)^5+(G12*(1+E$46)/($B48-E$46))/(1+$B48)^5)+'Capital Structure'!$E$16-'Capital Structure'!$E$8-'Balance Sheet'!$E$29)/Assumptions!$D$47</f>
        <v>1294.1883174096661</v>
      </c>
      <c r="F48" s="118">
        <f>((C12/(1+$B48)^1+D12/(1+$B48)^2+E12/(1+$B48)^3+F12/(1+$B48)^4+G12/(1+$B48)^5+(G12*(1+F$46)/($B48-F$46))/(1+$B48)^5)+'Capital Structure'!$E$16-'Capital Structure'!$E$8-'Balance Sheet'!$E$29)/Assumptions!$D$47</f>
        <v>1358.6069222513229</v>
      </c>
      <c r="G48" s="118">
        <f>((C12/(1+$B48)^1+D12/(1+$B48)^2+E12/(1+$B48)^3+F12/(1+$B48)^4+G12/(1+$B48)^5+(G12*(1+G$46)/($B48-G$46))/(1+$B48)^5)+'Capital Structure'!$E$16-'Capital Structure'!$E$8-'Balance Sheet'!$E$29)/Assumptions!$D$47</f>
        <v>1432.8889397959583</v>
      </c>
    </row>
    <row r="49" spans="1:7" ht="15" customHeight="1" x14ac:dyDescent="0.3">
      <c r="B49" s="117">
        <f>Assumptions!$D$39+(0)</f>
        <v>0.13031066556933557</v>
      </c>
      <c r="C49" s="118">
        <f>((C12/(1+$B49)^1+D12/(1+$B49)^2+E12/(1+$B49)^3+F12/(1+$B49)^4+G12/(1+$B49)^5+(G12*(1+C$46)/($B49-C$46))/(1+$B49)^5)+'Capital Structure'!$E$16-'Capital Structure'!$E$8-'Balance Sheet'!$E$29)/Assumptions!$D$47</f>
        <v>1127.6496141541793</v>
      </c>
      <c r="D49" s="118">
        <f>((C12/(1+$B49)^1+D12/(1+$B49)^2+E12/(1+$B49)^3+F12/(1+$B49)^4+G12/(1+$B49)^5+(G12*(1+D$46)/($B49-D$46))/(1+$B49)^5)+'Capital Structure'!$E$16-'Capital Structure'!$E$8-'Balance Sheet'!$E$29)/Assumptions!$D$47</f>
        <v>1171.145188939151</v>
      </c>
      <c r="E49" s="119">
        <f>((C12/(1+$B49)^1+D12/(1+$B49)^2+E12/(1+$B49)^3+F12/(1+$B49)^4+G12/(1+$B49)^5+(G12*(1+E$46)/($B49-E$46))/(1+$B49)^5)+'Capital Structure'!$E$16-'Capital Structure'!$E$8-'Balance Sheet'!$E$29)/Assumptions!$D$47</f>
        <v>1220.0566788428214</v>
      </c>
      <c r="F49" s="118">
        <f>((C12/(1+$B49)^1+D12/(1+$B49)^2+E12/(1+$B49)^3+F12/(1+$B49)^4+G12/(1+$B49)^5+(G12*(1+F$46)/($B49-F$46))/(1+$B49)^5)+'Capital Structure'!$E$16-'Capital Structure'!$E$8-'Balance Sheet'!$E$29)/Assumptions!$D$47</f>
        <v>1275.4627986284488</v>
      </c>
      <c r="G49" s="118">
        <f>((C12/(1+$B49)^1+D12/(1+$B49)^2+E12/(1+$B49)^3+F12/(1+$B49)^4+G12/(1+$B49)^5+(G12*(1+G$46)/($B49-G$46))/(1+$B49)^5)+'Capital Structure'!$E$16-'Capital Structure'!$E$8-'Balance Sheet'!$E$29)/Assumptions!$D$47</f>
        <v>1338.7491054862626</v>
      </c>
    </row>
    <row r="50" spans="1:7" ht="15" customHeight="1" x14ac:dyDescent="0.3">
      <c r="B50" s="117">
        <f>Assumptions!$D$39+(0.005)</f>
        <v>0.13531066556933558</v>
      </c>
      <c r="C50" s="118">
        <f>((C12/(1+$B50)^1+D12/(1+$B50)^2+E12/(1+$B50)^3+F12/(1+$B50)^4+G12/(1+$B50)^5+(G12*(1+C$46)/($B50-C$46))/(1+$B50)^5)+'Capital Structure'!$E$16-'Capital Structure'!$E$8-'Balance Sheet'!$E$29)/Assumptions!$D$47</f>
        <v>1073.6573503727329</v>
      </c>
      <c r="D50" s="118">
        <f>((C12/(1+$B50)^1+D12/(1+$B50)^2+E12/(1+$B50)^3+F12/(1+$B50)^4+G12/(1+$B50)^5+(G12*(1+D$46)/($B50-D$46))/(1+$B50)^5)+'Capital Structure'!$E$16-'Capital Structure'!$E$8-'Balance Sheet'!$E$29)/Assumptions!$D$47</f>
        <v>1111.9080456276067</v>
      </c>
      <c r="E50" s="118">
        <f>((C12/(1+$B50)^1+D12/(1+$B50)^2+E12/(1+$B50)^3+F12/(1+$B50)^4+G12/(1+$B50)^5+(G12*(1+E$46)/($B50-E$46))/(1+$B50)^5)+'Capital Structure'!$E$16-'Capital Structure'!$E$8-'Balance Sheet'!$E$29)/Assumptions!$D$47</f>
        <v>1154.6424352716406</v>
      </c>
      <c r="F50" s="118">
        <f>((C12/(1+$B50)^1+D12/(1+$B50)^2+E12/(1+$B50)^3+F12/(1+$B50)^4+G12/(1+$B50)^5+(G12*(1+F$46)/($B50-F$46))/(1+$B50)^5)+'Capital Structure'!$E$16-'Capital Structure'!$E$8-'Balance Sheet'!$E$29)/Assumptions!$D$47</f>
        <v>1202.6979599531048</v>
      </c>
      <c r="G50" s="118">
        <f>((C12/(1+$B50)^1+D12/(1+$B50)^2+E12/(1+$B50)^3+F12/(1+$B50)^4+G12/(1+$B50)^5+(G12*(1+G$46)/($B50-G$46))/(1+$B50)^5)+'Capital Structure'!$E$16-'Capital Structure'!$E$8-'Balance Sheet'!$E$29)/Assumptions!$D$47</f>
        <v>1257.1344566148553</v>
      </c>
    </row>
    <row r="51" spans="1:7" ht="15" customHeight="1" x14ac:dyDescent="0.3">
      <c r="B51" s="117">
        <f>Assumptions!$D$39+(0.01)</f>
        <v>0.14031066556933558</v>
      </c>
      <c r="C51" s="118">
        <f>((C12/(1+$B51)^1+D12/(1+$B51)^2+E12/(1+$B51)^3+F12/(1+$B51)^4+G12/(1+$B51)^5+(G12*(1+C$46)/($B51-C$46))/(1+$B51)^5)+'Capital Structure'!$E$16-'Capital Structure'!$E$8-'Balance Sheet'!$E$29)/Assumptions!$D$47</f>
        <v>1025.0754512614758</v>
      </c>
      <c r="D51" s="118">
        <f>((C12/(1+$B51)^1+D12/(1+$B51)^2+E12/(1+$B51)^3+F12/(1+$B51)^4+G12/(1+$B51)^5+(G12*(1+D$46)/($B51-D$46))/(1+$B51)^5)+'Capital Structure'!$E$16-'Capital Structure'!$E$8-'Balance Sheet'!$E$29)/Assumptions!$D$47</f>
        <v>1058.9128827958302</v>
      </c>
      <c r="E51" s="118">
        <f>((C12/(1+$B51)^1+D12/(1+$B51)^2+E12/(1+$B51)^3+F12/(1+$B51)^4+G12/(1+$B51)^5+(G12*(1+E$46)/($B51-E$46))/(1+$B51)^5)+'Capital Structure'!$E$16-'Capital Structure'!$E$8-'Balance Sheet'!$E$29)/Assumptions!$D$47</f>
        <v>1096.4970956567352</v>
      </c>
      <c r="F51" s="118">
        <f>((C12/(1+$B51)^1+D12/(1+$B51)^2+E12/(1+$B51)^3+F12/(1+$B51)^4+G12/(1+$B51)^5+(G12*(1+F$46)/($B51-F$46))/(1+$B51)^5)+'Capital Structure'!$E$16-'Capital Structure'!$E$8-'Balance Sheet'!$E$29)/Assumptions!$D$47</f>
        <v>1138.4868787485229</v>
      </c>
      <c r="G51" s="118">
        <f>((C12/(1+$B51)^1+D12/(1+$B51)^2+E12/(1+$B51)^3+F12/(1+$B51)^4+G12/(1+$B51)^5+(G12*(1+G$46)/($B51-G$46))/(1+$B51)^5)+'Capital Structure'!$E$16-'Capital Structure'!$E$8-'Balance Sheet'!$E$29)/Assumptions!$D$47</f>
        <v>1185.7050811036943</v>
      </c>
    </row>
    <row r="53" spans="1:7" ht="45.75" customHeight="1" x14ac:dyDescent="0.3">
      <c r="A53" s="120" t="s">
        <v>745</v>
      </c>
    </row>
  </sheetData>
  <mergeCells count="9">
    <mergeCell ref="A25:D25"/>
    <mergeCell ref="A39:D39"/>
    <mergeCell ref="A44:G44"/>
    <mergeCell ref="A45:G45"/>
    <mergeCell ref="A1:J1"/>
    <mergeCell ref="A2:J2"/>
    <mergeCell ref="A5:G5"/>
    <mergeCell ref="A14:G14"/>
    <mergeCell ref="A19:D19"/>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32"/>
  <sheetViews>
    <sheetView showGridLines="0" zoomScaleNormal="100" workbookViewId="0">
      <pane xSplit="2" ySplit="5" topLeftCell="C6" activePane="bottomRight" state="frozen"/>
      <selection pane="topRight" activeCell="C1" sqref="C1"/>
      <selection pane="bottomLeft" activeCell="A6" sqref="A6"/>
      <selection pane="bottomRight" sqref="A1:J1"/>
    </sheetView>
  </sheetViews>
  <sheetFormatPr defaultColWidth="8.6640625" defaultRowHeight="14.4" x14ac:dyDescent="0.3"/>
  <cols>
    <col min="1" max="1" width="42" customWidth="1"/>
    <col min="2" max="2" width="3" customWidth="1"/>
    <col min="3" max="3" width="13.44140625" customWidth="1"/>
  </cols>
  <sheetData>
    <row r="1" spans="1:12" ht="25.5" customHeight="1" x14ac:dyDescent="0.3">
      <c r="A1" s="159" t="s">
        <v>647</v>
      </c>
      <c r="B1" s="159"/>
      <c r="C1" s="159"/>
      <c r="D1" s="159"/>
      <c r="E1" s="159"/>
      <c r="F1" s="159"/>
      <c r="G1" s="159"/>
      <c r="H1" s="159"/>
      <c r="I1" s="159"/>
      <c r="J1" s="159"/>
    </row>
    <row r="2" spans="1:12" ht="15.75" customHeight="1" x14ac:dyDescent="0.3">
      <c r="A2" s="160" t="s">
        <v>746</v>
      </c>
      <c r="B2" s="160"/>
      <c r="C2" s="160"/>
      <c r="D2" s="160"/>
      <c r="E2" s="160"/>
      <c r="F2" s="160"/>
      <c r="G2" s="160"/>
      <c r="H2" s="160"/>
      <c r="I2" s="160"/>
      <c r="J2" s="160"/>
    </row>
    <row r="4" spans="1:12" ht="3.75" customHeight="1" x14ac:dyDescent="0.3"/>
    <row r="5" spans="1:12" ht="18" customHeight="1" x14ac:dyDescent="0.3">
      <c r="A5" s="204" t="s">
        <v>747</v>
      </c>
      <c r="B5" s="204"/>
      <c r="C5" s="204" t="s">
        <v>748</v>
      </c>
      <c r="D5" s="204"/>
      <c r="E5" s="204" t="s">
        <v>476</v>
      </c>
      <c r="F5" s="204"/>
      <c r="G5" s="204" t="s">
        <v>477</v>
      </c>
      <c r="H5" s="204"/>
      <c r="I5" s="204" t="s">
        <v>478</v>
      </c>
      <c r="J5" s="204"/>
      <c r="K5" s="204" t="s">
        <v>749</v>
      </c>
      <c r="L5" s="204"/>
    </row>
    <row r="6" spans="1:12" ht="27.75" customHeight="1" x14ac:dyDescent="0.3">
      <c r="A6" s="205">
        <f>'DCF Valuation'!D37</f>
        <v>1220.0566788428214</v>
      </c>
      <c r="B6" s="205"/>
      <c r="C6" s="205">
        <f>'DCF Valuation'!D40</f>
        <v>1190</v>
      </c>
      <c r="D6" s="205"/>
      <c r="E6" s="206">
        <f>'DCF Valuation'!D41</f>
        <v>2.5257713313295183E-2</v>
      </c>
      <c r="F6" s="206"/>
      <c r="G6" s="207">
        <f>Assumptions!D39</f>
        <v>0.13031066556933557</v>
      </c>
      <c r="H6" s="207"/>
      <c r="I6" s="207">
        <f>Assumptions!D42</f>
        <v>0.05</v>
      </c>
      <c r="J6" s="207"/>
      <c r="K6" s="208">
        <f>'DCF Valuation'!D28</f>
        <v>440752.94359557412</v>
      </c>
      <c r="L6" s="208"/>
    </row>
    <row r="9" spans="1:12" ht="15" customHeight="1" x14ac:dyDescent="0.3">
      <c r="A9" s="158" t="s">
        <v>750</v>
      </c>
      <c r="B9" s="158"/>
      <c r="C9" s="158"/>
      <c r="D9" s="158"/>
      <c r="E9" s="158"/>
      <c r="F9" s="158"/>
      <c r="G9" s="158"/>
      <c r="H9" s="158"/>
      <c r="I9" s="158"/>
      <c r="J9" s="158"/>
    </row>
    <row r="10" spans="1:12" ht="15.75" customHeight="1" x14ac:dyDescent="0.3">
      <c r="A10" s="74" t="s">
        <v>487</v>
      </c>
      <c r="C10" s="75" t="s">
        <v>488</v>
      </c>
      <c r="D10" s="75" t="s">
        <v>489</v>
      </c>
      <c r="E10" s="75" t="s">
        <v>490</v>
      </c>
      <c r="F10" s="75" t="s">
        <v>491</v>
      </c>
      <c r="G10" s="75" t="s">
        <v>492</v>
      </c>
      <c r="H10" s="75" t="s">
        <v>493</v>
      </c>
      <c r="I10" s="75" t="s">
        <v>494</v>
      </c>
      <c r="J10" s="75" t="s">
        <v>495</v>
      </c>
    </row>
    <row r="11" spans="1:12" ht="15" customHeight="1" x14ac:dyDescent="0.3">
      <c r="A11" s="76" t="s">
        <v>751</v>
      </c>
      <c r="C11" s="125">
        <f>'Income Statement'!C5</f>
        <v>153670</v>
      </c>
      <c r="D11" s="125">
        <f>'Income Statement'!D5</f>
        <v>162990</v>
      </c>
      <c r="E11" s="125">
        <f>'Income Statement'!E5</f>
        <v>178650</v>
      </c>
      <c r="F11" s="125">
        <f>'Income Statement'!F5</f>
        <v>192942</v>
      </c>
      <c r="G11" s="125">
        <f>'Income Statement'!G5</f>
        <v>209342.07</v>
      </c>
      <c r="H11" s="125">
        <f>'Income Statement'!H5</f>
        <v>228182.85630000001</v>
      </c>
      <c r="I11" s="125">
        <f>'Income Statement'!I5</f>
        <v>248719.31336700002</v>
      </c>
      <c r="J11" s="125">
        <f>'Income Statement'!J5</f>
        <v>269860.45500319503</v>
      </c>
    </row>
    <row r="12" spans="1:12" ht="15" customHeight="1" x14ac:dyDescent="0.3">
      <c r="A12" s="76" t="s">
        <v>752</v>
      </c>
      <c r="C12" s="90">
        <f>'Income Statement'!C15</f>
        <v>0.20659204789483959</v>
      </c>
      <c r="D12" s="90">
        <f>'Income Statement'!D15</f>
        <v>0.21120314129701209</v>
      </c>
      <c r="E12" s="90">
        <f>'Income Statement'!E15</f>
        <v>0.20922474111390987</v>
      </c>
      <c r="F12" s="90">
        <f>'Income Statement'!F15</f>
        <v>0.21000000000000005</v>
      </c>
      <c r="G12" s="90">
        <f>'Income Statement'!G15</f>
        <v>0.21299999999999994</v>
      </c>
      <c r="H12" s="90">
        <f>'Income Statement'!H15</f>
        <v>0.21599999999999997</v>
      </c>
      <c r="I12" s="90">
        <f>'Income Statement'!I15</f>
        <v>0.21899999999999989</v>
      </c>
      <c r="J12" s="90">
        <f>'Income Statement'!J15</f>
        <v>0.22</v>
      </c>
    </row>
    <row r="13" spans="1:12" ht="15" customHeight="1" x14ac:dyDescent="0.3">
      <c r="A13" s="76" t="s">
        <v>753</v>
      </c>
      <c r="C13" s="125">
        <f>'Income Statement'!C28</f>
        <v>26233</v>
      </c>
      <c r="D13" s="125">
        <f>'Income Statement'!D28</f>
        <v>26713</v>
      </c>
      <c r="E13" s="125">
        <f>'Income Statement'!E28</f>
        <v>29440</v>
      </c>
      <c r="F13" s="125">
        <f>'Income Statement'!F28</f>
        <v>32282.516070639005</v>
      </c>
      <c r="G13" s="125">
        <f>'Income Statement'!G28</f>
        <v>35484.393073070016</v>
      </c>
      <c r="H13" s="125">
        <f>'Income Statement'!H28</f>
        <v>39177.059268351441</v>
      </c>
      <c r="I13" s="125">
        <f>'Income Statement'!I28</f>
        <v>43246.981794891624</v>
      </c>
      <c r="J13" s="125">
        <f>'Income Statement'!J28</f>
        <v>47119.717282037971</v>
      </c>
    </row>
    <row r="14" spans="1:12" ht="15" customHeight="1" x14ac:dyDescent="0.3">
      <c r="A14" s="76" t="s">
        <v>754</v>
      </c>
      <c r="C14" s="125">
        <f>'Cash Flow'!C31</f>
        <v>23009</v>
      </c>
      <c r="D14" s="125">
        <f>'Cash Flow'!D31</f>
        <v>33457</v>
      </c>
      <c r="E14" s="125">
        <f>'Cash Flow'!E31</f>
        <v>31259</v>
      </c>
      <c r="F14" s="125">
        <f>'Cash Flow'!F31</f>
        <v>28638.232490547958</v>
      </c>
      <c r="G14" s="125">
        <f>'Cash Flow'!G31</f>
        <v>31657.866864996551</v>
      </c>
      <c r="H14" s="125">
        <f>'Cash Flow'!H31</f>
        <v>34902.130910745997</v>
      </c>
      <c r="I14" s="125">
        <f>'Cash Flow'!I31</f>
        <v>38588.01798898686</v>
      </c>
      <c r="J14" s="125">
        <f>'Cash Flow'!J31</f>
        <v>42188.779035264466</v>
      </c>
    </row>
    <row r="15" spans="1:12" ht="15" customHeight="1" x14ac:dyDescent="0.3">
      <c r="A15" s="76" t="s">
        <v>755</v>
      </c>
      <c r="C15" s="125">
        <f>'Cash Flow'!C28</f>
        <v>14786</v>
      </c>
      <c r="D15" s="125">
        <f>'Cash Flow'!D28</f>
        <v>24455</v>
      </c>
      <c r="E15" s="125">
        <f>'Cash Flow'!E28</f>
        <v>22201</v>
      </c>
      <c r="F15" s="125">
        <f>'Cash Flow'!F28</f>
        <v>30741.458873582193</v>
      </c>
      <c r="G15" s="125">
        <f>'Cash Flow'!G28</f>
        <v>40095.664443331683</v>
      </c>
      <c r="H15" s="125">
        <f>'Cash Flow'!H28</f>
        <v>50351.006918543579</v>
      </c>
      <c r="I15" s="125">
        <f>'Cash Flow'!I28</f>
        <v>61611.034510965605</v>
      </c>
      <c r="J15" s="125">
        <f>'Cash Flow'!J28</f>
        <v>73876.281376325569</v>
      </c>
    </row>
    <row r="17" spans="1:3" ht="15" customHeight="1" x14ac:dyDescent="0.3">
      <c r="A17" s="158" t="s">
        <v>756</v>
      </c>
      <c r="B17" s="158"/>
      <c r="C17" s="158"/>
    </row>
    <row r="18" spans="1:3" ht="15" customHeight="1" x14ac:dyDescent="0.3">
      <c r="A18" s="143" t="s">
        <v>757</v>
      </c>
      <c r="B18" s="125">
        <f>'DCF Valuation'!D26</f>
        <v>126936.13943639208</v>
      </c>
    </row>
    <row r="19" spans="1:3" ht="15" customHeight="1" x14ac:dyDescent="0.3">
      <c r="A19" s="143" t="s">
        <v>629</v>
      </c>
      <c r="B19" s="125">
        <f>'DCF Valuation'!D27</f>
        <v>313816.80415918201</v>
      </c>
    </row>
    <row r="20" spans="1:3" ht="15" customHeight="1" x14ac:dyDescent="0.3">
      <c r="A20" s="143" t="s">
        <v>633</v>
      </c>
      <c r="B20" s="125">
        <f>'DCF Valuation'!D28</f>
        <v>440752.94359557412</v>
      </c>
    </row>
    <row r="21" spans="1:3" ht="15" customHeight="1" x14ac:dyDescent="0.3">
      <c r="A21" s="143" t="s">
        <v>758</v>
      </c>
      <c r="B21" s="125">
        <f>'DCF Valuation'!D31</f>
        <v>62747</v>
      </c>
    </row>
    <row r="22" spans="1:3" ht="15" customHeight="1" x14ac:dyDescent="0.3">
      <c r="A22" s="143" t="s">
        <v>759</v>
      </c>
      <c r="B22" s="125">
        <f>-'DCF Valuation'!D32</f>
        <v>-9176</v>
      </c>
    </row>
    <row r="23" spans="1:3" ht="15" customHeight="1" x14ac:dyDescent="0.3">
      <c r="A23" s="143" t="s">
        <v>760</v>
      </c>
      <c r="B23" s="125">
        <f>-'DCF Valuation'!D33</f>
        <v>-445</v>
      </c>
    </row>
    <row r="24" spans="1:3" ht="15" customHeight="1" x14ac:dyDescent="0.3">
      <c r="A24" s="143" t="s">
        <v>761</v>
      </c>
      <c r="B24" s="125">
        <f>'DCF Valuation'!D34</f>
        <v>493878.94359557412</v>
      </c>
    </row>
    <row r="27" spans="1:3" ht="15" customHeight="1" x14ac:dyDescent="0.3">
      <c r="A27" s="158" t="s">
        <v>762</v>
      </c>
      <c r="B27" s="158"/>
      <c r="C27" s="158"/>
    </row>
    <row r="28" spans="1:3" ht="15" customHeight="1" x14ac:dyDescent="0.3">
      <c r="A28" s="144">
        <f>'DCF Valuation'!B47</f>
        <v>0.12031066556933558</v>
      </c>
      <c r="B28" s="141">
        <f>'DCF Valuation'!E47</f>
        <v>1378.8978894306085</v>
      </c>
    </row>
    <row r="29" spans="1:3" ht="15" customHeight="1" x14ac:dyDescent="0.3">
      <c r="A29" s="144">
        <f>'DCF Valuation'!B48</f>
        <v>0.12531066556933557</v>
      </c>
      <c r="B29" s="141">
        <f>'DCF Valuation'!E48</f>
        <v>1294.1883174096661</v>
      </c>
    </row>
    <row r="30" spans="1:3" ht="15" customHeight="1" x14ac:dyDescent="0.3">
      <c r="A30" s="144">
        <f>'DCF Valuation'!B49</f>
        <v>0.13031066556933557</v>
      </c>
      <c r="B30" s="141">
        <f>'DCF Valuation'!E49</f>
        <v>1220.0566788428214</v>
      </c>
    </row>
    <row r="31" spans="1:3" ht="15" customHeight="1" x14ac:dyDescent="0.3">
      <c r="A31" s="144">
        <f>'DCF Valuation'!B50</f>
        <v>0.13531066556933558</v>
      </c>
      <c r="B31" s="141">
        <f>'DCF Valuation'!E50</f>
        <v>1154.6424352716406</v>
      </c>
    </row>
    <row r="32" spans="1:3" ht="15" customHeight="1" x14ac:dyDescent="0.3">
      <c r="A32" s="144">
        <f>'DCF Valuation'!B51</f>
        <v>0.14031066556933558</v>
      </c>
      <c r="B32" s="141">
        <f>'DCF Valuation'!E51</f>
        <v>1096.4970956567352</v>
      </c>
    </row>
  </sheetData>
  <mergeCells count="17">
    <mergeCell ref="A1:J1"/>
    <mergeCell ref="A2:J2"/>
    <mergeCell ref="A5:B5"/>
    <mergeCell ref="C5:D5"/>
    <mergeCell ref="E5:F5"/>
    <mergeCell ref="G5:H5"/>
    <mergeCell ref="I5:J5"/>
    <mergeCell ref="A9:J9"/>
    <mergeCell ref="A17:C17"/>
    <mergeCell ref="A27:C27"/>
    <mergeCell ref="K5:L5"/>
    <mergeCell ref="A6:B6"/>
    <mergeCell ref="C6:D6"/>
    <mergeCell ref="E6:F6"/>
    <mergeCell ref="G6:H6"/>
    <mergeCell ref="I6:J6"/>
    <mergeCell ref="K6:L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Cover</vt:lpstr>
      <vt:lpstr>Data-BS</vt:lpstr>
      <vt:lpstr>Data-PL</vt:lpstr>
      <vt:lpstr>Data-CF</vt:lpstr>
      <vt:lpstr>Comparative BS</vt:lpstr>
      <vt:lpstr>Comparative PL</vt:lpstr>
      <vt:lpstr>Common-Size BS</vt:lpstr>
      <vt:lpstr>Common-Size PL</vt:lpstr>
      <vt:lpstr>Trend Analysis</vt:lpstr>
      <vt:lpstr>Predictability Scores</vt:lpstr>
      <vt:lpstr>Comps - EV Multiples</vt:lpstr>
      <vt:lpstr>Ratio - Cover &amp; Notes</vt:lpstr>
      <vt:lpstr>Input Data</vt:lpstr>
      <vt:lpstr>Ratio Analysis</vt:lpstr>
      <vt:lpstr>Peer Input Data</vt:lpstr>
      <vt:lpstr>Peer Comparison</vt:lpstr>
      <vt:lpstr>DCF - Cover &amp; Notes</vt:lpstr>
      <vt:lpstr>All-in-One DCF</vt:lpstr>
      <vt:lpstr>Assumptions</vt:lpstr>
      <vt:lpstr>Income Statement</vt:lpstr>
      <vt:lpstr>Balance Sheet</vt:lpstr>
      <vt:lpstr>Cash Flow</vt:lpstr>
      <vt:lpstr>WC &amp; PPE Schedule</vt:lpstr>
      <vt:lpstr>Capital Structure</vt:lpstr>
      <vt:lpstr>DCF Valuation</vt:lpstr>
      <vt:lpstr>Charts &amp;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SHREYA MISHRA</cp:lastModifiedBy>
  <cp:revision>0</cp:revision>
  <dcterms:created xsi:type="dcterms:W3CDTF">2026-08-13T03:54:47Z</dcterms:created>
  <dcterms:modified xsi:type="dcterms:W3CDTF">2026-08-13T08:29:27Z</dcterms:modified>
  <dc:language>en-US</dc:language>
</cp:coreProperties>
</file>